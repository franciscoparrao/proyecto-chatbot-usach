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<sst xmlns="http://schemas.openxmlformats.org/spreadsheetml/2006/main" count="65856" uniqueCount="9097">
  <si>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</si>
  <si>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</si>
  <si>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</si>
  <si>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</si>
  <si>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</si>
  <si>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</si>
  <si>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</si>
  <si>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</si>
  <si>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</si>
  <si>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</si>
  <si>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</si>
  <si>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</si>
  <si>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</si>
  <si>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</si>
  <si>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</si>
  <si>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</si>
  <si>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</si>
  <si>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</si>
  <si>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</si>
  <si>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</si>
  <si>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</si>
  <si>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</si>
  <si>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</si>
  <si>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</si>
  <si>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</si>
  <si>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</si>
  <si>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</si>
  <si>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</si>
  <si>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</si>
  <si>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</si>
  <si>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</si>
  <si>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</si>
  <si>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</si>
  <si>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</si>
  <si>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</si>
  <si>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</si>
  <si>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</si>
  <si>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</si>
  <si>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</si>
  <si>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</si>
  <si>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</si>
  <si>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</si>
  <si>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</si>
  <si>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</si>
  <si>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</si>
  <si>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</si>
  <si>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</si>
  <si>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</si>
  <si>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</si>
  <si>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</si>
  <si>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</si>
  <si>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</si>
  <si>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</si>
  <si>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</si>
  <si>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</si>
  <si>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</si>
  <si>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</si>
  <si>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</si>
  <si>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</si>
  <si>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</si>
  <si>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</si>
  <si>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</si>
  <si>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</si>
  <si>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</si>
  <si>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</si>
  <si>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</si>
  <si>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</si>
  <si>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</si>
  <si>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</si>
  <si>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</si>
  <si>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</si>
  <si>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</si>
  <si>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</si>
  <si>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Letelier, MF; Siginer, DA; González, A</t>
  </si>
  <si>
    <t/>
  </si>
  <si>
    <t>Letelier, Mario F.; Siginer, Dennis A.; Gonzalez, Amaru</t>
  </si>
  <si>
    <t>Elasto-viscoplastic fluid flow in tubes of arbitrary cross-section</t>
  </si>
  <si>
    <t>APPLIED MATHEMATICAL MODELLING</t>
  </si>
  <si>
    <t>Elasto-viscoplastic fluid flow in tubes of arbitrary cross-section is explored. A constitutive equation superposing elasticity on the viscoplastic behavior through a linear combination of the non-linear simplified Phan Thien Tanner constitutive model of viscoelasticity and the non-linear Bingham constitutive equation of viscoplasticity is developed. The equation of motion is solved analytically for the longitudinal field for steady flow in tubes of non-circular cross-section. The evolution of the plug and stagnant zones, hallmarks of viscoplastic behavior, is studied when elasticity is present, and the rate of flow is determined in terms of the Weissenberg and Bingham numbers. Elasticity tends to enhance the rate of flow for given viscoplastic conditions, and stagnant and plug zone configurations are substantially altered. (C) 2017 Elsevier Inc. All rights reserved.</t>
  </si>
  <si>
    <t>Gonzalez, Amaru/0000-0003-4403-2154</t>
  </si>
  <si>
    <t>0307-904X</t>
  </si>
  <si>
    <t>1872-8480</t>
  </si>
  <si>
    <t>JUN</t>
  </si>
  <si>
    <t>10.1016/j.apm.2017.01.058</t>
  </si>
  <si>
    <t>WOS:000403742000036</t>
  </si>
  <si>
    <t>Letelier, MF; Siginer, DA; Hinojosa, CB</t>
  </si>
  <si>
    <t>Letelier, Mario F.; Siginer, Dennis A.; Hinojosa, Cristian Barrera</t>
  </si>
  <si>
    <t>On the physics of viscoplastic fluid flow in non-circular tubes</t>
  </si>
  <si>
    <t>INTERNATIONAL JOURNAL OF NON-LINEAR MECHANICS</t>
  </si>
  <si>
    <t>Flow of Bingham plastics through straight, long tubes is studied by means of a versatile analytical method that allows extending the study to a large range of tube geometries. The equation of motion is solved for general non circular cross-sections obtained via a continuous and one-to-one mapping called the shape factor method. In particular the velocity field and associated plug and stagnant zones in tubes with equilateral triangular and square cross-section are explored. Shear stress normal to equal velocity lines, energy dissipation distribution and rate of flow are determined. Shear-thinning and shear-thickening effects on the flow, which cannot be accounted for with the Bingham model, are investigated using the Hershey-Bulkley constitutive formulation an extension of the Bingham model. The existence and the extent of undeformed regions in the flow field in a tube with equilateral triangular cross-section are predicted in the presence of shear-thinning and shear-thickening as a specific example. The mathematical flexibility of the analytical method allows the formulation of general results related to viscoplastic fluid flow with implications related to the design and optimization of physical systems for viscoplastic material transport and processing.</t>
  </si>
  <si>
    <t>Barrera-Hinojosa, Cristian/GOE-4973-2022</t>
  </si>
  <si>
    <t>Barrera Hinojosa, Cristian/0000-0003-4976-3028</t>
  </si>
  <si>
    <t>0020-7462</t>
  </si>
  <si>
    <t>1878-5638</t>
  </si>
  <si>
    <t>JAN</t>
  </si>
  <si>
    <t>10.1016/j.ijnonlinmec.2016.09.012</t>
  </si>
  <si>
    <t>WOS:000390074100001</t>
  </si>
  <si>
    <t>Rezende, MC; Mascayano, C; Briones, L; Aliaga, C</t>
  </si>
  <si>
    <t>Caroli Rezende, Marcos; Mascayano, Carolina; Briones, Luis; Aliaga, Carolina</t>
  </si>
  <si>
    <t>Sensing different micellar microenvironments with solvatochromic dyes of variable lipophilicity</t>
  </si>
  <si>
    <t>DYES AND PIGMENTS</t>
  </si>
  <si>
    <t>The UV/Vis spectral behavior of three solvatochromic N-alkyl alpha-pyridones of varying lipophilicity was investigated in aqueous solutions of a block copolymer at variable temperatures. The solvatochromic responses of the three analogues to the distinct microenvironments were compared and interpreted in terms of their different location in the microheterogeneous system. The interpretation was supported by H-1 NMR measurements and by molecular dynamics simulations that mimicked the interactions of the dyes with the polymeric micelle in water. (C) 2011 Elsevier Ltd. All rights reserved.</t>
  </si>
  <si>
    <t>Caroli, Marcos/H-3570-2019; Aliaga, Carolina/G-6024-2019</t>
  </si>
  <si>
    <t>Mascayano Collado, Carolina Lorena/0000-0002-3488-9309; Aliaga, Carolina/0000-0002-1352-3164; Rezende, Marcos/0000-0003-2040-9009</t>
  </si>
  <si>
    <t>0143-7208</t>
  </si>
  <si>
    <t>1873-3743</t>
  </si>
  <si>
    <t>SEP</t>
  </si>
  <si>
    <t>10.1016/j.dyepig.2011.01.001</t>
  </si>
  <si>
    <t>WOS:000289125000001</t>
  </si>
  <si>
    <t>Pommer, R; Jeria, F; Arguello, B; Villa, S; Balmaceda, J; Schwarze, JE</t>
  </si>
  <si>
    <t>Pommer, Ricardo; Jeria, Francisca; Arguello, Begona; Villa, Sonia; Balmaceda, Jose; Enrique Schwarze, Juan</t>
  </si>
  <si>
    <t>Live birth after the transfer of embryos obtained by fertilization of vitrified oocytes. Report of one case</t>
  </si>
  <si>
    <t>REVISTA MEDICA DE CHILE</t>
  </si>
  <si>
    <t>We report the first successful live birth after the transfer of embryos obtained by fertilization of vitrified oocytes. A couple with primary infertility due to teratozoospermy and chronic anovulation decided to undergo assisted reproductive technology after 4 failed cycles of superovulation and intrauterine insemination. The woman underwent a standard luteal phase agonist protocol, with controlled ovarian hyper stimulation with daily 150 IU recombinant gonadotropin and 75 IU urinary gonadotropin for 12 days. Due to the high risk of ovarian hyper stimulation syndrome the couple was advised to delay embryo transfer. Eighteen mature oocytes were recovered, eight were vitrified and 10 fertilized and cryopreserved as pro-nuclei. Two months later, four vitrified oocytes were thawed, and three morphologically-normal embryos were transferred to an estrogen-progesterone-primed uterus, obtaining a triple clinical pregnancy. The pregnancy was uneventful until 32 weeks of amenorrhea, when preterm delivery started. After inducing lung maturity, a cesarean section was performed and three healthy fetuses were delivered. Nowadays, the babies are two and a half years old, and have had a normal psycho-motor development. (Rev Med Chile 2011; 139: 920-923).</t>
  </si>
  <si>
    <t>Schwarze, Juan-Enrique/AAX-9580-2021</t>
  </si>
  <si>
    <t>0034-9887</t>
  </si>
  <si>
    <t>JUL</t>
  </si>
  <si>
    <t>WOS:000293874000015</t>
  </si>
  <si>
    <t>Gumucio, CP</t>
  </si>
  <si>
    <t>Parker Gumucio, Cristian</t>
  </si>
  <si>
    <t>Interculturality, conflicts and religion: Theoretical perspectives</t>
  </si>
  <si>
    <t>SOCIAL COMPASS</t>
  </si>
  <si>
    <t>15th Roundtable on Culture and Religion</t>
  </si>
  <si>
    <t>Buenos Aires, ARGENTINA</t>
  </si>
  <si>
    <t>Interculturality reveals, in its tensions and relationship with religion, many aspects that need to be theorized. On the one hand, the studies on international relations analyse interreligious conflicts in the context of power conflicts and regional or international geopolitical imbalances. On the other hand, studies of interculturalism are centred on phenomena such as migrations, education, health and interethnic contexts. The author develops the hypothesis that current interreligious conflicts are, almost without exception, intercultural conflicts, and they must be approached as such. The analysis of the relationships between religion and culture reveals that religions can only exist and express themselves through local cultures. All definitions of religions have cultural connotations. Two cases of religion, conflicts and interculturality in South America provide a starting-point for a more theoretical reflection. In a global world in which cultural factors are increasingly important, the symbolic-religious component is an enormous factor in the struggle for power and in its intercultural syncretisms and conflicts.</t>
  </si>
  <si>
    <t>Parker G., Cristian/J-4947-2017</t>
  </si>
  <si>
    <t>Parker G., Cristian/0000-0001-8041-9642</t>
  </si>
  <si>
    <t>0037-7686</t>
  </si>
  <si>
    <t>1461-7404</t>
  </si>
  <si>
    <t>10.1177/0037768608093694</t>
  </si>
  <si>
    <t>WOS:000258755300006</t>
  </si>
  <si>
    <t>Durán, M; Pedreschi, F; Moyano, P; Troncoso, E</t>
  </si>
  <si>
    <t>Duran, Marisol; Pedreschi, Franco; Moyano, Pedro; Troncoso, Elizabeth</t>
  </si>
  <si>
    <t>Oil partition in pre-treated potato slices during frying and cooling</t>
  </si>
  <si>
    <t>JOURNAL OF FOOD ENGINEERING</t>
  </si>
  <si>
    <t>The objective of this research was to study the effect of some pre-treatments and oil temperatures in the kinetics of oil absorption and distribution in the structure of potato chips not only during the frying process but also during the posterior cooling. Pre-treated potato slices (Desiree variety, diameter: 30 mm, thickness: 3.0 mm) were fried at four constant oil temperatures (+/- 1 degrees C): 120, 140, 160 and 180 degrees C. The tested pre-treatments were: (i) blanching in hot water at 85 degrees C per 3.5 min (control); (ii) blanching as in (i) and then immersion in a NaCl solution of 20 g/L per 5 min and at 200 rpm of agitation and 25 degrees C (salt impregnation); (iii) blanching as in (i) and then covering with an edible film solution of hydroxypropylmethylcellulose - HPMC - (16 g/L per 20 min at 70 degrees C). The partition of the oil absorbed was quantified during frying and the post-frying stage. Oil could penetrate in chip microstructure either during frying or during cooline when the oil wetting the potato chip surface at the end of the frying process, penetrates into the chip microstructure by vacuum forces created by evaporative cooling. Potato chips absorbed during frying at 180 degrees C nearly 38% of the total oil content, and almost 62% of the total oil content remained at the chip surface without penetrating into the microstructure (average values for the three pre-treatments tested). This situation reverses during the cooling stage and similar to 65% of the total oil content was absorbed by potato chips and only 35% remained at the chip surface. Contrary to expected, potato chips coated with the edible film HPMC absorbed more oil than control and salt impregnated potato chips (P &lt; 0.05). (c) 2006 Elsevier Ltd. All rights reserved.</t>
  </si>
  <si>
    <t>pedreschi, franco/F-8844-2013</t>
  </si>
  <si>
    <t>Troncoso, Elizabeth/0000-0002-6749-774X</t>
  </si>
  <si>
    <t>0260-8774</t>
  </si>
  <si>
    <t>1873-5770</t>
  </si>
  <si>
    <t>10.1016/j.jfoodeng.2006.11.004</t>
  </si>
  <si>
    <t>WOS:000244734800031</t>
  </si>
  <si>
    <t>Vallejos, G; Fierro, A; Rezende, MC; Sepúlveda-Boza, S; Reyes-Parada, M</t>
  </si>
  <si>
    <t>Heteroarylisopropylamines as MAO inhibitors</t>
  </si>
  <si>
    <t>BIOORGANIC &amp; MEDICINAL CHEMISTRY</t>
  </si>
  <si>
    <t>The in vitro monoamine oxidase inhibitory (MAOI) activities of 11 heteroarylisopropylamines vis-a-vis MAO-A and MAO-B were described and interpreted in terms of possible interactions with the enzyme active site. Molecular dynamics simulations allowed a comparison between the most active MAO-A inhibitor of the series, the 1-(2-benzofuryl)-2-aminopropane, and the specific, analogous MAO-A substrate serotonin. (c) 2005 Elsevier Ltd. All rights reserved.</t>
  </si>
  <si>
    <t>Caroli, Marcos/H-3570-2019</t>
  </si>
  <si>
    <t>Fierro Huerta, Angelica/0000-0002-6507-4188; Rezende, Marcos/0000-0003-2040-9009</t>
  </si>
  <si>
    <t>0968-0896</t>
  </si>
  <si>
    <t>1464-3391</t>
  </si>
  <si>
    <t>JUL 15</t>
  </si>
  <si>
    <t>10.1016/j.bmc.2005.04.045</t>
  </si>
  <si>
    <t>WOS:000230151200011</t>
  </si>
  <si>
    <t>Henriquez, C; Aliaga, C; Lissi, E</t>
  </si>
  <si>
    <t>Formation and decay of the ABTS derived radical cation: A comparison of different preparation procedures</t>
  </si>
  <si>
    <t>INTERNATIONAL JOURNAL OF CHEMICAL KINETICS</t>
  </si>
  <si>
    <t>Bleaching of a preformed solution of the blue-green radical cation 2,2-azinobis-(3-ethylbenzothizoline-6-sulfonic acid) (ABTS(+.)) has been extensively used to evaluate the antioxidant capacity of complex mixtures and individual compounds. The reaction of the preformed radical with free-radical scavengers can be easily monitored by following the decay of the sample absorbance at 734 nm. The ABTS radical cation can be prepared employing different oxidants. Results obtained using MnO2 as oxidant show that the presence of manganese ions increases the rate of [ABTS](+.) autobleaching in a concentration-dependent manner. The radicals can also be obtained by oxidizing ABTS with 2,2'-azobis(2-amidinopropane)hydrochloride (AAPH) or peroxodisulfate (PDS). The oxidation by AAPH takes place with a large activation energy and a low reaction order in ABTS. The data support a mechanism in which the homolysis of AAPH is the rate-limiting step, followed by the reaction of ABTS with the peroxyl radicals produced after the azocompound thermolysis. On the other hand, the low activation energy measured employing PDS, as well as the kinetic law, are compatible with the occurrence of a bimolecular reaction between the oxidant and ABTS. Regarding the use of ABTS-based methodologies for the evaluation of free radical scavengers, radical cations obtained employing AAPH as oxidant can be used only at low temperatures, conditions where further decomposition of the remaining AAPH is minimized. The best results are obtained with ABTS derived radicals generated in the reaction of PDS with an ABTS/PDS concentration ratio equal (or higher) to two. However, even with radicals prepared by this procedure, stoichiometric coefficients considerably larger than two are obtained for the consumption of the radical cation employing tryptophane or p-terbutylphenol as reductants. This casts doubts on the use of ABTS-based procedures for the estimation of antioxidant capacities. (C) 2002 Wiley Periodicals, Inc.</t>
  </si>
  <si>
    <t>Aliaga, Carolina/G-6024-2019</t>
  </si>
  <si>
    <t>Aliaga, Carolina/0000-0002-1352-3164</t>
  </si>
  <si>
    <t>0538-8066</t>
  </si>
  <si>
    <t>DEC</t>
  </si>
  <si>
    <t>10.1002/kin.10094</t>
  </si>
  <si>
    <t>WOS:000179280500002</t>
  </si>
  <si>
    <t>Troncoso, R; Zanelli, J</t>
  </si>
  <si>
    <t>Gauge supergravities for all odd dimensions</t>
  </si>
  <si>
    <t>INTERNATIONAL JOURNAL OF THEORETICAL PHYSICS</t>
  </si>
  <si>
    <t>Quantum Gravity in the Southern Cone Conference</t>
  </si>
  <si>
    <t>JAN 07-10, 1998</t>
  </si>
  <si>
    <t>CTR ATOMICO BARILOCHE, SAN CARLOS BARILO, ARGENTINA</t>
  </si>
  <si>
    <t>CTR ATOMICO BARILOCHE</t>
  </si>
  <si>
    <t>Recently proposed supergravity theories in odd dimensions whose fields are connection one-forms for the minimal supersymmetric extensions of anti-de Sitter gravity are discussed. Two essential ingredients are required for this construction: (1) The superalgebras, which extend the adS algebra for different dimensions, and (2) the Lagrangians, which are Chern-Simons (2n - 1)-forms. The first item completes the analysis of van Holten and Van Proeyen, which was valid for N = 1 only. The second ensures that the actions are invariant by construction under the gauge supergroup and, in particular, under local supersymmetry. Thus, unlike standard supergravity, the local supersymmetry algebra closes off-shell and without requiring auxiliary fields. The superalgebras are constructed for all dimensions and they fall into three families: osp(m\N) for D = 2, 3, 4, mod 8, osp(N\m) for D = 6, 7, 8, mod 8, and su(m - 2, 2\N) for D = 5 mod 4, with m = 2([D/2]). The Lagrangian is constructed for D = 5, 7, and 11. In all cases the field content includes the vielbein (e(mu)(a)), the spin connection (omega(mu)(ab)), N gravitini (psi(mu)(i)), and some extra bosonic matter fields which vary from one dimension to another.</t>
  </si>
  <si>
    <t>Troncoso, Ricardo/H-5051-2013</t>
  </si>
  <si>
    <t>Troncoso, Ricardo/0000-0003-3659-1140</t>
  </si>
  <si>
    <t>0020-7748</t>
  </si>
  <si>
    <t>APR</t>
  </si>
  <si>
    <t>10.1023/A:1026614631617</t>
  </si>
  <si>
    <t>WOS:000081063400012</t>
  </si>
  <si>
    <t>FALCAO, DM; ARIAS, MA; SINGH, H; AWARADO, FL</t>
  </si>
  <si>
    <t>STATE ESTIMATION AND OBSERVABILITY ANALYSIS BASED ON ECHELON FORMS OF THE LINEARIZED MEASUREMENT MODELS</t>
  </si>
  <si>
    <t>IEEE TRANSACTIONS ON POWER SYSTEMS</t>
  </si>
  <si>
    <t>This paper introduces an alternative approach for power system state estimation and observability analysis. The method is based on the analysis of the active and reactive linearized measurement models in the echelon form. This form is a generalization of matrix triangular factorization for the case of rectangular matrices. The proposed approach represents an evolution of the least absolute value state estimation method. The state estimate produced by the proposed method presents some of the basic characteristics of that obtained with the least absolute value estimator but the overall methodology is simpler and more general while unifying measurement noise filtering, bad data detection and identification, and observability analysis under the same algorithmic framework.</t>
  </si>
  <si>
    <t>0885-8950</t>
  </si>
  <si>
    <t>1558-0679</t>
  </si>
  <si>
    <t>MAY</t>
  </si>
  <si>
    <t>10.1109/59.317647</t>
  </si>
  <si>
    <t>WOS:A1994NV46600055</t>
  </si>
  <si>
    <t>Martinez-Gomez, F; Rezende, MC; Rodriguez-Huenchun, V</t>
  </si>
  <si>
    <t>Martinez-Gomez, Fabian; Rezende, Marcos Caroli; Rodriguez-Huenchun, Valentina</t>
  </si>
  <si>
    <t>The Solvatomagnetism of ET(33) Betaine and of Its Phenolic Precursor</t>
  </si>
  <si>
    <t>MAGNETIC RESONANCE IN CHEMISTRY</t>
  </si>
  <si>
    <t>The H-1 and C-13 NMR spectra of the N-(3,5-dichloro-4-hydroxyphenyl)- 2,4,6-triphenylpyridinium perchlorate and of its deprotonated betaine 4-(2,4,6-triphenylpyridinio)-2,6-dichlorophenolate (Wolfbeis's E-T(33) dye) were recorded in various solvents and analyzed in search of solvent-dependent shifts that characterize their solvatomagnetism, which was compared with the well-known UV-vis spectral behavior of this important solvatochromic dye. Although the NMR spectra of E-T(33) and its phenolic precursor in different solvents correlated only poorly with their UV-vis spectral responses, they provided valuable information on specific structural features and solute-solvent interactions that are not available from their UV-vis spectra.</t>
  </si>
  <si>
    <t>Martinez, Fabian/0000-0001-5802-9816</t>
  </si>
  <si>
    <t>0749-1581</t>
  </si>
  <si>
    <t>1097-458X</t>
  </si>
  <si>
    <t>10.1002/mrc.5478</t>
  </si>
  <si>
    <t>AUG 2024</t>
  </si>
  <si>
    <t>WOS:001299595500001</t>
  </si>
  <si>
    <t>Granados-Tavera, K; Cárdenas-Jirón, G</t>
  </si>
  <si>
    <t>Granados-Tavera, Kevin; Cardenas-Jiron, Gloria</t>
  </si>
  <si>
    <t>Electronic, optical and charge transport properties of Zn-porphyrin-C60 MOFs: a combined periodic and cluster modeling</t>
  </si>
  <si>
    <t>DALTON TRANSACTIONS</t>
  </si>
  <si>
    <t>Density functional theory (DFT) calculations were performed on the 5,15 meso-positions of nine porphyrin-containing MOFs; Zn-2(TCPB)-(NMe2-ZnP); (H4TCPB = 1,2,4,5-tetrakis(4-carboxyphenyl)benzene), (NMe2-ZnP = [5,15-bis[(4-pyridyl)-ethynyl]-10,20-bis-(dimethylamine) porphinato]zinc(ii)) functionalized with nitrogen-, oxygen-, and sulfur-containing groups to study their effects on the electronic, optical and transport properties of the materials. The properties of these materials have also been investigated by encapsulating fullerene (C-60) in their pores (C-60@MOFs). The results indicate that the guest C-60 in the MOF generates high photoconductivity through efficient porphyrin/fullerene donor-acceptor (D-A) interactions, which are facilitated by oxygen and sulfur functionalities. DFT calculations show that C-60 interacts favorably in MOFs due to negative E-int values. Encapsulated C-60 molecules modify the electronic band structure, affecting the conduction band and unoccupied states of MOFs corresponding to C-60 p orbitals. TD-DFT calculations show that incorporating C-60 promotes D-A interactions in MOFs, leading to charge transfer in the near-infrared and visible photoinduced electron transfer (PET) from porphyrins to C-60. Nonequilibrium Green's function-based calculations for MOFs with sulfur group, with and without C-60, performed using molecular junctions with Au(111)-based electrodes show increased charge transport for the doped MOF. These insights into tuning electronic/optical properties and controlling charge transfer can aid in the design of new visible/near-infrared MOF-based optoelectronic devices.</t>
  </si>
  <si>
    <t>Granados-Tavera, Kevin/0000-0002-7585-4022</t>
  </si>
  <si>
    <t>1477-9226</t>
  </si>
  <si>
    <t>1477-9234</t>
  </si>
  <si>
    <t>OCT 22</t>
  </si>
  <si>
    <t>10.1039/d4dt01459f</t>
  </si>
  <si>
    <t>WOS:001299419200001</t>
  </si>
  <si>
    <t>Vallejo, F; Díaz-Robles, LA; González, P; Poblete, J</t>
  </si>
  <si>
    <t>Vallejo, Fidel; Diaz-Robles, Luis A.; Gonzalez, Pablo; Poblete, Jorge</t>
  </si>
  <si>
    <t>ENERGY EFFICIENCY EVALUATION OF A CONTINUOUS TREATMENT OF AGROFORESTRY WASTE BIOMASS BY HYDROTHERMAL CARBONIZATION</t>
  </si>
  <si>
    <t>MADERAS-CIENCIA Y TECNOLOGIA</t>
  </si>
  <si>
    <t>Among the processes available to treat waste biomass, the thermal conversion with water in subcritical conditions, called Hydrothermal Carbonization, is being studied in deep the last years. Hydrothermal Carbonization needs lower temperatures than other thermal processes, and a solid with high energy density and hydrophobic properties are obtained. This work presents the modeling and simulation of continuous operation of the Hydrothermal Carbonization process for two residual biomasses: Pinus radiata sawdust from the wood industry and rapeseeds (Brassica napus) as industrial waste. The analysis was performed evaluating the whole process, from mixing the raw biomass with water and the reaction until obtaining the final pellet. All unit operations were modeled with phenomenological equations. The Higher Heating Value and the Mass Yield of the reaction were estimated by Multiple Linear Regression equations, using as an explanatory variable the Polarity Index, the Reactivity Index, the Severity Factor, and the Biomass: Water Ratio. The best model had an adjusted determination coefficient (R-a(2)) of 0,90. Finally, the process presented an energy efficiency greater than 72% for sawdust and 77 % for rapeseed. Therefore, Hydrothermal Carbonization must be considered as an alternative to valorize agroforestry waste biomass to an industrial scale.</t>
  </si>
  <si>
    <t>Vallejo, Fidel/AAM-6353-2020</t>
  </si>
  <si>
    <t>Vallejo, Fidel Ernesto/0000-0001-5835-298X; Poblete-Matthies, Jorge/0000-0002-1853-0961</t>
  </si>
  <si>
    <t>0717-3644</t>
  </si>
  <si>
    <t>0718-221X</t>
  </si>
  <si>
    <t>10.4067/s0718-221x2021000100415</t>
  </si>
  <si>
    <t>WOS:000672638300015</t>
  </si>
  <si>
    <t>Zurob, E; Cabezas, R; Villarroel, E; Rosas, N; Merlet, G; Quijada-Maldonado, E; Romero, J; Plaza, A</t>
  </si>
  <si>
    <t>Zurob, Elsie; Cabezas, Rene; Villarroel, Eduardo; Rosas, Nikol; Merlet, Gaston; Quijada-Maldonado, Esteban; Romero, Julio; Plaza, Andrea</t>
  </si>
  <si>
    <t>Design of natural deep eutectic solvents for the ultrasound-assisted extraction of hydroxytyrosol from olive leaves supported by COSMO-RS</t>
  </si>
  <si>
    <t>SEPARATION AND PURIFICATION TECHNOLOGY</t>
  </si>
  <si>
    <t>The main aim of this work was the design of natural deep eutectic solvents (NADES) for the extraction of hydroxytyrosol (HT) from olive leaves. This design was supported by COSMOS-RS screening and compared with the experimental results. For which, eight NADES (four sugar-based and four organic acid-based NADES) were prepared. The experiments for the HT ultrasound-assisted solid-liquid extractions (UAE) were done in a 1:4 solid-to-solvent ratio for 24 hrs, and the COSMO-RS optimization and analysis of each eutectic mixture was modelled as a single molecule, with both HBD and HBA species joined by the hydrogen bond. The experimental results showed that the citric acid:glycine:water (2:1:1) eutectic mixture reached values of 87 ppm of HT, more than four times higher than the values obtained with water, the conventional solvent used for the extractions of polyphenols. On the other hand, these values were contrasted with the calculations of the activity coefficient at infinite dilution and the sigma profile delivered by COSMO-RS, concluding that this tool can be used to predict the behaviour of deep eutectic solvents with HT. These experimental and theoretical results allowed to generate a high-concentration HT extract in a stable and GRAS NADES phase. Additionally, the utilization of a cellulases-based enzymatic pre-treatment prior to the UAE, could be an effective method to obtain higher extraction values of HT.</t>
  </si>
  <si>
    <t>Villarroel Utreras, Eduardo/LCD-3437-2024; Cabezas, Rene/AAY-2094-2020; Romero, Julio/I-6705-2013; Merlet Venturelli, Gaston/B-4109-2019</t>
  </si>
  <si>
    <t>Villarroel, Eduardo/0000-0001-5208-3512; Cabezas, Rene/0000-0002-4162-3429; Merlet Venturelli, Gaston/0000-0003-2602-6471; Zurob, Elsie/0000-0002-5396-5960; Romero, Julio/0000-0002-1229-1592; Quijada-Maldonado, Esteban/0000-0003-1411-4327; Plaza, Andrea/0000-0001-9475-007X</t>
  </si>
  <si>
    <t>1383-5866</t>
  </si>
  <si>
    <t>1873-3794</t>
  </si>
  <si>
    <t>OCT 1</t>
  </si>
  <si>
    <t>10.1016/j.seppur.2020.117054</t>
  </si>
  <si>
    <t>WOS:000538827600057</t>
  </si>
  <si>
    <t>Borgna, V; Vidal, I; Castillo, OA</t>
  </si>
  <si>
    <t>Borgna, Vincenzo; Vidal, Ivor; Castillo, Octavio A.</t>
  </si>
  <si>
    <t>Open vs Laparoscopic Radical Cystectomy: Comparison of perioperative and Mid-term oncological outcomes</t>
  </si>
  <si>
    <t>ARCHIVOS ESPANOLES DE UROLOGIA</t>
  </si>
  <si>
    <t>OBJECTIVE: To compare perhoperative and mid-term ontological outcomes between Open radical cystectomy (ORC) and Laparoscopic radical cystectomy (LRC). METHODS: A retrospective cohort was assembled, in which 182 patients had been subjected consecutively to Radical Cystectomy (RC) for treatment of muscle-invasive bladder cancer (MIBC) between 2000 and 2010 in a single center. Two cohorts were included: ORC (n=83) and LRC (n=99). All the RCs were performed by the same surgeon. Perioperatory complications were registered according to Clavien-Dindo classification. We evaluated recurrence-free survival, cancer-specific survival and association between the surgical technique performed and disease recurrence, with co-variable adjustment. RESULTS: Clinical and pathologic characteristics were similar for both groups. Significant differences were observed between the two groups, regarding blood loss, operative time and hospitalization days (p&lt;0.04). The ORC group displayed 27 (32.5%) Clavien I-II cases, vs. 11 (11.1%) in the LRC group. Four Clavien &gt;= III (4.8%) complications were reported in the ORC, vs. 7 (7%) in the LRC group (NS). Mean follow-up time for patients without recurrence was 23 months (12-48). A total of 60 patients (72.3%) showed recurrence in the ORC group, compared to 59 (59.6%) in the LRC group. Cumulative cancer-specific mortality index, stratified by surgical technique, was similar between both groups (p.-0.9) CONCLUSIONS: Based on our experience, LRC showed advantages in intraoperative bleeding and length of hospital stay with no difference in major complications between both groups. Mid-term oncological control, regarding local recurrence and cancer-specific survival, showed no significant difference between LRC and ORC in the management of MIBC.</t>
  </si>
  <si>
    <t>Borgna, Vincenzo/AAZ-8414-2020</t>
  </si>
  <si>
    <t>0004-0614</t>
  </si>
  <si>
    <t>1576-8260</t>
  </si>
  <si>
    <t>JAN-FEB</t>
  </si>
  <si>
    <t>WOS:000507143200005</t>
  </si>
  <si>
    <t>C</t>
  </si>
  <si>
    <t>Melgarejo, RCG</t>
  </si>
  <si>
    <t>Martinez, MAR</t>
  </si>
  <si>
    <t>Gutierrez Melgarejo, Rafael Camilo</t>
  </si>
  <si>
    <t>Mitigation of aging of glass fiber reinforced cement (GRC) using pozzolan and acrylic resin additions.</t>
  </si>
  <si>
    <t>2019 CONGRESO INTERNACIONAL DE INNOVACION Y TENDENCIAS EN INGENIERIA (CONIITI )</t>
  </si>
  <si>
    <t>International Congress of Innovation and Trends in Engineering (CONIITI)</t>
  </si>
  <si>
    <t>OCT 02-04, 2019</t>
  </si>
  <si>
    <t>Bogota, COLOMBIA</t>
  </si>
  <si>
    <t>Univ Catolica Colombia, Vigilada Mineducac, Acreditac Instituc Alta Calidad,IEEE Reg 9,IEEE Colombia Sect Technol &amp; Engn Management Chapter,IEEE Technol &amp; Engn Management Soc,IEEE</t>
  </si>
  <si>
    <t>The present work explores the effectiveness of some types of pozzolanic additives and acrylic resins in improving the properties of the Glass Fiber Reinforced Cement (GRC) to avoid damage of the material due to aging. For this purpose, GRC specimens are manufactured with local materials using the simultaneous projection of fiber and mortar (industrial manufacturing method). The samples are aged using two predictive accelerated ageing techniques: climatic chamber and immersion into hot water. Each sample is subjected to bending tests to verify the effectiveness of the additives with respect to GRC samples aged without additives. Additionally, the samples were analyzed using a micrographic technique to check the structure of the fibers after the accelerated aging process. Pozzolanic additives such as acrylic resins and metakaolin were found to improve the properties of GRC.</t>
  </si>
  <si>
    <t>978-1-7281-4746-8</t>
  </si>
  <si>
    <t>WOS:000532808700027</t>
  </si>
  <si>
    <t>Milman, HM; Castillo, CA; Sansotta, AT; Delpiano, PV; Murray, J</t>
  </si>
  <si>
    <t>Milman, Helia Molina; Castillo, Claudio A.; Sansotta, Andrea Torres; Delpiano, Paula Valenzuela; Murray, John</t>
  </si>
  <si>
    <t>Scaling up an early childhood development programme through a national multisectoral approach to social protection: lessons from Chile Crece Contigo</t>
  </si>
  <si>
    <t>BMJ-BRITISH MEDICAL JOURNAL</t>
  </si>
  <si>
    <t>Rodríguez, Claudio/D-6005-2013</t>
  </si>
  <si>
    <t>0959-535X</t>
  </si>
  <si>
    <t>1756-1833</t>
  </si>
  <si>
    <t>DEC 7</t>
  </si>
  <si>
    <t>k4513</t>
  </si>
  <si>
    <t>10.1136/bmj.k4513</t>
  </si>
  <si>
    <t>WOS:000452850000001</t>
  </si>
  <si>
    <t>Vidal-Silva, N; Riveros, A; Escrig, J</t>
  </si>
  <si>
    <t>Vidal-Silva, Nicolas; Riveros, Alejandro; Escrig, Juan</t>
  </si>
  <si>
    <t>Stability of Neel skyrmions in ultra-thin nanodots considering Dzyaloshinskii-Moriya and dipolar interactions</t>
  </si>
  <si>
    <t>JOURNAL OF MAGNETISM AND MAGNETIC MATERIALS</t>
  </si>
  <si>
    <t>An analytical expression for the energy of Neel skyrmions in ultra-thin nanodots considering exchange, uniaxial anisotropy, Dzyaloshinskii-Moriya, and dipolar contributions has been obtained. In particular, we have proposed for the Neel skyrmion, a general ansatz for the component of the magnetization perpendicular to the dot, given by m(z)(r) = [1 - (r/R-s)(n)]/[1 + (r/R-s)(n)], where R-s is the radius of the skyrmion and n is an integer and even number. As proof of concept, we calculate the energy of a Neel skyrmion in an ultra-thin Co/Pt dot, and we find that the dipolar contribution cannot be neglected and that both Dzyaloshinskii-Moriya interaction and anisotropy play an important role to stabilize the skyrmion. Additionally, we have obtained a good agreement between our analytical calculations and previously published micromagnetic simulations for n = 10. For this reliable value of n, we have obtained that for a Dzyaloshinski Moriya constant D = 5.5 (mJ/m(2)), it is possible to stabilize a Neel skyrmion for K-u in the range 0.4 (MJ/m(3)) &lt; K-u &lt; 1.3 (MJ/m(3)), whereas for K-u = 0.8 (MJ/m(3)), the skyrmion stabilizes for 5.0 (mJ/m(2)) &lt; D &lt; 6.0 (mJ/m(2)) . Thus, this analytical equation can be widely used to predict stability ranges for the Neel skyrmion in spintronic devices. (C) 2017 Elsevier B.V. All rights reserved.</t>
  </si>
  <si>
    <t>Rodríguez, Alejandro/R-4062-2019; Vidal Silva, Nicolas/IAN-0226-2023; Escrig, Juan/N-4304-2015</t>
  </si>
  <si>
    <t>Riveros, Alejandro/0000-0002-4924-663X; Vidal Silva, Nicolas/0000-0002-3717-3816; Escrig, Juan/0000-0002-3958-8185</t>
  </si>
  <si>
    <t>0304-8853</t>
  </si>
  <si>
    <t>1873-4766</t>
  </si>
  <si>
    <t>DEC 1</t>
  </si>
  <si>
    <t>10.1016/j.jmmm.2017.07.049</t>
  </si>
  <si>
    <t>WOS:000410658200019</t>
  </si>
  <si>
    <t>Campos, AM; Mendoza, L; Vasquez, J; Melo, R; Salas, J; Cotoras, M</t>
  </si>
  <si>
    <t>Campos, Ana M.; Mendoza, Leonora; Vasquez, Juan; Melo, Ricardo; Salas, Jennifer; Cotoras, Milena</t>
  </si>
  <si>
    <t>LACASSE CATALYZED-SYNTHESIS OF 4,4′-BIPHENYLDIAMINE FROM P-CHLOROANILINE. EVALUATION OF ANTIFUNGAL AND ANTIOXIDANT ACTIVITIES</t>
  </si>
  <si>
    <t>JOURNAL OF THE CHILEAN CHEMICAL SOCIETY</t>
  </si>
  <si>
    <t>Laccase is a copper-containing oxidase that catalyzes reduction of molecular oxygen to water and the oxidation of a phenolic compound. In this paper, laccase was utilized to synthesize 4,4'-Biphenyldiamine using p-chloroaniline as substrate by means of a coupling reaction. The synthesized compound, 4,4'-Biphenyldiamine, presented low antifungal activity against the phytopathogenic fungus Botrytis cinerea, however the antioxidant ability, measurement by ORAC-PGR method, was higher than substrate. This work corresponds to the first report of synthesis 4,4'-Biphenyldiamine, from p-chloroaniline in a lacasse-catalyzed reaction.</t>
  </si>
  <si>
    <t>Vasquez, Juan/J-2247-2014</t>
  </si>
  <si>
    <t>0717-9707</t>
  </si>
  <si>
    <t>10.4067/S0717-97072016000300004</t>
  </si>
  <si>
    <t>WOS:000389063700004</t>
  </si>
  <si>
    <t>Contreras-Bolton, C; Gatica, G; Barra, CR; Parada, V</t>
  </si>
  <si>
    <t>Contreras-Bolton, Carlos; Gatica, Gustavo; Barra, Carlos Rey; Parada, Victor</t>
  </si>
  <si>
    <t>A multi-operator genetic algorithm for the generalized minimum spanning tree problem</t>
  </si>
  <si>
    <t>EXPERT SYSTEMS WITH APPLICATIONS</t>
  </si>
  <si>
    <t>The generalized minimum spanning tree problem, with applications in the field of communication networks, is a computational challenge due essentially to its NP-hardness. The problem consists of finding a minimum cost spanning tree in an undirected graph whose vertices are grouped in clusters, such that the spanning tree contains only one vertex of each cluster. The algorithms that have provided the best results still do not optimally solve all instances in the literature. One of the most widely studied approaches to the problem is the use of genetic algorithms that, in all cases, use only single operators for crossover and mutation, disregarding the potential synergy of multi-operators. We present a multi-operator genetic algorithm of the genotype-phenotype class, in which the genotype is a chain of integers that represents a cluster's selected vertex. Therefore, the phenotype is a minimum cost spanning tree that is generated by means of Kruskal's algorithm and joins the vertices selected from each cluster. Two operators are used for crossover and five for mutation, three of which are local search operators. The performance of the resultant algorithm is evaluated using the most challenging instances in the literature, the results of which are compared with those of other mono-operator genetic algorithms and with the best existing results. With the 101 instances that are considered, an average error of 0.0142% is achieved, and in 83 instances, the best solution cost is obtained. Such performance is due both to the synergistic effect produced among the operators and the mutation operators working as local searches. Additionally, the results suggest that for many other combinatorial optimization problems, which have been addressed with a genetic algorithm, better results could possibly be obtained simply by using a greater number of variation operators. (C) 2015 Elsevier Ltd. All rights reserved.</t>
  </si>
  <si>
    <t>Parada, Victor/M-5840-2014; Contreras-Bolton, Carlos/D-9624-2016</t>
  </si>
  <si>
    <t>Rey, Carlos/0009-0000-0884-7423; Rey, Carlos/0000-0003-1144-7628; Contreras-Bolton, Carlos/0000-0001-9549-4143; Rey, Carlos/0000-0002-8778-1107; Gustavo, Gatica/0000-0002-1816-6856</t>
  </si>
  <si>
    <t>0957-4174</t>
  </si>
  <si>
    <t>1873-6793</t>
  </si>
  <si>
    <t>MAY 15</t>
  </si>
  <si>
    <t>10.1016/j.eswa.2015.12.014</t>
  </si>
  <si>
    <t>WOS:000370305000001</t>
  </si>
  <si>
    <t>Castillo-Sepúlveda, S; Vargas, NM; Escobar, RA; Baltazar, SE; Allende, S; Altbir, D</t>
  </si>
  <si>
    <t>Castillo-Sepulveda, S.; Vargas, N. M.; Escobar, R. A.; Baltazar, S. E.; Allende, S.; Altbir, D.</t>
  </si>
  <si>
    <t>Reversal modes in small rings: Signature on the susceptibility</t>
  </si>
  <si>
    <t>JOURNAL OF APPLIED PHYSICS</t>
  </si>
  <si>
    <t>The magnetization reversal mechanisms of small rings have been investigated as a function of the geometry. Stepped and non stepped hysteresis loops were obtained and four different reversal mechanisms were identified. In spite the important information that is possible to get from the hysteresis loops, in some cases it is not possible to identify from them the reversal mechanisms. However, susceptibility curves deliver enough information to determine precisely the reversal mode, making these curves a valuable tool for the study of the magnetization reversal in rings. (C) 2014 AIP Publishing LLC.</t>
  </si>
  <si>
    <t>Vargas, Nicolas/AAP-5975-2020; Baltazar, Samuel/E-1814-2011; Altbir, Dora/R-6781-2018</t>
  </si>
  <si>
    <t>Castillo, Sebastian/0000-0001-7730-8773; Baltazar, Samuel/0000-0001-9826-9400; Altbir, Dora/0000-0002-2945-4909; Vargas, Nicolas/0000-0002-9922-6311</t>
  </si>
  <si>
    <t>0021-8979</t>
  </si>
  <si>
    <t>1089-7550</t>
  </si>
  <si>
    <t>JUN 14</t>
  </si>
  <si>
    <t>10.1063/1.4882295</t>
  </si>
  <si>
    <t>WOS:000337891800041</t>
  </si>
  <si>
    <t>Amenábar, MJ; Flores, PA; Pugin, B; Boehmwald, FA; Blamey, JM</t>
  </si>
  <si>
    <t>Amenabar, Maximiliano J.; Flores, Patricio A.; Pugin, Benoit; Boehmwald, Freddy A.; Blamey, Jenny M.</t>
  </si>
  <si>
    <t>Archaeal diversity from hydrothermal systems of Deception Island, Antarctica</t>
  </si>
  <si>
    <t>POLAR BIOLOGY</t>
  </si>
  <si>
    <t>Antarctica is an extreme continent composed of cold environments but also of several geothermal sites, among them is Deception Island, an active stratovolcano located in the South Shetland archipelago. From this island, few microbiological studies have been performed, and the presence of archaea has not been reported. In order to investigate the archaeal diversity in hydrothermalism from Deception Island, different submarine samples were taken from the flooded caldera. Samples were analyzed by denaturing gradient gel electrophoresis (DGGE) of the 16S rRNA gene in conjunction with culture-dependent methods at hyperthermophilic temperatures. Analysis from DGGE band sequencing showed the presence of archaea belonging to the hyperthermophilic genus Thermococcus and different uncultured archaea closely related to environmental clones from hydrothermal vents. Archaea from the psychrotolerant genus Methanococcoides were also detected. Additionally, we have successfully isolated an anaerobic hyperthermophilic archaeon closely related to Thermococcus celericrescens. Cells were irregular cocci with a diameter between 0.6 and 2 mu m and grew at 50-90 A degrees C and at a NaCl concentration of 1-5 %. Here, we present, based on culture-dependent and culture-independent approaches, the first report on archaea from marine hydrothermal sites of Antarctica.</t>
  </si>
  <si>
    <t>Blamey, Jenny/M-2637-2014; Pugin, Benoit/X-2984-2018; Amenabar, Maximiliano/AAD-5354-2020</t>
  </si>
  <si>
    <t>Flores, Patricio/0009-0004-2489-187X; Pugin, Benoit/0000-0001-7132-9477; Amenabar, Maximiliano/0000-0003-1890-5353</t>
  </si>
  <si>
    <t>0722-4060</t>
  </si>
  <si>
    <t>1432-2056</t>
  </si>
  <si>
    <t>MAR</t>
  </si>
  <si>
    <t>10.1007/s00300-012-1267-3</t>
  </si>
  <si>
    <t>WOS:000314852300007</t>
  </si>
  <si>
    <t>Norambuena, J; Flores, R; Cárdenas, JP; Quatrini, R; Chávez, R; Levicán, G</t>
  </si>
  <si>
    <t>Norambuena, Javiera; Flores, Rodrigo; Cardenas, Juan P.; Quatrini, Raquel; Chavez, Renato; Levican, Gloria</t>
  </si>
  <si>
    <t>Thiol/Disulfide System Plays a Crucial Role in Redox Protection in the Acidophilic Iron-Oxidizing Bacterium Leptospirillum ferriphilum</t>
  </si>
  <si>
    <t>PLOS ONE</t>
  </si>
  <si>
    <t>Thiol/disulfide systems are involved in the maintenance of the redox status of proteins and other molecules that contain thiol/disulfide groups. Leptospirillum ferriphilum DSM14647, an acidophilic bacterium that uses Fe2+ as electron donor, and withstands very high concentrations of iron and other redox active metals, is a good model to study how acidophiles preserve the thiol/disulfide balance. We studied the composition of thiol/disulfide systems and their role in the oxidative stress response in this extremophile bacterium. Bioinformatic analysis using genomic data and enzymatic assays using protein extracts from cells grown under oxidative stress revealed that the major thiol/disulfide system from L. ferriphilum are a cytoplasmic thioredoxin system (composed by thioredoxins Trx and thioredoxin reductase TR), periplasmic thiol oxidation system (DsbA/DsbB) and a c-type cytochrome maturation system (DsbD/DsbE). Upon exposure of L. ferriphilum to reactive oxygen species (ROS)-generating compounds, transcriptional activation of the genes encoding Trxs and the TR enzyme, which results in an increase of the corresponding activity, was observed. Altogether these data suggest that the thioredoxin-based thiol/disulfide system plays an important role in redox protection of L. ferriphilum favoring the survival of this microorganism under extreme environmental oxidative conditions.</t>
  </si>
  <si>
    <t>Norambuena, Javiera/MTF-3983-2025; Levican, Gloria/R-5191-2019; Cardenas, Juan/AAB-2469-2020; Quatrini, Raquel/GSD-7689-2022; Quatrini, Raquel/N-1801-2013</t>
  </si>
  <si>
    <t>Quatrini, Raquel/0000-0003-2600-2605; Norambuena, Javiera/0000-0002-2992-4907; Chavez, Renato/0000-0003-1754-3610; Levican, Gloria/0000-0002-1275-7399; Cardenas, Juan Pablo/0000-0001-6715-7270</t>
  </si>
  <si>
    <t>1932-6203</t>
  </si>
  <si>
    <t>SEP 6</t>
  </si>
  <si>
    <t>e44576</t>
  </si>
  <si>
    <t>10.1371/journal.pone.0044576</t>
  </si>
  <si>
    <t>WOS:000308458400089</t>
  </si>
  <si>
    <t>Job, S; Santibanez, F; Tapia, F; Melo, F</t>
  </si>
  <si>
    <t>Job, Stephane; Santibanez, Francisco; Tapia, Franco; Melo, Francisco</t>
  </si>
  <si>
    <t>Wave localization in strongly nonlinear Hertzian chains with mass defect</t>
  </si>
  <si>
    <t>PHYSICAL REVIEW E</t>
  </si>
  <si>
    <t>We report observations of mechanical energy localization in a strongly nonlinear discrete lattice. The experimental setup we consider is a one-dimensional nonloaded horizontal chain of identical spheres interacting via the nonlinear Hertz potential which contains a mass defect. Our experiments show that the interaction of a solitary wave with a light intruder excites a nonlinear localized mode. In agreement with dimensional analysis, we find that the frequency of localized oscillations exceeds the incident wave frequency spectrum and nonlinearly depends on incident wave strength and on mass and size of the intruder. The absence of tensile stress between grains allows some gaps to open, which in turn induces a significant enhancement of the amplitude of oscillations. We performed numerical simulations that precisely describe our observations without any adjusting parameters.</t>
  </si>
  <si>
    <t>Santibañez, Francisco/E-4809-2011; Tapia, Franco/JFJ-2655-2023; Melo, Francisco/M-3923-2014; Job, Stephane/D-9735-2011</t>
  </si>
  <si>
    <t>Tapia Uribe, Franco/0000-0001-9150-3700; Job, Stephane/0000-0003-2853-1893; Melo, Francisco Esteban/0000-0001-6818-5476</t>
  </si>
  <si>
    <t>1539-3755</t>
  </si>
  <si>
    <t>1550-2376</t>
  </si>
  <si>
    <t>AUG</t>
  </si>
  <si>
    <t>10.1103/PhysRevE.80.025602</t>
  </si>
  <si>
    <t>WOS:000269637900009</t>
  </si>
  <si>
    <t>Villablanca, ME; Nadal, JI</t>
  </si>
  <si>
    <t>Villablanca, Miguel E.; Nadal, Jorge I.</t>
  </si>
  <si>
    <t>An efficient current distortion suppression method for six-pulse bridge rectifiers</t>
  </si>
  <si>
    <t>IEEE TRANSACTIONS ON INDUSTRIAL ELECTRONICS</t>
  </si>
  <si>
    <t>In this paper, an efficient current distortion suppression method for six-pulse bridge rectifiers is presented, whereby high-quality waveforms at both ends of the rectifier are possible. The methodology involves accurate shaping of the de current by using two forced commutated switches. It is demonstrated, theoretically and experimentally, that this action on the dc side is reflected back on the ac side, and as a result, perfect sinusoidal input currents, are achieved. In addition, ripple-free voltages and currents are obtained on the dc side by using electrolytic capacitors and smoothing reactors. Rectifying and inverting operations are possible with a simple control circuit, which is also able to both track rapid load variations and overcome failures more efficiently than other modern alternatives. Selected theoretical results are presented, which are fully validated in a laboratory prototype.</t>
  </si>
  <si>
    <t>0278-0046</t>
  </si>
  <si>
    <t>1557-9948</t>
  </si>
  <si>
    <t>OCT</t>
  </si>
  <si>
    <t>10.1109/TIE.2007.899886</t>
  </si>
  <si>
    <t>WOS:000249841600019</t>
  </si>
  <si>
    <t>Bocquet, S; Torres, A; Sanchez, J; Rios, GM; Romero, J</t>
  </si>
  <si>
    <t>Modeling the mass transfer in solvent-extraction processes with hollow-fiber membranes</t>
  </si>
  <si>
    <t>AICHE JOURNAL</t>
  </si>
  <si>
    <t>This work focuses on the modeling of solvent-extraction processes carried out in a hollow-fiber membrane contactor (HFC). A resistance-in-series model has been adapted to deal with a conventional solvent or a nonconventional solvent in subcritical conditions. Two kinds of applications have been chosen to test its validity: extraction of ethanol or acetone from an aqueous solution by subcritical carbon dioxide or propane in a single-fiber module, and extraction of sulfur aroma compounds by hexane. Modifications in membrane characteristics and operating parameters have been investigated to determine optimal conditions. Simulations carried out with carbon dioxide have shown that the resistance in the solvent boundary layer is always negligible, whereas, in the case of hexane, the resistance in the aqueous boundary layer is always predominant. For the application with subcritical carbon dioxide, optimal values of feed and solvent velocities have been obtained. These thresholds correspond to the point where the resistance in the membrane becomes predominant. 2005 American Institute of Chemical Engineers</t>
  </si>
  <si>
    <t>Romero, Julio/I-6705-2013; Sanchez-Marcano, Jose/E-1445-2012</t>
  </si>
  <si>
    <t>Romero, Julio/0000-0002-1229-1592; Sanchez-Marcano, Jose/0000-0003-1783-2092</t>
  </si>
  <si>
    <t>0001-1541</t>
  </si>
  <si>
    <t>1547-5905</t>
  </si>
  <si>
    <t>10.1002/aic.10461</t>
  </si>
  <si>
    <t>WOS:000227894500002</t>
  </si>
  <si>
    <t>Labarca, R; Moreira, C</t>
  </si>
  <si>
    <t>Bifurcation of the essential dynamics of Lorenz maps and applications to Lorenz-like flows: Contributions to the study of the expanding case</t>
  </si>
  <si>
    <t>BOLETIM DA SOCIEDADE BRASILEIRA DE MATEMATICA</t>
  </si>
  <si>
    <t>In this article we provide, by using kneadings sequences, the combinatorial bifurcation diagramme associated to a typical two parameter of Lorenz maps on the real line. We apply these results to two parameter families of geometric Lorenz-like flows.</t>
  </si>
  <si>
    <t>0100-3569</t>
  </si>
  <si>
    <t>10.1007/BF01243862</t>
  </si>
  <si>
    <t>WOS:000171800900001</t>
  </si>
  <si>
    <t>Cortés-Antiquera, R; Marquez, SL; Espina, G; Sanchez-SanMartín, J; Blamey, JM</t>
  </si>
  <si>
    <t>Cortes-Antiquera, Rodrigo; Marquez, Sebastian L.; Espina, Giannina; Sanchez-SanMartin, Jorge; Blamey, Jenny M.</t>
  </si>
  <si>
    <t>Recombinant expression and characterization of a new laccase, bioinformatically identified, from the Antarctic thermophilic bacterium Geobacillus sp. ID17</t>
  </si>
  <si>
    <t>EXTREMOPHILES</t>
  </si>
  <si>
    <t>Geobacillus sp. ID17 is a gram-positive thermophilic bacterium isolated from Deception Island, Antarctica, which has shown to exhibit remarkable laccase activity in crude extract at high temperatures. A bioinformatic search using local databases led to the identification of three putative multicopper oxidase sequences in the genome of this microorganism. Sequence analysis revealed that one of those sequences contains the four-essential copper-binding sites present in other well characterized laccases. The gene encoding this sequence was cloned and overexpressed in Escherichia coli, partially purified and preliminary biochemically characterized. The resulting recombinant enzyme was recovered in active and soluble form, exhibiting optimum copper-dependent laccase activity at 55 &amp; DEG;C, pH 6.5 with syringaldazine substrate, retaining over 60% of its activity after 1 h at 55 and 60 &amp; DEG;C. In addition, this thermophilic enzyme is not affected by common inhibitors SDS, NaCl and l-cysteine. Furthermore, biodecolorization assays revealed that this laccase is capable of degrading 60% of malachite green, 54% of Congo red, and 52% of Remazol Brilliant Blue R, after 6 h at 55 &amp; DEG;C with aid of ABTS as redox mediator. The observed properties of this enzyme and the relatively straightforward overexpression and partial purification of it could be of great interest for future biotechnology applications.</t>
  </si>
  <si>
    <t>Espina, Giannina/AAD-5275-2020; Blamey, Jenny/M-2637-2014</t>
  </si>
  <si>
    <t>Blamey, Jenny/0000-0002-7640-316X; Espina, Giannina/0000-0002-6308-7217</t>
  </si>
  <si>
    <t>1431-0651</t>
  </si>
  <si>
    <t>1433-4909</t>
  </si>
  <si>
    <t>10.1007/s00792-023-01299-y</t>
  </si>
  <si>
    <t>WOS:001025852300001</t>
  </si>
  <si>
    <t>Bastidas, IC; Rodríguez-Ríos, C; Rojas, JP</t>
  </si>
  <si>
    <t>Morales Bastidas, Ingrid Catalina; Yadira Rodriguez-Rios, Claudia; Sepulveda Rojas, Juan Pedro</t>
  </si>
  <si>
    <t>Workload balancing for credit granting process using a Business Process Management approach</t>
  </si>
  <si>
    <t>REVISTA UNIVERSIDAD EMPRESA</t>
  </si>
  <si>
    <t>The objective is to present a workload balancing model within the Business Process Management (BpM) framework through a case study of the stochastic, multi-objective, and complex process of analyzing commercial credit applications in a bank. The bank grapples with resource allocation problems-some resources are overloaded while others are underutilized, resulting in suboptimal response times for credit applicants. The applied methodology encompasses queuing theory, production control tools, and operations analysis techniques such as diagrams and characterization of Jackson networks, along with simulation. It was observed that heuristic and linear programming methods are unsuitable for this process due to its complexity. Consequently, statistical analyses were conducted on various input variables using the Minitab 21.2 (R) software. The SIMIO (R) discrete event simulation software modeled the current situation to identify the root causes of the problem. The objective was to maximize installed capacity utilization while avoiding deterioration in metrics like cycle time and Work in Progress (w8). Therefore, a scenario was sought that, while not necessarily optimal, achieved a balance among all indicators, delivering acceptable results in terms of expected performance. This study holds significance for the financial services sector, as it leads to substantial improvements in key performance indicators for a complex process.</t>
  </si>
  <si>
    <t>0124-4639</t>
  </si>
  <si>
    <t>2145-4558</t>
  </si>
  <si>
    <t>JUL-DEC</t>
  </si>
  <si>
    <t>a12933</t>
  </si>
  <si>
    <t>10.12804/revistas.urosario.edu.co/empresa/a.12933</t>
  </si>
  <si>
    <t>WOS:001085220500001</t>
  </si>
  <si>
    <t>Dintrans, PV; Bautista, EG</t>
  </si>
  <si>
    <t>Dintrans, Pablo Villalobos; Bautista, Emmanuel Gonzalez</t>
  </si>
  <si>
    <t>Functional Dependency in Mexico: Measurement Issues and Policy Challenges</t>
  </si>
  <si>
    <t>INTERNATIONAL JOURNAL OF HEALTH POLICY AND MANAGEMENT</t>
  </si>
  <si>
    <t>Background: Different definitions have been used to measure functional dependency (FD) in Mexico. This study aims to explore if different definitions of FD lead to low consistency between the estimations of its prevalence. Accurate estimations of FD are useful to estimate the potential demand for long-term care (LTC) services in the country. Methods: A literature review including documents with estimations on the number or prevalence of dependents in Mexico with national representativeness between 2000 and 2019 was performed as well as estimations of different definitions of FD, using the National Study on Health and Aging in Mexico (ENASEM). Results: There is a lack of consensus on the definition of FD. Among the most frequently used terms to define FD are disability and dependency. The heterogeneity of definitions results in a wide range of estimations of the demand for LTC. Methodological choices can lead to important differences in FD prevalence estimations. Results from ENASEM 2001 show that FD prevalence could range from 13% to 35% in people 60+; sex prevalences also vary when using different ways to measure FD. Conclusion: Besides the highlighted issues in calculating FD in the population, Mexico should consider broadening the assessment of FD, including people with dementia and younger populations. Although the literature search is not systematic, it helps exemplifying the current issues when measuring FD in Mexico. A consensual definition of dependency is required to have a more accurate estimated demand for LTC. Having good data sources is not enough when dissimilar estimations of an indicator like dependency result from the same study. Wide heterogeneity in estimations of dependency could be an obstacle to inform public policies during the construction of a care system in Mexico.</t>
  </si>
  <si>
    <t>Gonzalez-Bautista, Emmanuel/AAJ-8701-2021; Dintrans, Pablo/AAM-6248-2020</t>
  </si>
  <si>
    <t>Villalobos Dintrans, Pablo/0000-0002-2236-6447; Gonzalez-Bautista, Emmanuel/0000-0001-9844-3034</t>
  </si>
  <si>
    <t>2322-5939</t>
  </si>
  <si>
    <t>10.34172/ijhpm.2020.248</t>
  </si>
  <si>
    <t>DEC 2020</t>
  </si>
  <si>
    <t>WOS:000720060600001</t>
  </si>
  <si>
    <t>Schilkrut, YZ</t>
  </si>
  <si>
    <t>Zaliasnik Schilkrut, Yael</t>
  </si>
  <si>
    <t>Costanera Center as a Stage for the Performativities (of power) of Resistance</t>
  </si>
  <si>
    <t>CUHSO-CULTURA-HOMBRE-SOCIEDAD</t>
  </si>
  <si>
    <t>This This paper deals with the relationship between place and power, shaped by theatricality. It concentrates in some corporeal and ephemeral acts which, consciously or unconsciously, use theatre elements to achieve certain performative eficacy. This, related to staging and excercising the power of resistance in Costanera Center shopping center, located in Santiago de Chile. The owner and representatives of this mall insist on presenting it as an icon of the city and of Chile. These acts show the possible distance and differences, especially due to inequality, between the lived space and perceived space, and the conceived space, in Lefebvre`s conception. As evidenced especially by the analysis of different acts staged in this place (spaces of representation), what is appreciated by many as a dream place, for others represents only frustration, disproportion, a discourse and a script that show the invisibility of their precarious and disposable lives.</t>
  </si>
  <si>
    <t>0716-1557</t>
  </si>
  <si>
    <t>0719-2789</t>
  </si>
  <si>
    <t>10.7770/2452-610X.2020.CUHSO.06.A02</t>
  </si>
  <si>
    <t>WOS:000624603100015</t>
  </si>
  <si>
    <t>Robles-Ortiz, C</t>
  </si>
  <si>
    <t>Robles-Ortiz, Claudio</t>
  </si>
  <si>
    <t>Modernization in the Periphery: The Introduction of the Tractor in Chile, 1910-1935</t>
  </si>
  <si>
    <t>AGRICULTURAL HISTORY</t>
  </si>
  <si>
    <t>This is the first study of the introduction of the tractor in a Latin American country before 1930. Challenging conventional views on agricultural mechanization in Chile, the article shows that a progressive sector of upper-class landowners and state experts introduced tractors, primarily as a solution to poor plowing and low land productivity. The first tractors were tested in 1907, starting a process of technological innovation that resulted in the adoption of tractors after World War I. Introducing the tractor into the large estates of a peripheral rural society was a learning process for Chilean agriculturalists. The first mammoth steam tractors proved unsuitable for Chile's farming practices, but, as US manufacturers produced more efficient models and local distributors successfully marketed them, landowners learned about their advantages. In the 1920s they adopted light, wheeled models that spread throughout Chile in the 1930s. The tractor was the culmination of a long process of mechanization of the Chilean hacienda system that developed from the 1850s. It was also a technological innovation that contributed to the drastic increase of cultivated land in Chile, and one of the sources of economic growth in Chilean agriculture in the early twentieth century.</t>
  </si>
  <si>
    <t>Robles-Ortiz, Claudio/IAQ-6409-2023</t>
  </si>
  <si>
    <t>0002-1482</t>
  </si>
  <si>
    <t>1533-8290</t>
  </si>
  <si>
    <t>SUM</t>
  </si>
  <si>
    <t>10.3098/ah.2020.094.3.413</t>
  </si>
  <si>
    <t>WOS:000551631200004</t>
  </si>
  <si>
    <t>Leiva-Lobos, EP; Ponce, HR; Braganza, SJ</t>
  </si>
  <si>
    <t>IEEE</t>
  </si>
  <si>
    <t>Leiva-Lobos, Edmundo P.; Ponce, Hector R.; Braganza, Santiago J.</t>
  </si>
  <si>
    <t>VisualMail plus as a Dialogue-oriented Forum: An Empirical Case about Cooperation and Learning</t>
  </si>
  <si>
    <t>2020 39TH INTERNATIONAL CONFERENCE OF THE CHILEAN COMPUTER SCIENCE SOCIETY (SCCC)</t>
  </si>
  <si>
    <t>Proceedings of the International Conference of the Chilean Computer Science Society</t>
  </si>
  <si>
    <t>39th International Conference of the Chilean-Computer-Science-Society (SCCC)</t>
  </si>
  <si>
    <t>NOV 16-20, 2020</t>
  </si>
  <si>
    <t>Univ Catolica Norte, ELECTR NETWORK</t>
  </si>
  <si>
    <t>Chilean Comp Sci Soc,IEEE Chile Sect C Chapter</t>
  </si>
  <si>
    <t>Univ Catolica Norte</t>
  </si>
  <si>
    <t>This study experimentally tested whether cooperation among participants increases when they use a forum application with added functionalities derived from the language-action and situated-action perspectives compared with participating in a forum without such features. We used two versions of a visual-based forum application that included functionalities to visualize the threads of an argumentation. The first one is called VisualMail, and the situated language-action enrichedforum is called VisualMail+. A total of 84 college students participated in the study and were randomly assigned to one of 20 different groups. Subsequently, these groups were randomly assigned to use VisualMail or VisualMail+. The results indicate that using VisualMail+ significantly increases cooperation among participants compared with VisualMail, with a large effect size (d = 1.01).</t>
  </si>
  <si>
    <t>Ponce, Hector/H-9545-2019</t>
  </si>
  <si>
    <t>1522-4902</t>
  </si>
  <si>
    <t>978-1-7281-8328-2</t>
  </si>
  <si>
    <t>WOS:000848755600044</t>
  </si>
  <si>
    <t>B</t>
  </si>
  <si>
    <t>Dammert, L</t>
  </si>
  <si>
    <t>Sieder, R; Ansolabehere, K; Alfonso, T</t>
  </si>
  <si>
    <t>Dammert, Lucia</t>
  </si>
  <si>
    <t>CHALLENGES OF POLICE REFORM IN LATIN AMERICA</t>
  </si>
  <si>
    <t>ROUTLEDGE HANDBOOK OF LAW AND SOCIETY IN LATIN AMERICA</t>
  </si>
  <si>
    <t>Routledge Handbooks</t>
  </si>
  <si>
    <t>Dammert, Lucia/U-2327-2019</t>
  </si>
  <si>
    <t>Dammert, Lucia/0000-0003-1239-4425</t>
  </si>
  <si>
    <t>978-1-315-64519-3; 978-1-138-18445-9</t>
  </si>
  <si>
    <t>WOS:000576870100017</t>
  </si>
  <si>
    <t>Donoso, MV; Mascayano, MJ; Poblete, IM; Huidobro-Toro, JP</t>
  </si>
  <si>
    <t>Veronica Donoso, M.; Jesus Mascayano, M.; Poblete, Ines M.; Pablo Huidobro-Toro, J.</t>
  </si>
  <si>
    <t>Increased ATP and ADO Overflow From Sympathetic Nerve Endings and Mesentery Endothelial Cells Plus Reduced Nitric Oxide Are Involved in Diabetic Neurovascular Dysfunction</t>
  </si>
  <si>
    <t>FRONTIERS IN PHARMACOLOGY</t>
  </si>
  <si>
    <t>Since the mechanism of human diabetic peripheral neuropathy and vascular disease in type 1 diabetes mellitus remains unknown, we assessed whether sympathetic transmitter overflow is altered by this disease and associated to vascular dysfunction. Diabetes was induced by streptozotocin (STZ)-treatment and compared to vehicle-treated rats. Aliquots of the ex vivo perfused rat arterial mesenteric preparation, denuded of the endothelial layer, were collected to quantify analytically sympathetic nerve co-transmitters overflow secreted by the isolated mesenteries of both groups of rats. Noradrenaline (NA), neuropeptide tyrosine (NPY), and ATP/metabolites were detected before, during, and after electrical field stimulation (EFS, 20 Hz) of the nerve terminals surrounding the mesenteric artery. NA overflow was comparable in both groups; however, basal or EFS-secreted ir-NPY was 26% reduced (p &lt; 0.05) in diabetics. Basal and EFS-evoked ATP and adenosine (ADO) overflow to the arterial mesentery perfusate increased twofold and was longer lasting in diabetics; purine tissue content was 37.8% increased (p &lt; 0.05) in the mesenteries from STZ-treated group of rats. Perfusion of the arterial mesentery vascular territory with 100 mu M ATP, 100 nM 2-MeSADP, or 1 mu M UTP elicited vasodilator responses of the same magnitude in controls or diabetics, but the increase in luminally accessible NO was 60-70% lower in diabetics (p &lt; 0.05). Moreover, the concentration-response curve elicited by two NO donors was displaced downwards (p &lt; 0.01) in diabetic rats. Parallel studies using primary cultures of endothelial cells from the arterial mesentery vasculature revealed that mechanical stimulation induced a rise in extracellular nucleotides, which in the cells from diabetic rats was larger and longer-lasting when comparing the extracellular release of ATP and ADO values to those of vehicle-treated controls. A 5 min challenge with purinergic agonists elicited a cell media NO rise, which was reduced in the endothelial cells from diabetic rats. Present findings provide neurochemical support for the diabetes-induced neuropathy and show that mesenteric endothelial cells alterations in response to mechanical stimulation are compatible with the endothelial dysfunction related to vascular disease progress.</t>
  </si>
  <si>
    <t>1663-9812</t>
  </si>
  <si>
    <t>MAY 29</t>
  </si>
  <si>
    <t>10.3389/fphar.2018.00546</t>
  </si>
  <si>
    <t>WOS:000433329800001</t>
  </si>
  <si>
    <t>Acuña, G; Cubillos, F; Araya, B; Segovia, G; Pérez, C; Curilem, M; Huanquilef, C</t>
  </si>
  <si>
    <t>Vellasco, MMBR; Valdivia, YJT; Lopes, HS</t>
  </si>
  <si>
    <t>Acuna, Gonzalo; Cubillos, Francisco; Araya, Beatriz; Segovia, Guisselle; Perez, Carlos; Curilem, Millaray; Huanquilef, Cristian</t>
  </si>
  <si>
    <t>NARX Neural Network Model for Predicting Availability of a Heavy Duty Mining Equipment</t>
  </si>
  <si>
    <t>2015 LATIN AMERICA CONGRESS ON COMPUTATIONAL INTELLIGENCE (LA-CCI)</t>
  </si>
  <si>
    <t>Latin America Congress on Computational Intelligence (LA-CCI)</t>
  </si>
  <si>
    <t>OCT 13-16, 2015</t>
  </si>
  <si>
    <t>Curitiba, BRAZIL</t>
  </si>
  <si>
    <t>Universidade Tecnologica Federal Parana,Associacao Brasileira Inteligencia Computacional,Conselho Nacional Desenvolvimento Cientifico Tecnologico,Coordenacao Aperfeicoamento Pessoal Nivel Super,IEEE Comp Int Soc,Universidade Tecnologica Federal Parana</t>
  </si>
  <si>
    <t>In this work a neural network NARX model has been developed in order to predict availability of a heavy duty equipment of an important copper mining site in Chile. Four exogenous inputs have been considered (Number of Detentions, Mean Time to Repair, Mean Time between Failures and Use of Physical Availability) while Availability is the autoregressive variable. A 30 days moving average has been performed over the data. Results confirm that availability can be adequately multiple-step-ahead predicted using this arranged data and a NARX model including the 4 above mentioned variables as exogenous inputs.</t>
  </si>
  <si>
    <t>978-1-4673-8418-6</t>
  </si>
  <si>
    <t>WOS:000380396300017</t>
  </si>
  <si>
    <t>Aedo, O; Barbosa, KA; Alvarez, A</t>
  </si>
  <si>
    <t>Fernandez, MF; Lefranc, GH; Perez, R</t>
  </si>
  <si>
    <t>Aedo, Omar; Barbosa, Karina A.; Alvarez, Arturo</t>
  </si>
  <si>
    <t>Mixed controller design for an UAV flight control system</t>
  </si>
  <si>
    <t>2015 CHILEAN Conference on Electrical, Electronics Engineering, Information and Communication Technologies (CHILECON)</t>
  </si>
  <si>
    <t>CHILEAN Conference on Electrical, Electronics Engineering, Information and Communication Technologies (CHILECON)</t>
  </si>
  <si>
    <t>OCT 28-30, 2015</t>
  </si>
  <si>
    <t>Santiago De Chile, CHILE</t>
  </si>
  <si>
    <t>Univ Cent Chile UCEN,IEEE Consejo Cono Sur,Assoc Chilena Control Automat ACCA</t>
  </si>
  <si>
    <t>This paper presents the design of a robust mixed controller for the Delta wing UAV control system. The proposed controller combines H8 and PID control techniques to achieve the criteria of performance and robustness required by the system against to disturbances caused by the wind. Used as inner loop, the H8 controller regulates system variables, while references correction is performed in an outer loop by a PID controller. Computational simulations are performed in order to show the advantages of the proposed controller, particularly an improved response in the time domain for the UAV system variables.</t>
  </si>
  <si>
    <t>Barbosa, Karina/A-2236-2014</t>
  </si>
  <si>
    <t>Barbosa, Karina A./0000-0001-7183-2662</t>
  </si>
  <si>
    <t>978-1-4673-8756-9</t>
  </si>
  <si>
    <t>WOS:000380551100023</t>
  </si>
  <si>
    <t>Contreras, AMCT</t>
  </si>
  <si>
    <t>Chassin-Trubert Contreras, Anne-Marie</t>
  </si>
  <si>
    <t>Carotid dissection associated with Ehlers-Danlos syndrome. Report of one case</t>
  </si>
  <si>
    <t>In the vascular type of Ehlers-Danlos syndrome there is a defect in the synthesis of collagen type III, important constituent of the blood vessel wall, which may cause arterial rupture and dissection. We report a 15-year-old girl with a history of Ehlers-Danlos syndrome, who suffered an ischemic stroke secondary to dissection of the right internal carotid artery. She was managed conservatively with antiplatelet agents with a good clinical response.</t>
  </si>
  <si>
    <t>0717-6163</t>
  </si>
  <si>
    <t>10.4067/S0034-98872013000300017</t>
  </si>
  <si>
    <t>WOS:000318826600017</t>
  </si>
  <si>
    <t>Corona, RM; Altbir, D; Escrig, J</t>
  </si>
  <si>
    <t>Corona, R. M.; Altbir, D.; Escrig, J.</t>
  </si>
  <si>
    <t>Magnetic properties of elliptical and stadium-shaped nanoparticles: Effect of the shape anisotropy</t>
  </si>
  <si>
    <t>Elliptical and stadium-shaped nanoparticles as a function of their geometry have been investigated using numerical simulations. The effect of the shape anisotropy of the particles on coercivity and remanence together with the angular dependence of the remanence and coercivity are addressed. Our results demonstrate that the stadium-shaped particles have many of the outstanding properties of elliptical particles, but also have unique properties, such that the coercivity and remanence remain stable for a wide range of geometry parameters, and exhibit a peculiar angular dependence in the coercivity. These properties suggest that they can be useful for applications in the area of magnetic recording systems. (C) 2012 Elsevier BY. All rights reserved.</t>
  </si>
  <si>
    <t>Escrig, Juan/N-4304-2015; Altbir, Dora/R-6781-2018</t>
  </si>
  <si>
    <t>Escrig, Juan/0000-0002-3958-8185; Altbir, Dora/0000-0002-2945-4909; Corona, Rosa/0000-0001-6054-5019</t>
  </si>
  <si>
    <t>NOV</t>
  </si>
  <si>
    <t>10.1016/j.jmmm.2012.06.022</t>
  </si>
  <si>
    <t>WOS:000307299700038</t>
  </si>
  <si>
    <t>Rubio, MA; Sánchez, K; Lissi, YE</t>
  </si>
  <si>
    <t>Rubio, Maria A.; Sanchez, Karen; Lissi, Y. E.</t>
  </si>
  <si>
    <t>OZONE LEVELS ASSOCIATED TO THE PHOTOCHEMICAL SMOG IN SANTIAGO OF CHILE. THE ELUSIVE ROL OF HYDROCARBONS</t>
  </si>
  <si>
    <t>Santiago of Chile presents, in autumn and summer, high levels of oxidants and, in particular of ozone. Peculiar features of this phenomenon are a strong dependence of the contamination with the daily maxima temperature and a weekend effect, comprising relatively high ozone levels in spite of reduced emissions of its precursors. A common explanation of these effects could be an increase in the VOCs/NOx ratio. In order to test this possibility we perform la multiparametric analysis of Santiago's historical data. This data treatment corroborates a robust dependence of maxima ozone levels with temperature and a moderate weekend effect. In fact, ozone levels in weekend days are similar to those of working days, in spite of significantly reduced primary emissions (29% of NOx and 20% of CO). However, no increase in VOCs/NOx ratios, measured at the early morning rush out hours, is observed in high temperature days. On the other hand, the data suggest a moderate increase of the VOCs/NOx ratio in week ends. This would indicate that other factors beyond a simple increase in VOCs levels contribute to the above mentioned peculiarities of oxidant levels in the urban atmosphere of Santiago</t>
  </si>
  <si>
    <t>Bajo, Maria/ABF-6991-2020</t>
  </si>
  <si>
    <t>WOS:000293676300019</t>
  </si>
  <si>
    <t>Cotoras, M; García, C; Mendoza, L</t>
  </si>
  <si>
    <t>Cotoras, Milena; Garcia, Carolina; Mendoza, Leonora</t>
  </si>
  <si>
    <t>Botrytis cinerea isolates collected from grapes present different requirements for conidia germination</t>
  </si>
  <si>
    <t>MYCOLOGIA</t>
  </si>
  <si>
    <t>Botrytis cinerea presents high variability in several biological traits, which can be explained by the high degree of genotypic diversity among isolates. Because this genetic variability might be related to phenotypic differences the requirements for conidia germination of three natural isolates (G1, G5 and G11) obtained From grapes and belonging to the same genetic group were analyzed. The results showed that contact with a solid surface was a common requisite for conidia germination of the isolates but they differed in their nutritional requirements to germinate. Isolate G11 was able to germinate in the absence of a carbon or nitrogen source. G1 and G5 required the presence of a carbon source such as glucose, fructose or sucrose. In G11 and G5 isolates a much higher rate of germination was obtained in the presence of sucrose. It was shown with a pharmacological approach that, the cAMP stimulated the germination only in those isolates requiring a carbon source. Conidia germination of G1 and G5 was inhibited by EGTA, a calcium chelator. Isolate G11 germinated in the presence of this compound. On the Other hand the germination of three B. cinerea isolates required protein synthesis and did not require RNA synthesis. To explain the ability of isolate G11 to germinate in water the content. of total and reducing sugars, mannitol/L-arabitol, trehalose, and proteins in the nongerminated conidia of the three isolates was compared. The isolates presented similar amounts of total and reducing sugars. In the three isolates the amount of mannitol/L-arabitol was higher than that. of trehalose. In isolate G11 total protein content was twice higher than in the other isolates.</t>
  </si>
  <si>
    <t>0027-5514</t>
  </si>
  <si>
    <t>1557-2536</t>
  </si>
  <si>
    <t>MAY-JUN</t>
  </si>
  <si>
    <t>10.3852/08-012</t>
  </si>
  <si>
    <t>WOS:000266620300001</t>
  </si>
  <si>
    <t>Géminard, JC; Bernal, R; Melo, F</t>
  </si>
  <si>
    <t>Wrinkle formations in axi-symmetrically stretched membranes</t>
  </si>
  <si>
    <t>EUROPEAN PHYSICAL JOURNAL E</t>
  </si>
  <si>
    <t>We study experimentally the main features of wrinkles that form in an initially stretched and flat elastic membrane when subjected to an axi-symmetric traction force at the center. The wavelength and amplitude of the wrinkle pattern are accurately characterized as the membrane tension and the traction forced are varied. We show that wrinkles are the result of a supercritical instability and appear for a well-defined critical traction force that is a function of the membrane tension. Wrinkle length and amplitude increase as the traction force is increased further. By contrast, both quantities decrease as the membrane tension is increased. Calculations based on symmetry arguments and elastic-energy minimization are in good agreement with experiments and provide a simple way to investigate configurations that are difficult to access experimentally. Such problems include wrinkles in elastic nano-films on finite-thickness viscous substrates used in semiconductor technology or in cellular forces detection.</t>
  </si>
  <si>
    <t>Melo, Francisco/M-3923-2014; Bernal, Roberto/E-5275-2011</t>
  </si>
  <si>
    <t>Melo, Francisco Esteban/0000-0001-6818-5476; Bernal, Roberto/0000-0002-4295-270X; GEMINARD, Jean-Christophe Nicolas Denis/0000-0002-9773-4806</t>
  </si>
  <si>
    <t>1292-8941</t>
  </si>
  <si>
    <t>1292-895X</t>
  </si>
  <si>
    <t>10.1140/epje/i2004-10041-1</t>
  </si>
  <si>
    <t>WOS:000225054500002</t>
  </si>
  <si>
    <t>Abuin, E; Lissi, E; Olivares, K</t>
  </si>
  <si>
    <t>Dependence of the critical amount of N-hexanol required to form a water-in-oil microemulsion with the surfactant characteristics</t>
  </si>
  <si>
    <t>The amount of n-hexanol required to produce a clear microemulsion in a water-in-oil quaternary system comprising a surfactant, 2,2,4-trimethylpentane, water and the alkanol, was evaluated employing cationic, anionic, zwitterionic and neutral surfactants. The critical analytical n-hexanol concentration, the number of n-hexanol molecules at the interface per surfactant (n), and the distribution constant of the alkanol between the organic pseudophase and the interface are determined by the charge of the surfactant head, being almost independent of the alkyl chain length, the counterion and the surfactant head. The values of n are similar for cationic and anionic surfactants. However, due to a less favorable distribution between the organic solvent and the interface, critical n-hexanol concentrations are significantly higher for the anionic surfactants.</t>
  </si>
  <si>
    <t>0717-9324</t>
  </si>
  <si>
    <t>WOS:000223792700004</t>
  </si>
  <si>
    <t>Chaná, P; Fierro, A; Reyes-Parada, M; Sáez-Briones, P</t>
  </si>
  <si>
    <t>Pharmacokinetic comparison of Sinemet® and Grifoparkin® (levodopa/carbidopa) in Parkinson's disease:: a single dose study</t>
  </si>
  <si>
    <t>Background: There are doubts wether generic medications have the same bioavailability and efficacy compared with the original drugs developed by pharmaceutical companies with research capabilities. Aim: To compare the pharmacokinetics and clinical (motor) responses of Sinemet((R)) and Grifoparkin((R)) (generic carbidopa/levodopa 250/25 mg) in patients with advanced Parkinson's disease. Patients and methods. Patients were randomly assigned to Sinemet((R)) (15 patients 62 12 years old; mean disease duration 11 7 years) or Grifoparkin((R)) (15 Patients, 64 +/- 11 years old; mean disease duration 12 4 years) groups. Medication and food were withheld 12 b before the study. Fifteen blood samples were collected (starting 9 AM) immediately before (sample 1, t=0 min) and after (samples 2-15, t=20-360 min) oral administration of a single dose of Sinemet((R)) or Grifoparkin((R)) and plasmatic L-DOPA was quantified using HPLC with electrochemical detection. Additionally, each patient was clinically evaluated every 20 minutes, using the tapping test and the unified Parkinson's disease scale Hoehn &amp; Yarb. Results: T-max (time at which the maximal L-DOPA concentration was reached) were 69 +/- 12 min and 64 +/- 11 min for Sinemet((R)) and Grifoparkin((R)) respectively (NS). C-max (maximal L-DOPA concentration reached) was 3161+/-345 ng/ml for Sinemet((R)) and 3274+/-520 ng/ml for Grifoparkin((R)) (NS). The(t1/2) (half life time), CL (clearance) and volume of distribution (VI) values calculated were 159+/-32 min, 51.7+/-5.1 1/h and 3.6+/-1.2 l/kg for Sinemet((R)) and 161 48 min, 58.7+/-8 l/h and 3.0+/-0.7 l/kg for Grifoparkin((R)) (NS). UPDRS-III value for the best on state and for the worst off state were 23+/-11 and 50+/-19 for Sinemet((R)) and 20 and 46+/-13 for Grifoparkin((R)) respectively (NS). Conclusion: the results obtained showed that both drugs arc, bioequivalent in patients with advanced Parkinson's disease.</t>
  </si>
  <si>
    <t>Chana, Pedro/ABG-9944-2020</t>
  </si>
  <si>
    <t>WOS:000184666700006</t>
  </si>
  <si>
    <t>LISSI, E; PASCUAL, C; DELCASTILLO, MD</t>
  </si>
  <si>
    <t>LUMINOL LUMINESCENCE INDUCED BY 2,2'-AZO-BIS(2-AMIDINOPROPANE) THERMOLYSIS</t>
  </si>
  <si>
    <t>FREE RADICAL RESEARCH COMMUNICATIONS</t>
  </si>
  <si>
    <t>2,2'-Azo-bis)2-amidinopropane) thermolysis induces luminol luminescence. The luminescence intensity is quenched by SOD, catalase, Trolox and human blood serum. However, the time course of the light intensity profile is different for the different additives. In particular, the quenching efficiency of Trolox and human blood serum decreases with time after addition. Double quenching experiments show that SOD and Trolox are not competitive quenchers, while a simple competition can be established between Trolox and human blood serum in trapping a common intermediate. From the kinetic analysis of the data it is concluded that, at least at low additive concentrations, Trolox scavenges a luminol derived radical. Higher concentrations of Trolox or human blood serum produce induction times that are proportional to the additives concentrations. The possibility of employing luminol luminescence in the evaluation of TRAP levels and the capacity of biological samples to scavenge free radicals is discussed.</t>
  </si>
  <si>
    <t>del Castillo, MD/J-6283-2012</t>
  </si>
  <si>
    <t>del Castillo, MD/0000-0001-6309-5383</t>
  </si>
  <si>
    <t>8755-0199</t>
  </si>
  <si>
    <t>10.3109/10715769209079523</t>
  </si>
  <si>
    <t>WOS:A1992KD03400002</t>
  </si>
  <si>
    <t>Bruna, H; Allende-Seco, R; Artigas, A; Monsalve, A; Sánchez, C</t>
  </si>
  <si>
    <t>Bruna, Hector; Allende-Seco, Rodrigo; Artigas, Alfredo; Monsalve, Alberto; Sanchez, Christian</t>
  </si>
  <si>
    <t>Effect of Copper and Nickel Content on the Corrosion Mechanisms in Ferritic Matrix Gray Cast Irons under Simulated Marine Environments</t>
  </si>
  <si>
    <t>METALS</t>
  </si>
  <si>
    <t>This article investigated the influence of copper (Cu) and nickel (Ni) on atmospheric corrosion in gray cast iron under simulated marine conditions. The goal was to compare the effect of Cu and Ni addition in castings with weathering steels. Selected alloys were cast, cut, prepared, and heat-treated for microstructure homogenization. Accelerated corrosion tests were conducted using a salt spray chamber. Corroded samples were analyzed for corrosion thickness and deposits using scanning electron microscopy, X-ray diffraction, and electrochemical techniques. The results indicate that alloying elements significantly affect corrosion processes. In the long-term, Cu had a greater impact on the corrosion mechanisms than Ni. Both Cu and Ni exhibited similar effects on the corrosion mechanisms in gray cast iron and weathering steels. In the initial and final stages, the behavior was comparable to that of weathering steels, but in the intermediate stage, it differed from the literature, suggesting the presence of an additional mechanism between these stages.</t>
  </si>
  <si>
    <t>Artigas, Alfredo/Y-1185-2019</t>
  </si>
  <si>
    <t>Monsalve, Alberto/0000-0002-5772-8815; Bruna, Hector/0000-0003-0157-3620</t>
  </si>
  <si>
    <t>2075-4701</t>
  </si>
  <si>
    <t>10.3390/met14060696</t>
  </si>
  <si>
    <t>WOS:001256525600001</t>
  </si>
  <si>
    <t>Maldonado, M; Cretier, R; Melendez, M; Gomez, CO</t>
  </si>
  <si>
    <t>Maldonado, M.; Cretier, R.; Melendez, M.; Gomez, C. O.</t>
  </si>
  <si>
    <t>A new approach to measure gas holdup in industrial flotation machines. Part II: Effect of fluid properties</t>
  </si>
  <si>
    <t>MINERALS ENGINEERING</t>
  </si>
  <si>
    <t>A real-time gas holdup sensor comprising a gas exclusion cell connected to a magnetic flowmeter has been described and tested with water in a previous communication. Gas holdup calculation based on this approach requires, in addition to the measurement of the exit flow velocity provided by the magnetic flowmeter, the sensor's dimensions and the actual discharge coefficient. This communication characterizes discharge coefficient and gas holdup measurement errors, for one of the original prototypes working with solutions of glycerine and sodium chloride and suspensions of particles having different size distribution and concentration. An underlying fairly unique relationship between discharge coefficient and Reynolds number was found for the fluid tested. This result significantly simplifies the application of the gas hold up sensor at the industrial scale as calibration can be carried out off-line using water instead of the actual slurry without sacrificing accuracy. Gas holdup measurement from the sensor prototype fully immersed in aerated suspensions of different size and concentration were found to be practically unbiased, very precise and insensitive to the fluid properties.</t>
  </si>
  <si>
    <t>0892-6875</t>
  </si>
  <si>
    <t>MAR 15</t>
  </si>
  <si>
    <t>10.1016/j.mineng.2019.106177</t>
  </si>
  <si>
    <t>WOS:000517854300007</t>
  </si>
  <si>
    <t>Riveros, A; Carvajal, DA; Escrig, J</t>
  </si>
  <si>
    <t>Riveros, A.; Carvajal, D. A.; Escrig, J.</t>
  </si>
  <si>
    <t>Surface anisotropy in a magnetic cylinder induced by the displacement of a vortex core</t>
  </si>
  <si>
    <t>In this article we investigate the induction of a surface anisotropy due to the displacement of the vortex core in a cylindrical nanostructure. In fact, the effect of the displacement of the vortex core in the dipolar energy can be modeled simply as a surface anisotropy of the form E-s = K-s integral(gm) dg ((n) over cap.(m) over cap)(2)/2. Moreover, the surface anisotropy constant K-s is proportional to the cylinder in-plane demagnetizing factor in the direction of the core deviation, N-y(L/R), i.e., K-s = mu(0) M-0(2) R N-y (L/R), where R and L are the radius and the thickness of the cylinder, respectively. Our results show that the term of the nontrivial dipolar energy caused by the charges in the cylinder mantle can be replaced by a simple integral E-s that increases the efficiency of the numerical calculations in the analytical study of the displacement of the vortex core in magnetic vortices.</t>
  </si>
  <si>
    <t>Rodríguez, Alejandro/R-4062-2019; Escrig, Juan/N-4304-2015</t>
  </si>
  <si>
    <t>Escrig, Juan/0000-0002-3958-8185; Riveros, Alejandro/0000-0002-4924-663X</t>
  </si>
  <si>
    <t>APR 1</t>
  </si>
  <si>
    <t>10.1016/j.jmmm.2018.11.075</t>
  </si>
  <si>
    <t>WOS:000458152000043</t>
  </si>
  <si>
    <t>Thompson, DA; Cubillos, FA</t>
  </si>
  <si>
    <t>Thompson, Dawn A.; Cubillos, Francisco A.</t>
  </si>
  <si>
    <t>Natural gene expression variation studies in yeast</t>
  </si>
  <si>
    <t>YEAST</t>
  </si>
  <si>
    <t>The rise of sequence information across different yeast species and strains is driving an increasing number of studies in the emerging field of genomics to associate polymorphic variants, mRNA abundance and phenotypic differences between individuals. Here, we gathered evidence from recent studies covering several layers that define the genotype-phenotype gap, such as mRNA abundance, allele-specific expression and translation efficiency to demonstrate how genetic variants co-evolve and define an individual's genome. Moreover, we exposed several antecedents where inter- and intra-specific studies led to opposite conclusions, probably owing to genetic divergence. Future studies in this area will benefit from the access to a massive array of well-annotated genomes and new sequencing technologies, which will allow the fine breakdown of the complex layers that delineate the genotype-phenotype map. Copyright (c) 2016 John Wiley &amp; Sons, Ltd.</t>
  </si>
  <si>
    <t>Cubillos, Francisco/MIT-2389-2025; Cubillos, Francisco/G-5195-2019</t>
  </si>
  <si>
    <t>Cubillos, Francisco/0000-0003-3022-469X</t>
  </si>
  <si>
    <t>0749-503X</t>
  </si>
  <si>
    <t>1097-0061</t>
  </si>
  <si>
    <t>10.1002/yea.3210</t>
  </si>
  <si>
    <t>WOS:000394278700001</t>
  </si>
  <si>
    <t>Adami, N; Caps, H</t>
  </si>
  <si>
    <t>Adami, N.; Caps, H.</t>
  </si>
  <si>
    <t>Capillary-driven two-dimensional buoyancy in vertical soap films</t>
  </si>
  <si>
    <t>EPL</t>
  </si>
  <si>
    <t>The present study aims to investigate the capillary-driven buoyant effects in nearly two-dimensional systems. The case of rising rings in vertical soap films is studied both experimentally and theoretically. Since the pioneering works of Mysels and coworkers, the thickness differences and related two- dimensional densities are considered as the motor leading to two- dimensional buoyancy. We show how this effect can be re- interpreted in terms of the surface tension profiles present at the film interfaces. We propose a model involving surface tension profiles, as well as an adapted expression for the mass of the rising rings, and compare it to experimental data. Copyright (C) EPLA, 2014</t>
  </si>
  <si>
    <t>caps, herve/0000-0001-5660-0935</t>
  </si>
  <si>
    <t>0295-5075</t>
  </si>
  <si>
    <t>1286-4854</t>
  </si>
  <si>
    <t>10.1209/0295-5075/106/46001</t>
  </si>
  <si>
    <t>WOS:000337348100014</t>
  </si>
  <si>
    <t>Abuin, E; Lissi, E; Ahumada, M; Calderón, C</t>
  </si>
  <si>
    <t>Abuin, Elsa; Lissi, Eduardo; Ahumada, Manuel; Calderon, Cristian</t>
  </si>
  <si>
    <t>Effect of Human Serum Albumin on the Kinetics of N-glutaryl-L-phenylalanine p-nitroanilide Hydrolysis Catalyzed by α-Chymotrypsin</t>
  </si>
  <si>
    <t>PROTEIN JOURNAL</t>
  </si>
  <si>
    <t>The effect of human serum albumin (HSA) addition on the rate of hydrolysis of N-glutaryl-L-phenylalanine p-nitroanilide (GPNA) catalyzed by alpha-chymotrypsin has been measured in phosphate buffer saline at pH = 7.4. The presence of HSA (up to 200 mu M) leads to a decrease in the rate of the process. The reaction follows a Michaelis-Menten mechanism under all the conditions employed. To take into account the effect of substrate depletion due to its binding to albumin ultrafiltration experiments were carried out from which the binding of GPNA to HSA was derived. After correction of the kinetic data taking into account the binding of GPNA to HSA, the activity of the enzyme, and the derived Michaelis constant and catalytic rate constant tends to remain almost independent of the presence of albumin, indicating that the depletion of the substrate due to its binding to HSA is the main factor affecting the enzyme activity.</t>
  </si>
  <si>
    <t>Calderon, cristian/GQA-7422-2022; Ahumada, Manuel/L-2401-2018</t>
  </si>
  <si>
    <t>Ahumada, Manuel/0000-0002-0589-3296</t>
  </si>
  <si>
    <t>1572-3887</t>
  </si>
  <si>
    <t>1573-4943</t>
  </si>
  <si>
    <t>FEB</t>
  </si>
  <si>
    <t>10.1007/s10930-011-9315-3</t>
  </si>
  <si>
    <t>WOS:000287751600010</t>
  </si>
  <si>
    <t>Fazzini, RAB; Levican, G; Parada, P</t>
  </si>
  <si>
    <t>Fazzini, Roberto A. Bobadilla; Levican, Gloria; Parada, Pilar</t>
  </si>
  <si>
    <t>Acidithiobacillus thiooxidans secretome containing a newly described lipoprotein Licanantase enhances chalcopyrite bioleaching rate</t>
  </si>
  <si>
    <t>APPLIED MICROBIOLOGY AND BIOTECHNOLOGY</t>
  </si>
  <si>
    <t>The nature of the mineral-bacteria interphase where electron and mass transfer processes occur is a key element of the bioleaching processes of sulfide minerals. This interphase is composed of proteins, metabolites, and other compounds embedded in extracellular polymeric substances mainly consisting of sugars and lipids (Gehrke et al., Appl Environ Microbiol 64(7):2743-2747, 1998). On this respect, despite Acidithiobacilli-a ubiquitous bacterial genera in bioleaching processes (Rawlings, Microb Cell Fact 4(1):13, 2005)-has long been recognized as secreting bacteria (Jones and Starkey, J Bacteriol 82:788-789, 1961; Schaeffer and Umbreit, J Bacteriol 85:492-493, 1963), few studies have been carried out in order to clarify the nature and the role of the secreted protein component: the secretome. This work characterizes for the first time the sulfur (meta)secretome of Acidithiobacillus thiooxidans strain DSM 17318 in pure and mixed cultures with Acidithiobacillus ferrooxidans DSM 16786, identifying the major component of these secreted fractions as a single lipoprotein named here as Licanantase. Bioleaching assays with the addition of Licanantase-enriched concentrated secretome fractions show that this newly found lipoprotein as an active protein additive exerts an increasing effect on chalcopyrite bioleaching rate.</t>
  </si>
  <si>
    <t>Parada, Pilar/JFS-0343-2023; Levican, Gloria/R-5191-2019</t>
  </si>
  <si>
    <t>Parada, Pilar/0000-0001-8658-1632; Levican, Gloria/0000-0002-1275-7399; Bobadilla-Fazzini, Roberto/0000-0003-1487-0448</t>
  </si>
  <si>
    <t>0175-7598</t>
  </si>
  <si>
    <t>1432-0614</t>
  </si>
  <si>
    <t>10.1007/s00253-010-3063-8</t>
  </si>
  <si>
    <t>WOS:000286429400030</t>
  </si>
  <si>
    <t>Zúñiga, EA; Matsuhiro, B; Mejías, E</t>
  </si>
  <si>
    <t>Zuniga, Efisa A.; Matsuhiro, Betty; Mejias, Enrique</t>
  </si>
  <si>
    <t>Preparation of a low-molecular weight fraction by free radical depolymerization of the sulfated galactan from Schizymenia binderi (Gigartinales, Rhodophyta) and its anticoagulant activity</t>
  </si>
  <si>
    <t>CARBOHYDRATE POLYMERS</t>
  </si>
  <si>
    <t>Depolymerization of the sulfated galactan from Schizymenia binderi with H2O2 in the presence of copper (11) acetate afforded a homogeneous fraction (MW 8500) in 50% yield. Alkylation and NMR spectroscopy analysis of this fraction indicated the presence of an agaran-carrageenan hybrid polysaccharide composed of 3-linked beta-D-galactopyranosyl residue partially sulfated at position O-2 and 4-linked alpha-D-galactopyranosyl and alpha-L-galactopyranosyl residues mainly sulfated at position O-3 and glycosylated at position O-2. Discreet anticoagulant activity, similar to that of the native polysaccharide was found in the derivative obtained by sulfation of this fraction. (c) 2006 Elsevier Ltd. All rights reserved.</t>
  </si>
  <si>
    <t>Mejias, Enrique/ABF-1155-2022; Mejias, Enrique/N-3564-2017</t>
  </si>
  <si>
    <t>Zuniga, Elisa/0000-0002-9232-6651; Mejias, Enrique/0000-0001-5577-3025</t>
  </si>
  <si>
    <t>0144-8617</t>
  </si>
  <si>
    <t>1879-1344</t>
  </si>
  <si>
    <t>OCT 27</t>
  </si>
  <si>
    <t>10.1016/j.carbpol.2006.03.007</t>
  </si>
  <si>
    <t>WOS:000241489900008</t>
  </si>
  <si>
    <t>Monsalve, A; Morales, R</t>
  </si>
  <si>
    <t>Characterization of fracture behavior of 2024-0 and 2024-T3 aluminum alloys</t>
  </si>
  <si>
    <t>REVISTA DE METALURGIA</t>
  </si>
  <si>
    <t>The fracture behavior of 2024-O (annealed) and 2024-T3 (precipitation hardened) aluminum alloys used in aeronautical applications have been characterized. The study of the annealed alloy was carried Out through the concept of Essential Specific Work of Fracture, using the ESIS protocol. DENT (Double Edge Notch Tension) samples were used, varying the ligament length in order to determine the relationship between the essential specific work of fracture and the thickness of the material. In the case of 2024-T3 alloy, the essential specific work of fracture was determined only for low thicknesses, where the predominant conditions are plane stress. However, for this alloy, the results were not conclusive because of the high fracture toughness of these hardened alloys. Finally, the fracture surface of these alloys was characterized finding a ductile mechanism in the case of the annealed alloy and ductile-brittle mechanism in the case of the hardened alloy.</t>
  </si>
  <si>
    <t>0034-8570</t>
  </si>
  <si>
    <t>NOV-DEC</t>
  </si>
  <si>
    <t>10.3989/revmetalm.2004.v40.i6.302</t>
  </si>
  <si>
    <t>WOS:000227616500007</t>
  </si>
  <si>
    <t>Gramsch, E; Avila, RE</t>
  </si>
  <si>
    <t>Performance of a novel planar-processed avalanche photodiode for light and x-ray detection</t>
  </si>
  <si>
    <t>OPTICAL ENGINEERING</t>
  </si>
  <si>
    <t>We perform a detailed investigation of the light and x-ray response of a newly developed planar avalanche photodiode (APD) of the deep diffused type. This type of photodetector design has the low noise characteristics obtained from the deep diffusion process, but it is built using only standard planar technology. We measure an excess noise factor of 1.8 at a gain of 6, which is similar to that of other commercial APDs. With this type of structure, the expected gain is similar to500 at 1600 V. We do not achieve this gain because of an early breakdown at the surface. Future designs will incorporate improvements in the structure to avoid surface breakdown. In spite of the low gain, the level of noise that we find indicates that this structure, reaching full breakdown, has potential for very good performance. At this gain, it is found that the dominant contribution to the broadening of the energy resolution comes from preamplifier voltage noise. The measured capacitance is 20 pF, and the rise time is 9 Ins at 1300 V. The dependence of the gain on the density of primary carriers generated is also investigated. When the gain is measured with a particles (these particles generate a large number of primary electrons in an area of a few micrometers), it is lower than the gain measured with light (primary electrons generated by light are spread over a large area). The decrease starts to be seen at a gain of 2. When a large amount of charge (90 x 10(-6) e) is injected via a light pulse into a larger area (0.3 mm diameter), no effect is seen. (C) 2003 Society of Photo-Optical Instrumentation Engineers.</t>
  </si>
  <si>
    <t>Gramsch, Ernesto/M-5507-2017</t>
  </si>
  <si>
    <t>0091-3286</t>
  </si>
  <si>
    <t>10.1117/1.1596434</t>
  </si>
  <si>
    <t>WOS:000185295800008</t>
  </si>
  <si>
    <t>Escudey, M; Díaz, P; Fórster, JE; Pizarro, C; Beltrán, L; Galindo, G</t>
  </si>
  <si>
    <t>Prediction of K-Ca-Mg ternary exchange from binary isotherms in volcanic soils using the Rothmund-Kornfeld approach</t>
  </si>
  <si>
    <t>AUSTRALIAN JOURNAL OF SOIL RESEARCH</t>
  </si>
  <si>
    <t>The Gaines-Thomas formulation of the Rothmund-Kornfeld equation was used to predict the K-Ca-Mg exchange in variable surface charge soils. Binary and ternary equilibria were carried out at 25degreesC and at constant ionic strength of 0.050 mol/L. The selectivity sequence K &gt; Ca &gt; Mg was observed in binary isotherms. The experimental ternary isotherms are well described from binary data. When experimental v. calculated equivalent fractions were plotted, slopes between 0.901 and 1.051, and correlations between 0.970 and 0.986, were obtained. The design used assures in volcanic soils that no, or minor, changes in surface charge, cation exchange capacity, and selectivity occur, but the predicted ternary values are restricted to the same binary experimental conditions employed.</t>
  </si>
  <si>
    <t>Beltran, Laura/KIE-0073-2024</t>
  </si>
  <si>
    <t>Pizarro, Carmen/0000-0003-4927-5681</t>
  </si>
  <si>
    <t>0004-9573</t>
  </si>
  <si>
    <t>UNSP 0004-9573/02/050781</t>
  </si>
  <si>
    <t>10.1071/SR01069</t>
  </si>
  <si>
    <t>WOS:000177524300007</t>
  </si>
  <si>
    <t>Saavedra, C; Vásquez, C; Encinas, MV</t>
  </si>
  <si>
    <t>Structural studies of the BstVI restriction-modification proteins by fluorescence spectroscopy</t>
  </si>
  <si>
    <t>EUROPEAN JOURNAL OF BIOCHEMISTRY</t>
  </si>
  <si>
    <t>Structural studies of the proteins of the BstVI restriction-modification system of Bacillus stearothermophilus V were carried out using intrinsic fluorescence techniques. The exposure and environments of their tryptophanyl residues were determined using collisional quenchers. Quenching of BstVI endonuclease by iodide suggested a heterogeneous class of tryptophan residues, while the results obtained with M.BstVI methylase were consistent with a rather exposed tryptophan population. A comparison of the quenching efficiencies at 20 degrees C and 55 or 60 degrees C showed that their structures are more flexible and open at the temperature at which they exhibit maximal activity. The endonuclease reached its active conformation only after 1 h of incubation at 60 degrees C. Fluorescence changes were observed upon Mn2+ and Mg2+ binding, with K-d values in the range 3-5 mu M. The binding of S-adenosyl-L-methionine to the methylase produced conformational changes, which were consistent with binding to a single site of K-d 550 and 680 mu M at 20 degrees C and 55 degrees C, respectively. Quenching experiments with iodide showed that the presence of S-adenosyl-L-methionine leads to different conformational states at 20 degrees C and 55 degrees C. These results were interpreted in terms of differences in the structural characteristics of these restriction-modification proteins as well as in terms of differences in the conformational states that these enzymes exhibit at 20 degrees C and at the temperature at which they are most active.</t>
  </si>
  <si>
    <t>Encinas, Maria/L-9686-2014</t>
  </si>
  <si>
    <t>0014-2956</t>
  </si>
  <si>
    <t>10.1046/j.1432-1327.1999.00453.x</t>
  </si>
  <si>
    <t>WOS:000081480800010</t>
  </si>
  <si>
    <t>ABUIN, E; LISSI, E; ARAVENA, D; ZANOCCO, A; MACUER, M</t>
  </si>
  <si>
    <t>A FLUORESCENCE PROBE STUDY OF THE EFFECT OF SIZE ON THE PROPERTIES OF DIOCTADECYLDIMETHYLAMMONIUM CHLORIDE VESICLES</t>
  </si>
  <si>
    <t>JOURNAL OF COLLOID AND INTERFACE SCIENCE</t>
  </si>
  <si>
    <t>0021-9797</t>
  </si>
  <si>
    <t>10.1016/0021-9797(88)90303-7</t>
  </si>
  <si>
    <t>WOS:A1988M370600023</t>
  </si>
  <si>
    <t>Yuing-Alfaro, T; Carrizo, JPA</t>
  </si>
  <si>
    <t>Yuing-Alfaro, Tuillang; Carrizo, Juan Pablo Arancibia</t>
  </si>
  <si>
    <t>The meeting line of the body and the soul. Notes about the flesh in the project of a History of sexuality</t>
  </si>
  <si>
    <t>ISEGORIA</t>
  </si>
  <si>
    <t>The proposal reviews some thematic notes as an overall perspective of the project of a History of sexuality. In this sense, the notion of the body as affected by power and force allows a link with the notion of flesh. A path is thus established that considers, at first, the characteristics that the body takes from a genealogical perspective. A second question is about the particular form of forces in the context of ancient Greece composed of free men. In a third moment, the body is analyzed as an instance which, in the face of the technologies of power, gives shape to a dimension that is simultaneously individual and social. In another moment, the body is examined as a place that allows a reading of sexuality as a discursive inscription which the truth of the subjects appears.</t>
  </si>
  <si>
    <t>1130-2097</t>
  </si>
  <si>
    <t>1988-8376</t>
  </si>
  <si>
    <t>JAN-JUN</t>
  </si>
  <si>
    <t>10.3989/isegoria.2024.70.1451</t>
  </si>
  <si>
    <t>WOS:001367162400028</t>
  </si>
  <si>
    <t>Duarte, FJ; Olivares, IE</t>
  </si>
  <si>
    <t>Duarte, F. J.; Olivares, I. E.</t>
  </si>
  <si>
    <t>N-slit quantum interferometers in the nanometer domain</t>
  </si>
  <si>
    <t>APPLIED PHYSICS B-LASERS AND OPTICS</t>
  </si>
  <si>
    <t>N-slit quantum interferometers, with dimensions in the micrometer and nanometer range, are designed and theoretically quantified, for the first time to our knowledge, for the detection and characterization of fibers with diameters in the nanometer regime, under x-ray illumination, and in the femtometer regime, under gamma-ray illumination.</t>
  </si>
  <si>
    <t>Olivares, Ignacio/AAU-9355-2021; Duarte, Fernando/AAF-4712-2020</t>
  </si>
  <si>
    <t>Duarte, F. J./0000-0001-6275-4674; Olivares, Ignacio/0000-0001-8440-7665</t>
  </si>
  <si>
    <t>0946-2171</t>
  </si>
  <si>
    <t>1432-0649</t>
  </si>
  <si>
    <t>10.1007/s00340-023-08021-y</t>
  </si>
  <si>
    <t>WOS:000984854900001</t>
  </si>
  <si>
    <t>Pavez, DR; Ortiz, CR</t>
  </si>
  <si>
    <t>Pavez, Diego Romero; Ortiz, Claudio Robles</t>
  </si>
  <si>
    <t>Commercial Aviation Firms and the Agricultural Sector in Chile, 1948-1973</t>
  </si>
  <si>
    <t>HISTORIA CRITICA</t>
  </si>
  <si>
    <t>Context/Objective: This article examines the role that an emerging sector of private commercial aviation firms played in the agricultural industry by providing aerial fumigation and cargo services in Chile from the post-WWII to 1973.Methodology: From a perspective centered on the formation and opera-tion of individual firms, and using documentation from the Junta de Aeronautica Civil (jAc), newspapers, and technical bulletins, we analyze the expansion and then the contraction of this sector of private avia-tion firms and the results and problems of their operation in an initially lucrative and scarcely regulated market.Originality: Unlike most of the literature on the history of commercial aviation in Latin America, which focuses on the study of passenger airlines, this article examines commercial aviation's role in econo-mic development, specifically in the agricultural sector and its contribution to agricultural modernization.Conclusions: Despite initial legal and operational problems, like scarcity of capital and equipment, the companies proliferated rapidly, developed a fumigation capacity well over the demand level, and diver-sified their cargo activity both in the national territory and towards other countries. Thus, in a period in which agriculture's lower growth and subordination to the industrialization-promoting state policy made it difficult to invest in technological innovations, private aviation firms made a significant contribution to agricultural modernization in Chile. They were the agents that carried out the rapid introduction and diffu-sion of one of the most important technological innovations worldwide: large-scale aerial fumigation of the principal commercial crops.</t>
  </si>
  <si>
    <t>0121-1617</t>
  </si>
  <si>
    <t>1900-6152</t>
  </si>
  <si>
    <t>APR-JUN</t>
  </si>
  <si>
    <t>10.7440/histcrit88.2023.03</t>
  </si>
  <si>
    <t>WOS:000979868800003</t>
  </si>
  <si>
    <t>Vera, CG; Cabrera, DJ</t>
  </si>
  <si>
    <t>Vera, Cristian Garay; Cabrera, Diego Jimenez</t>
  </si>
  <si>
    <t>EL MERCURIO OF SANTIAGO DE CHILE: THE WORLD LIBERAL DISCOURSE BEFORE RUSSIA IN AND 1917</t>
  </si>
  <si>
    <t>HISTORIA CONTEMPORANEA</t>
  </si>
  <si>
    <t>The daily newspaper El Mercurio is considered as representative of the Chilean right-wing. Thus, this article explores its critical position before the regime of the Czar in respect of 1905 events, and in the beginning of the Russian revolution in 1917, the latter having as result the fall of the Czar. For the authors, the afore-mentioned phenomenon is consequence of the liberal discourse and identity of the newspaper as well as of his owner, Agustin Edwards MacClure (18781941), in relation to the British, and the French positions. For the Chilean newspaper, the Russian Empire must be functional to Anglo-French interests on the First World War. This conflict, which is perceived as predominantly European by El Mercurio, is examined from the editorials, and the journalistic coverage of those events. Finanlly, El Mercurio has a positive idea of the supposed ascension of liberalism in Russia, and the end of the tsarist autocracy.</t>
  </si>
  <si>
    <t>Cabrera, Diego/U-2906-2018</t>
  </si>
  <si>
    <t>1130-2402</t>
  </si>
  <si>
    <t>2340-0277</t>
  </si>
  <si>
    <t>10.1387/hc.22585</t>
  </si>
  <si>
    <t>WOS:000934068800005</t>
  </si>
  <si>
    <t>Dhanalakshmi, R; Denardin, JC</t>
  </si>
  <si>
    <t>Dhanalakshmi, Radhalayam; Denardin, Juliano C.</t>
  </si>
  <si>
    <t>Magnetic field enhanced photoreduction of Cr (VI) over the p-n-p BiFeO3/ CoFe2O4/Co3O4 nanocomposites</t>
  </si>
  <si>
    <t>This study shows a highly efficient photoreduction of heavy metal Cr (VI) in water by applying external magnetic field (MF) to the p-n-p ternary BiFeO3/CoFe2O4/Co3O4 (BFO/CFO/CO) nanocomposites under visible light irradiation. A series of bismuth ferrite (BiFeO3: BFO), cobalt ferrite (CoFe2O4: CFO), cobalt oxide (Co3O4: CO), BFO/CFO and BFO/CFO/CO nanocomposites have been synthesized by hydrothermal method. The prepared samples were characterized for their size, morphology, structural, optical and magnetic properties. Compared with the individual BFO, CFO, CO, and binary BFO/CFO, the as-prepared ternary BFO/CFO/CO nanocomposites exhibited an enhanced photoreduction towards the Cr (VI). Moreover, BFO/CFO/CO nanocomposites showed increased reduction efficiency (99.3 %) when a magnetic field of 0.4 T was applied during the process. The kinetic rate constant of ternary nanocomposite in the presence of the MF was calculated as 0.1316 min(-1), which is almost 4.95 times higher than BFO/CFO/CO in the absence of the MF. The enhanced reduction could be related to the MF accelerated separation of electron-hole pairs and their transfer through the interfaces. Further, the stability of the synthesized samples and reproducibility of MF catalytic systems were also investigated.</t>
  </si>
  <si>
    <t>Denardin, Juliano/S-6407-2019</t>
  </si>
  <si>
    <t>NOV 15</t>
  </si>
  <si>
    <t>10.1016/j.jmmm.2022.169788</t>
  </si>
  <si>
    <t>AUG 2022</t>
  </si>
  <si>
    <t>WOS:000858989800005</t>
  </si>
  <si>
    <t>Lacoste, P; Salas, A</t>
  </si>
  <si>
    <t>Lacoste, Pablo; Salas, Alejandro</t>
  </si>
  <si>
    <t>Hydraulic Flour Mills in Coquimbo (Chile, 1544-1750)</t>
  </si>
  <si>
    <t>HISTORIA AGRARIA</t>
  </si>
  <si>
    <t>This paper examines the process by which the Corregimiento de Coquimbo become the main mill pole of Chile, when this kingdom was the largest wheat producer in South America.The evolution of hydraulic mills in this township from the foundation of La Serena (1544) to the middle of the 18th century is studied from original documents of the National Archive, especially Royal Audience and Notaries of La Serena.The importance of the legacy of indigenous peoples in the construction of irrigation canal networks for agriculture is detected. On this basis, the Spanish colonizers had advantages to install the European hydraulic mill culture.The role of specialized artisans, both indigenous and Afro-descendant and Spanish-Creole, is identified. It is detected that the mills operated as poles of consolidation of markets and benchmarks for the configuration of regional trade routes.</t>
  </si>
  <si>
    <t>Salas Miranda, Alejandro/0000-0001-7410-7968</t>
  </si>
  <si>
    <t>1139-1472</t>
  </si>
  <si>
    <t>2340-3659</t>
  </si>
  <si>
    <t>10.26882/histagrar.085e03l</t>
  </si>
  <si>
    <t>WOS:000722209100004</t>
  </si>
  <si>
    <t>Murillo, HA; Pagés-Díaz, J; Díaz-Robles, LA; Vallejo, F; Huiliñir, C</t>
  </si>
  <si>
    <t>Murillo, Herman A.; Pages-Diaz, Jhosane; Diaz-Robles, Luis A.; Vallejo, Fidel; Huilinir, Cesar</t>
  </si>
  <si>
    <t>Valorization of oat husk by hydrothermal carbonization: Optimization of process parameters and anaerobic digestion of spent liquors</t>
  </si>
  <si>
    <t>BIORESOURCE TECHNOLOGY</t>
  </si>
  <si>
    <t>The hydrothermal carbonization (HTC) optimization of oat husk was performed using a response surface methodology. Furthermore, anaerobic digestion (AD) of spent liquor and hydrochar addition were evaluated in the biomethane potential (BMP) test. Results found that temperature influences the most in the studied responses (i.e., mass yield (MY) and higher heating value (HHV)). Optimal hydrochar MY (53.8%) and HHV (21.5 MJ/kg) were obtained for 219.2 degrees C, 30 min, and 0.08 of biomass/water ratio. A successful prediction capability of the optimization approach was observed, archiving an error &lt; 1% between predicted and validated responses. The BMP experiment showed the feasibility of spent liquor as a potential substrate to be treated by AD (144 NmLCH(4)/gCOD). Hydrochar boosted the methane production of spent liquor increasing up to 17% compared to digestion with no hydrochar addition. These findings provide new insights regarding oat husk valorization by integrating HTC and AD for energy production.</t>
  </si>
  <si>
    <t>Diaz-Robles, Luis/D-3450-2013; Pagés Díaz, Jhosané/ABD-9445-2021; Huilinir, Cesar/IYS-6899-2023; Vallejo, Fidel/AAM-6353-2020</t>
  </si>
  <si>
    <t>Vallejo, Fidel Ernesto/0000-0001-5835-298X; Pages Diaz, Jhosane/0000-0002-2956-5705; Murillo, Herman/0000-0001-9422-1952</t>
  </si>
  <si>
    <t>0960-8524</t>
  </si>
  <si>
    <t>1873-2976</t>
  </si>
  <si>
    <t>10.1016/j.biortech.2021.126112</t>
  </si>
  <si>
    <t>OCT 2021</t>
  </si>
  <si>
    <t>WOS:000711753400007</t>
  </si>
  <si>
    <t>Droller, F; Fiszbein, M</t>
  </si>
  <si>
    <t>Droller, Federico; Fiszbein, Martin</t>
  </si>
  <si>
    <t>Staple Products, Linkages, and Development: Evidence from Argentina</t>
  </si>
  <si>
    <t>JOURNAL OF ECONOMIC HISTORY</t>
  </si>
  <si>
    <t>We investigate how historical patterns of primary production influenced development across local economies in Argentina. Our identification strategy exploits exogenous variation in the composition of primary production induced by climatic features. We find that locations specializing in ranching had weaker linkages with other activities, higher concentration in land ownership, lower population density, and less immigration than cereal-producing areas. Over time, ranching localities continued to exhibit lower population density, and they experienced relatively sluggish industrialization. Ultimately, ranching specialization had large negative effects on long-run levels of income per capita and human capital.</t>
  </si>
  <si>
    <t>Droller, Federico/S-7630-2019</t>
  </si>
  <si>
    <t>Fiszbein, Martin/0000-0003-3990-2442</t>
  </si>
  <si>
    <t>0022-0507</t>
  </si>
  <si>
    <t>1471-6372</t>
  </si>
  <si>
    <t>PII S0022050721000383</t>
  </si>
  <si>
    <t>10.1017/S0022050721000383</t>
  </si>
  <si>
    <t>WOS:000692172200005</t>
  </si>
  <si>
    <t>Flórez, LML; Flórez-Méndez, J</t>
  </si>
  <si>
    <t>Larrotta Florez, Lina M.; Florez-Mendez, Jennyfer</t>
  </si>
  <si>
    <t>The Banana Festival in the Colombian Uraba: Culture and Tradition</t>
  </si>
  <si>
    <t>RIVAR-REVISTA IBEROAMERICANA DE VITICULTURA AGROINDUSTRIA Y RURALIDAD</t>
  </si>
  <si>
    <t>Colombia, thanks to its geographical location, has advantages for the production and marketing of various fruits, many of which participate in international markets, as is the case of bananas. The most important banana zone in Colombia is located in the Uraba region with a vast area of banana cultivation, generating a positive economic impact both nationally and regionally. It is in the municipality of Apartado where the most important festival of Colombian bananas takes place, a festival attended by locals and foreigners and where various activities are developed around the cultivation of bananas. The objective of this article is to make known the cultural and gastronomic samples developed in these festivities as well as to recognize the fruit of the banana as an invaluable sample of culture and tradition in Colombia.</t>
  </si>
  <si>
    <t>0719-4994</t>
  </si>
  <si>
    <t>10.35588/rivar.v8i23.4953</t>
  </si>
  <si>
    <t>WOS:000662316900010</t>
  </si>
  <si>
    <t>Acuña, EI; Levesque, M; Hurtado, JP</t>
  </si>
  <si>
    <t>Tukkaraja, P</t>
  </si>
  <si>
    <t>Acuna, E. I.; Levesque, M.; Hurtado, J. P.</t>
  </si>
  <si>
    <t>Auxiliary fan selection considering purchasing and energy costs based on fan curves</t>
  </si>
  <si>
    <t>MINE VENTILATION, NAMVS 2021</t>
  </si>
  <si>
    <t>18th North American Mine Ventilation Symposium (NAMVS)</t>
  </si>
  <si>
    <t>JUN 12-17, 2021</t>
  </si>
  <si>
    <t>Rapid City, SD</t>
  </si>
  <si>
    <t>Mine ventilation practitioners are commonly tasked with estimating operating set point and selecting an auxiliary fan to supply the air required for underground operations. This static decision could be considered a subset of the larger fan selection of main and auxiliary fans, which is dynamic over the course of the mine life. It is common to have multiple fan suppliers that can deliver the same operating point with different purchasing cost and expected efficiencies as indicated in the fan curves. Historically, for the same duty point, the decision has been driven by minimum purchasing cost; however, this may not be the best option when including energy costs over a certain period. This paper presents a methodology to simultaneously evaluate the capital and energy cost of a fan based on the fan curve inputs, as a decision support tool for purchasing the cost effective fan. A case study is presented to illustrate the fan selection methodology and the impact of the energy cost and the time horizon as compared to just the minimum purchasing cost. Finally, a sensitivity analysis is performed on the key inputs to understand the extent and the validity of the conclusions derived.</t>
  </si>
  <si>
    <t>Hurtado Cruz, Juan Pablo/K-2568-2013</t>
  </si>
  <si>
    <t>Hurtado Cruz, Juan Pablo/0000-0001-7602-8278</t>
  </si>
  <si>
    <t>978-1-032-03681-6; 978-1-003-18847-6; 978-1-032-03679-3</t>
  </si>
  <si>
    <t>10.1201/9781003188476-1</t>
  </si>
  <si>
    <t>WOS:001228498700001</t>
  </si>
  <si>
    <t>Kaschel, H; Ahumada, C</t>
  </si>
  <si>
    <t>Kaschel, Hector; Ahumada, Cristian</t>
  </si>
  <si>
    <t>Security Mechanism to Protect the Privacy and Security of Patients Who have cardiovascular Diseases (ECG)</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</si>
  <si>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</si>
  <si>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</si>
  <si>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</si>
  <si>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</si>
  <si>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</si>
  <si>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This paper presents a security mechanism to protect the privacy and security of patients who have cardiovascular diseases (ECG). New technologies must provide proactive management of well-being and focus on early detection and disease prevention. Wearable and Implantable Medical Devices (WIMD) have been widely used in the health sector for purposes of monitoring, diagnosis and treatment of diseases, such as the electrocardiogram (ECG), pacemaker to treat arrhythmias and neurostimulators for epilepsy. Several research works in the field of computer security have identified serious security and privacy risks in the WIMD that could compromise the implant and even the health of the patient transporting it. This article analyzes the most relevant protection mechanisms proposed up to now and examines the main mechanisms of patient safety. On the one hand, security proposals must take into account the inherent limitations of these small and deployed devices. On the other hand, the proposed solutions must achieve an adequate balance between patient safety and the level of safety offered.</t>
  </si>
  <si>
    <t>Kaschel, Hector/0000-0002-0868-7834; Ahumada, Cristian/0000-0002-2647-1383</t>
  </si>
  <si>
    <t>978-1-7281-3185-6</t>
  </si>
  <si>
    <t>10.1109/chilecon47746.2019.8987984</t>
  </si>
  <si>
    <t>WOS:000542919100091</t>
  </si>
  <si>
    <t>Aliaga, C; de Arbina, AL; Pastenes, C; Rezende, MC</t>
  </si>
  <si>
    <t>Aliaga, Carolina; Lopez de Arbina, Amaia; Pastenes, Camila; Caroli Rezende, Marcos</t>
  </si>
  <si>
    <t>Antioxidant-spotting in micelles and emulsions</t>
  </si>
  <si>
    <t>FOOD CHEMISTRY</t>
  </si>
  <si>
    <t>A simple protocol is described for locating the site of action of an antioxidant (AO) in a micro-heterogeneous mixture, based on the pattern of the reactivity curve towards the AO of a series of 4-alkanoyl TEMPO radicals. The resulting cut-off curves yield information regarding the hydrophobic microenvironment surrounding the reactive AO group, and its accessibility by the probe. Convex curves are an indication of an AO located in a more hydrophilic environment, while concave plots originate from AOs in a more hydrophobic location in the microheterogeneous system.</t>
  </si>
  <si>
    <t>Aliaga, Carolina/0000-0002-1352-3164; Rezende, Marcos/0000-0003-2040-9009</t>
  </si>
  <si>
    <t>0308-8146</t>
  </si>
  <si>
    <t>1873-7072</t>
  </si>
  <si>
    <t>APR 15</t>
  </si>
  <si>
    <t>10.1016/j.foodchem.2017.10.094</t>
  </si>
  <si>
    <t>WOS:000418471100029</t>
  </si>
  <si>
    <t>Urrea, C; Venegas, D</t>
  </si>
  <si>
    <t>Urrea, C.; Venegas, D.</t>
  </si>
  <si>
    <t>Design and Development of Control Systems for an Aircraft. Comparison of Performances through Computational Simulations</t>
  </si>
  <si>
    <t>IEEE LATIN AMERICA TRANSACTIONS</t>
  </si>
  <si>
    <t>The main objective of this paper is to evaluate the technical aspects of the different controllers (PID, MPC and Neural) for the performance of an aircraft's behavior in relation to the longitudinal equations investigated. For this purpose, the behavior of these controllers was developed in a simulator to compare the performance of each one and to be able to decide which is the most advisable according to reference values. The development strategy is to conduct research to determine the various factors such as equations that will help us determine the correct analysis.</t>
  </si>
  <si>
    <t>Claudio, URREA/KWU-1600-2024</t>
  </si>
  <si>
    <t>Urrea, Claudio/0000-0001-7197-8928</t>
  </si>
  <si>
    <t>1548-0992</t>
  </si>
  <si>
    <t>10.1109/TLA.2018.8358649</t>
  </si>
  <si>
    <t>WOS:000432210400007</t>
  </si>
  <si>
    <t>Letelier, MF; Siginer, DA; Arriagada, G; González, A</t>
  </si>
  <si>
    <t>ASME</t>
  </si>
  <si>
    <t>Letelier, Mario F.; Siginer, Dennis A.; Arriagada, Gabriel; Gonzalez, Amaru</t>
  </si>
  <si>
    <t>HEAT TRANSFER OPTIMIZATION IN LAMINAR FLOW OF NON-LINEAR VISCOELASTIC FLUIDS IN ASYMMETRIC STRAIGHT DUCTS WITH INCLUSIONS</t>
  </si>
  <si>
    <t>PROCEEDINGS OF THE ASME INTERNATIONAL MECHANICAL ENGINEERING CONGRESS AND EXPOSITION, 2017, VOL 7</t>
  </si>
  <si>
    <t>ASME International Mechanical Engineering Congress and Exposition</t>
  </si>
  <si>
    <t>NOV 03-09, 2017</t>
  </si>
  <si>
    <t>Tampa, FL</t>
  </si>
  <si>
    <t>This paper presents the preliminary findings of an optimization study of transversal flow strength in tube cross sections with arbitrary external contours and an internal inclusion. The eccentric tube contours are generated through a one-to-one mapping of a base circular cross-section. The working fluid obeys the non-linear modified Phan-Thien-Tanner (MPTT) constitutive model. The computation of the total transversal flow rate leads to the determination of effective cross-sections for heat transfer enhancement.</t>
  </si>
  <si>
    <t>978-0-7918-5842-4</t>
  </si>
  <si>
    <t>UNSP V007T09A032</t>
  </si>
  <si>
    <t>WOS:000428485600032</t>
  </si>
  <si>
    <t>Carvajal, F; Huanca, A; González-Teuber, M; Urzúa, A; Echeverría, J</t>
  </si>
  <si>
    <t>Carvajal, Fabiola; Huanca, Andres; Gonzalez-Teuber, Marcia; Urzua, Alejandro; Echeverria, Javier</t>
  </si>
  <si>
    <t>Uses of hazardous medicinal plants: composition of the essential oil of Clinopodium gilliesii (Benth.) Kuntze (Lamiaceae), collected in Chile</t>
  </si>
  <si>
    <t>BOLETIN LATINOAMERICANO Y DEL CARIBE DE PLANTAS MEDICINALES Y AROMATICAS</t>
  </si>
  <si>
    <t>Clinopodium gilliesii (Benth.) Kuntze, harvested in the Chilean highlands, contains a surprising 93.87% of the toxic monoterpene pulegone in the essential oil. These results show remarkable differences with studies of the same species carried out in Argentina and Peru. These dissimilarities in the monoterpene composition of essential oils should be associated with differences in toxicity and biological activity of this medicinal plant used in ethnomedicine in different countries for the treatment of similar discomforts and diseases. These results are discussed considering the risk of consuming C. gilliesii, without clear recommendations and control of at least pulegone content in essential oils.</t>
  </si>
  <si>
    <t>González-Teuber, Marcia/ABH-2318-2021; Echeverría, Javier/AAK-3323-2020</t>
  </si>
  <si>
    <t>Urzua, Alejandro/0000-0003-2638-0921; Echeverria, Javier/0000-0002-1688-968X; Carvajal, Fabiola/0000-0003-1336-5394; Gonzalez-Teuber, Marcia/0000-0003-0565-9333</t>
  </si>
  <si>
    <t>0717-7917</t>
  </si>
  <si>
    <t>WOS:000410591200004</t>
  </si>
  <si>
    <t>Zavala, E; Reyes, D; Deerenberg, R; Vidal, R</t>
  </si>
  <si>
    <t>Zavala, Eduardo; Reyes, Daniela; Deerenberg, Robert; Vidal, Rodrigo</t>
  </si>
  <si>
    <t>Selection of reference genes for microRNA analysis associated to early stress response to handling and confinement in Salmo salar</t>
  </si>
  <si>
    <t>SCIENTIFIC REPORTS</t>
  </si>
  <si>
    <t>MicroRNAs are key non-coding RNA molecules that play a relevant role in the regulation of gene expression through translational repression and/or transcript cleavage during normal development and physiological adaptation processes like stress. Quantitative reverse transcription polymerase chain reaction (RT-qPC) has become the approach normally used to determine the levels of microRNAs. However, this approach needs the use of endogenous reference. An improper selection of endogenous references can result in confusing interpretation of data. The aim of this study was to identify and validate appropriate endogenous reference miRNA genes for normalizing RT-qPCR survey of miRNAs expression in four different tissues of Atlantic salmon, under handling and confinement stress conditions associated to early or primary stress response. Nine candidate reference normalizers, including microRNAs and nuclear genes, normally used in vertebrate microRNA expression studies were selected from literature, validated by RT-qPCR and analyzed by the algorithms geNorm and NormFinder. The results revealed that the ssa-miR-99-5p gene was the most stable overall and that ssamiR-99-5p and ssa-miR-23a-5p genes were the best combination. Moreover, the suitability of ssa-miR99-5p and ssa-miR-23a-5p as endogeneuos reference genes was demostrated by the expression analysis of ssa-miR-193-5p gene.</t>
  </si>
  <si>
    <t>2045-2322</t>
  </si>
  <si>
    <t>MAY 11</t>
  </si>
  <si>
    <t>10.1038/s41598-017-01970-3</t>
  </si>
  <si>
    <t>WOS:000400959000023</t>
  </si>
  <si>
    <t>Castro, MA; Allende, S</t>
  </si>
  <si>
    <t>Castro, M. A.; Allende, S.</t>
  </si>
  <si>
    <t>Skyrmion core size dependence as a function of the perpendicular anisotropy and radius in magnetic nanodots</t>
  </si>
  <si>
    <t>A detailed analytical and numerical analysis of the skyrmion core size dependence as a function of the uniaxial perpendicular anisotropy and radius in magnetic nanodots has been carried out. Results from micromagnetic calculations show a non-monotonic behavior between the skyrmion core size and the uniaxial perpendicular anisotropy. The increment of the radius reduces the skyrmion core size at constant uniaxial perpendicular anisotropy. Thus, these results can be used for the control of the core sizes in magnetic artificial skyrmion crystals or spintronic devices that need to use a skyrmion configuration at room temperature. (C) 2016 Elsevier B.V. All rights reserved.</t>
  </si>
  <si>
    <t>Castro, Mario/ABD-7776-2021</t>
  </si>
  <si>
    <t>NOV 1</t>
  </si>
  <si>
    <t>10.1016/j.jmmm.2016.05.095</t>
  </si>
  <si>
    <t>WOS:000379147500052</t>
  </si>
  <si>
    <t>Salazar-Aravena, D; Palma, JL; Escrig, J</t>
  </si>
  <si>
    <t>Salazar-Aravena, D.; Palma, J. L.; Escrig, J.</t>
  </si>
  <si>
    <t>Magnetostatic interactions between wire-tube nanostructures</t>
  </si>
  <si>
    <t>We have investigated the magnetostatic interactions between wire-tube nanostructures. We have observed that the coercivity of the array decreases when the distance between the nanostructures decreases. Besides, when the external magnetic field is applied along the axis of the nanostructures, the two Barkhausen jumps observed for an isolated wire-tube nanostructure give rise to several minor jumps for a weakly interacting array, which eventually become a single jump for the most interacting case. Additionally, the angle theta at which maximum coercivity is obtained varies as a function of the center-to-center distance between the nanostructures, while those remanences obtained for arrays with different distances between the nanostructures coincide. In this way, the study of magnetostatic interactions between wire-tube nanostructures is an interesting topic of research in connection with potential applications where it is usually desirable to avoid such interactions or at least control them. (C) 2015 AIP Publishing LLC.</t>
  </si>
  <si>
    <t>Palma, Juan/IAP-4554-2023; Escrig, Juan/N-4304-2015; Salazar-Aravena, Diego/F-5133-2016</t>
  </si>
  <si>
    <t>Escrig, Juan/0000-0002-3958-8185; Salazar-Aravena, Diego/0000-0002-6250-8358; Palma, JuanLuis/0000-0003-2068-174X</t>
  </si>
  <si>
    <t>MAY 21</t>
  </si>
  <si>
    <t>10.1063/1.4921361</t>
  </si>
  <si>
    <t>WOS:000355005600010</t>
  </si>
  <si>
    <t>Aliaga, C; Rezende, MC</t>
  </si>
  <si>
    <t>Aliaga, Carolina; Rezende, Marcos C.</t>
  </si>
  <si>
    <t>EPR spectrum of a radical from a nontypical antioxidant</t>
  </si>
  <si>
    <t>10.1002/mrc.4070</t>
  </si>
  <si>
    <t>WOS:000337520000011</t>
  </si>
  <si>
    <t>Rezende, MC; Aracena, A</t>
  </si>
  <si>
    <t>Caroli Rezende, Marcos; Aracena, Andres</t>
  </si>
  <si>
    <t>A general framework for the solvatochromism of pyridinium phenolate betaine dyes</t>
  </si>
  <si>
    <t>CHEMICAL PHYSICS LETTERS</t>
  </si>
  <si>
    <t>A general framework for the solvatochromic behavior of pyridinium phenolate betaine dyes is presented, based on the variations with the medium of the electrophilic Fukui functions of their electron-pair donor and acceptor moieties. The model explains the 'anomalous' solvatochromic behavior of large betaines, which change their behavior from negative to inverted, when electron-pair donor and acceptor groups are separated by a conjugated chain of variable size. (C) 2012 Elsevier B.V. All rights reserved.</t>
  </si>
  <si>
    <t>Aracena, Andres/MCK-0713-2025; Caroli, Marcos/H-3570-2019</t>
  </si>
  <si>
    <t>Rezende, Marcos/0000-0003-2040-9009; Aracena, Andres/0000-0002-8367-3520</t>
  </si>
  <si>
    <t>0009-2614</t>
  </si>
  <si>
    <t>1873-4448</t>
  </si>
  <si>
    <t>FEB 12</t>
  </si>
  <si>
    <t>10.1016/j.cplett.2012.09.067</t>
  </si>
  <si>
    <t>WOS:000314660600015</t>
  </si>
  <si>
    <t>Honorato, G; Plaza, S; Romero, N</t>
  </si>
  <si>
    <t>Honorato, Gerardo; Plaza, Sergio; Romero, Natalia</t>
  </si>
  <si>
    <t>Dynamics of a higher-order family of iterative methods</t>
  </si>
  <si>
    <t>JOURNAL OF COMPLEXITY</t>
  </si>
  <si>
    <t>We study the dynamics of a higher-order family of iterative methods for solving non-linear equations. We show that these iterative root-finding methods are generally convergent when extracting radicals. We examine the Julia sets of these methods with particular polynomials. The examination takes place in the complex plane. (C) 2010 Elsevier Inc. All rights reserved.</t>
  </si>
  <si>
    <t>Plata, Sergio/AAA-6144-2019; ROMERO, NATALIA/LFS-0005-2024</t>
  </si>
  <si>
    <t>Romero, Natalia/0000-0002-0653-560X; Honorato Gutierrez, Gerardo Andres/0009-0006-1647-5600</t>
  </si>
  <si>
    <t>0885-064X</t>
  </si>
  <si>
    <t>1090-2708</t>
  </si>
  <si>
    <t>10.1016/j.jco.2010.10.005</t>
  </si>
  <si>
    <t>WOS:000289135400007</t>
  </si>
  <si>
    <t>Abuin, E; Lissi, E; Duarte, R</t>
  </si>
  <si>
    <t>Kinetics of 2-naphthyl acetate hydrolysis catalyzed by α-chymotrypsin in aqueous solutions of dodecyltrimethylammonium bromide</t>
  </si>
  <si>
    <t>LANGMUIR</t>
  </si>
  <si>
    <t>The rate of hydrolysis of 2-naphthyl acetate catalyzed by alpha-chymotrypsin has been measured in aqueous solutions of dodecyltrimethylammonium bromide at concentrations below and above the critical micelle concentration, as well as in the absence of surfactant. Under all the conditions employed, the reaction takes place following a Michaelis-Menten mechanism. The presence of the surfactant, at concentrations above its critical micellar concentration, increases the value of the Michaelis constant, K-m, without significant changes in the catalytic rate constant, k(cat). The increase in K-m is larger than that expected from the incorporation of the substrate to the micellar pseudophase, indicating that the interaction between the enzyme and micellelike aggregates alters the formation of the enzyme-substrate complexes. This can be related to a partial unfolding of the enzyme, as is suggested by changes in its intrinsic fluorescence.</t>
  </si>
  <si>
    <t>0743-7463</t>
  </si>
  <si>
    <t>JUN 24</t>
  </si>
  <si>
    <t>10.1021/la030050s</t>
  </si>
  <si>
    <t>WOS:000183719300029</t>
  </si>
  <si>
    <t>Zúñiga-Loyola, C; Ureta-Zanartu, MS; Tasca, F</t>
  </si>
  <si>
    <t>Zuniga-Loyola, Cesar; Ureta-Zanartu, Maria-Soledad; Tasca, Federico</t>
  </si>
  <si>
    <t>Teaching Thermodynamics and Kinetics Parameters in Electrochemistry with Reference to the Sabatier Principle and Volcano-Like Plots for the Oxygen Reduction Reaction at Modified Electrodes</t>
  </si>
  <si>
    <t>JOURNAL OF CHEMICAL EDUCATION</t>
  </si>
  <si>
    <t>Energy conversion devices such as fuel cells, metal-air batteries, and electrolyzers have been envisaged as possible solutions for cutting down the continuous accumulation of greenhouse gases resulting from the combustion of fossil fuel. The bottleneck reaction for these devices is the oxygen reduction reaction (ORR) occurring at the cathode. The sluggish ORR force in the use of catalysts is mainly based on precious metals like platinum. Iron and cobalt macrocycle catalysts (MN4) have been widely studied as an economic alternative for replacing the expensive Pt0 at the cathode, which is the most active catalyst for the ORR and the industrial standard. Understanding the theoretical and experimental aspects behind this technology is a primary goal for human capital formation and educational purposes. Unfortunately, there is a lack of fundamentals behind the concepts of free energy, adsorption energy, and kinetics. Thermodynamic and kinetic parameters are confused and are wrongly cross-linked. The Sabatier principle and volcano plots are usually misinterpreted. In this propaedeutic work, thermodynamic and kinetic aspects are considered for the ORR at MN4 catalysts to provide a practical guide for students and teachers.</t>
  </si>
  <si>
    <t>Ureta-Zañartu, Maria/G-5239-2019; Zúñiga-Loyola, César/AAN-5621-2021; Tasca, Federico/J-4134-2015</t>
  </si>
  <si>
    <t>Zuniga-Loyola, Cesar/0000-0002-0894-3383; Tasca, Federico/0000-0002-4111-4624</t>
  </si>
  <si>
    <t>0021-9584</t>
  </si>
  <si>
    <t>1938-1328</t>
  </si>
  <si>
    <t>JAN 4</t>
  </si>
  <si>
    <t>10.1021/acs.jchemed.3c00469</t>
  </si>
  <si>
    <t>JAN 2024</t>
  </si>
  <si>
    <t>WOS:001162246700001</t>
  </si>
  <si>
    <t>Carrasco, EN; Bravo, EV; Mella, PC; Torres, RN; Lobos, LC</t>
  </si>
  <si>
    <t>Nunez Carrasco, Elizabeth; Videla Bravo, Enzo; Caba Mella, Paola; Navarro Torres, Rossana; Castillo Lobos, Lucia</t>
  </si>
  <si>
    <t>Call for Nursing contest, 1955: The implementation of the Sub-department of Nursing, of the National Health Service of Chile</t>
  </si>
  <si>
    <t>CULTURA DE LOS CUIDADOS</t>
  </si>
  <si>
    <t>The article's purpose is to interpret the primary documentary source entitled Circulares 1955. General Directorate. Calls for Competition of the Bulletin of the National Health Service, Chile, 1955 from a historiographic perspective. The method used was documentary source analysis, according to Jocelyn Letourneau, which divides the documentary analysis into two main steps: the descriptive phase that precedes the reading of the document and a second phase that allows the observer to deliver a judgment of the documentary source. According to the analysis performed, the categories that emerged are the Context of Health and Nursing institutionalism, and The Nursing sub-department and the meanings of its implementation. The main conclusions are that the National Health Service organized a health structure of unification and decentralization of health and gave nurses their administrative organization called the Nursing Subdepartment. The documentary source shows how nurses assumed administrative positions throughout the country as a product of the symbolic validation of the profession from the state authority, giving them power in their professional work and thus protagonism in national health.</t>
  </si>
  <si>
    <t>Núñez, Elizabeth/JDV-5308-2023; Caba Mella, Paola/KPA-6107-2024; NAVARRO, rossana/HPD-5686-2023</t>
  </si>
  <si>
    <t>1138-1728</t>
  </si>
  <si>
    <t>1699-6003</t>
  </si>
  <si>
    <t>10.14198/cuid.2022.64.07</t>
  </si>
  <si>
    <t>WOS:000899136600007</t>
  </si>
  <si>
    <t>Vidal, M; Rodríguez-Aguilar, J; Aburto, I; Aliaga, C; Domínguez, M</t>
  </si>
  <si>
    <t>Vidal, Matias; Rodriguez-Aguilar, Jose; Aburto, Ignacio; Aliaga, Carolina; Dominguez, Moises</t>
  </si>
  <si>
    <t>Reactivity of 4-pyrimidyl Sulfonic Esters in Suzuki-Miyaura Cross-Coupling Reactions in Water Under Microwave Irradiation</t>
  </si>
  <si>
    <t>CHEMISTRYSELECT</t>
  </si>
  <si>
    <t>The reactivity of four 4-pyrimidyl sulfonic esters in Palladium-catalyzed Suzuki-Miyaura cross-coupling reactions was studied with various boronic acids. All the reactions were conducted in water under microwave irradiation. Electron-rich aryl boronic acids exhibited higher yields when triflate (-OSO2CF3) was used as the pseudohalide, whereas electron-poor aryl boronic acids reacted faster when nonaflate was employed (-OSO2(CF2)(3)CF3). Furthermore, the reactivity guide for Pd-catalyzed coupling of these accessible pseudohalides with boron-based coupling partners was applied to synthesize a bipyrimidine in excellent yield. Finally, the 2-methylpyrimidines obtained are suitable starting materials for the synthesis of luminescent sensors.</t>
  </si>
  <si>
    <t>Domínguez, Moisés/P-2227-2019</t>
  </si>
  <si>
    <t>Dominguez, Moises/0000-0002-8444-3065</t>
  </si>
  <si>
    <t>2365-6549</t>
  </si>
  <si>
    <t>DEC 6</t>
  </si>
  <si>
    <t>10.1002/slct.202103280</t>
  </si>
  <si>
    <t>WOS:000726827000033</t>
  </si>
  <si>
    <t>Contreras-Salinas, S; Pavelic, MR</t>
  </si>
  <si>
    <t>Contreras-Salinas, Sylvia; Ramirez Pavelic, Monica</t>
  </si>
  <si>
    <t>the pluma: corporalities that challenge the normativity in school settings</t>
  </si>
  <si>
    <t>CHILDHOOD AND PHILOSOPHY</t>
  </si>
  <si>
    <t>the purpose of this article is to interpret some selections from the narratives of LGBT subjects (Lesbians, Gays, transsexuals and Bisexuals) in relation to the corporality expressed in the school settings. The narratives that were produced over the course of 2012-2013, and our focus on corporality is one of many that allude to the binary classification and separation of sex-gender construct, man / woman and masculine / feminine, in this case, reproduced by subjects whose forms and desires do not conform to the established ones. This trope referred to in the narratives allows us to reveal both the gender constructions of LGBT subjects, as well as the experiences of themselves that occur in circumstances in which difference and visibility are repressed and subalternized by a normalizing pedagogical practice. The pen is an unwanted or unexpected irruption, which obtains as a response to homo / lesbo / bi / trans phobic practices that emerge to hurt anyone who dares to appear in front of others in their difference or from a divergent position. This trope would appear be one of the many that allude to the classification and binary separation of sex-gender, man / woman, male / female, in this case, reproduced by subjects whose forms and desires do not conform to established conventioins. As such it can be seen in the narratives that the presence of the pen is not completely transparent, and creates lacunae and contradictions, in addition to persisting in its resistance to recognizing the diversity of bodily materializations. keywords: body, education, tropology, gender.</t>
  </si>
  <si>
    <t>Ramírez, Mónica/HIU-0655-2022</t>
  </si>
  <si>
    <t>CONTRERAS-SALINAS, SYLVIA/0000-0003-2297-2399</t>
  </si>
  <si>
    <t>2525-5061</t>
  </si>
  <si>
    <t>1984-5987</t>
  </si>
  <si>
    <t>10.12957/childphilo.2020.50213</t>
  </si>
  <si>
    <t>WOS:000625292000018</t>
  </si>
  <si>
    <t>Saavedra, E; Tejo, F; Escrig, J</t>
  </si>
  <si>
    <t>Saavedra, Eduardo; Tejo, Felipe; Escrig, Juan</t>
  </si>
  <si>
    <t>Dynamic susceptibility of skyrmionic bubbles stabilized in the absence of Dzyaloshinskii-Moriya interaction in cylindrical nanostructures</t>
  </si>
  <si>
    <t>The magnetic dynamic susceptibility of cobalt dots hosting a skyrmionic bubble has been obtained by means of micromagnetic simulations by exciting the system with a magnetic field pulse. When the pulse is applied parallel to the dot axis, a single resonance peak is obtained, whereas when the pulse is applied perpendicular to the dot axis, multiple peaks are obtained. The origin of each of these peaks and their evolution as a function of uniaxial anisotropy are studied in detail. The results presented in this work are important in view of the possible realization of tunable frequency devices, since we showed that it is possible to adjust a set of frequencies of skyrmionic bubbles by controlling the uniaxial anisotropy constant of the dot and the direction in which the magnetic pulse is applied.</t>
  </si>
  <si>
    <t>Saavedra, Eduardo/IQS-4264-2023; Tejo, Felipe/IUQ-0578-2023; Escrig, Juan/N-4304-2015</t>
  </si>
  <si>
    <t>Escrig, Juan/0000-0002-3958-8185; Saavedra Diaz, Eduardo Andres/0000-0002-2842-2526; Tejo Lazo, Felipe Tejo/0000-0001-7457-7281</t>
  </si>
  <si>
    <t>JUN 28</t>
  </si>
  <si>
    <t>10.1063/1.5094175</t>
  </si>
  <si>
    <t>WOS:000474439600025</t>
  </si>
  <si>
    <t>Rodríguez, FJ; Abarca, RL; Bruna, JE; Moya, PE; Galotto, MJ; Guarda, A; Padula, M</t>
  </si>
  <si>
    <t>Rodriguez, Francisco J.; Abarca, Romina L.; Bruna, Julio E.; Moya, Paula E.; Galotto, Maria J.; Guarda, Abel; Padula, Marisa</t>
  </si>
  <si>
    <t>Effect of organoclay and preparation method on properties of antimicrobial cellulose acetate films</t>
  </si>
  <si>
    <t>POLYMER COMPOSITES</t>
  </si>
  <si>
    <t>The aim of the present study was oriented to evaluate the effect of a commercial organoclay and the technique of preparation on the physical and antimicrobial properties of active eco-friendly nanocomposites films. To this antimicrobial nanocomposite films were fabricated from cellulose acetate (CA) powder, triethyl citrate (TEC) plasticizer, a commercial organoclay Cloisite30B (C30B), and cinnamaldehyde (Ci) as active agent. All nanocomposites showed the intercalation of the polysaccharide inside the organoclay structure, however, the level of the intercalation and the quality of the clay dispersion were dependent on the method selected to prepare them (solution-casting or extrusion). In addition, nanocomposites obtained by extrusion evidenced a better dispersion of organoclay. Important changes on the color properties of films were evidenced, which was associated to the thermal degradation of the quaternary ammonium surfactant of the Cloisite30B. On the other hand, organoclay was unable to reduce the cinnamaldehyde loss during the extrusion and storage, nevertheless, a slight effect of the Cloisite30B on the cinnamaldehyde release to a food simulant was observed to nanocomposites prepared by extrusion. Finally, despite cinnamaldehyde loss was observed over time, the content of residual active compound into the films was able to impart antimicrobial activity against Escherichia coli for 14 weeks. POLYM. COMPOS., 40:2311-2319, 2019. (c) 2018 Society of Plastics Engineers</t>
  </si>
  <si>
    <t>bruna, julio/AAM-6867-2021; Abarca, Romina/AAF-9196-2019; Rodríguez, Francisco/I-5283-2018</t>
  </si>
  <si>
    <t>Bruna, Julio E./0000-0001-9656-6022; Rodriguez-Mercado, Francisco/0000-0002-0530-6653; Padula, Marisa/0000-0003-2892-2034</t>
  </si>
  <si>
    <t>0272-8397</t>
  </si>
  <si>
    <t>1548-0569</t>
  </si>
  <si>
    <t>10.1002/pc.25041</t>
  </si>
  <si>
    <t>WOS:000470022500019</t>
  </si>
  <si>
    <t>Paucar, MAV; Bahamonde, MO</t>
  </si>
  <si>
    <t>Editorial Universidad de Santiago de Chile</t>
  </si>
  <si>
    <t>Villalta Paucar, Marco Antonio; Ortega Bahamonde, Marisol</t>
  </si>
  <si>
    <t>Cooperative action research: learning from a failed experience</t>
  </si>
  <si>
    <t>INVESTIGANDO JUNTOS: Experiencias Asociativas entre Escuelas y la Universidad de Santiago de Chile. Associative Experiences between Schools and the University of Santiago de Chile</t>
  </si>
  <si>
    <t>The objective of this article is to identify lessons learned from the use of collaborative action research (I-A-C) between a rural school and a state university, from the analysis of strengths and challenges of the experience. Methodologically, it is an action-research case study. The experience is recounted analytically, recognizing strengths: (1) the reciprocal recognition; (2) the appreciation of the institutional other as a collaborator of a project with shared goals; and (3) the commitment of the inter-institutional educational actors to the students; and challenges: (a) the management of internal contingencies of each institution in the inter-institutional coordination; and (b) the institutional differences to distinguish problems and goals of intervention. The following lessons were learned from the experience: (I) To clarify the goals of collaboration with criteria of reality over the just desire of great transformations; (II) To know the protocols and institutional administrative times that affect inter-institutional collaboration.</t>
  </si>
  <si>
    <t>978-956-303-420-2</t>
  </si>
  <si>
    <t>WOS:000886992800010</t>
  </si>
  <si>
    <t>DuranFaundez, C; Lefranc, G; FernandezFernandez, M; Munoz, C; Rubio, E</t>
  </si>
  <si>
    <t>Design of Rectangular Microstrip Patch Antenna for 2.4 GHz applied a WBAN</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</si>
  <si>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</si>
  <si>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</si>
  <si>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</si>
  <si>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</si>
  <si>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</si>
  <si>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This paper presents a design of rectangular microstrip antenna patch applied a WBAN (Wireless Body Area Network). The antenna is designed over the operating frequency is 2.4 GHz using the substrate material as FR-4 which has the dielectric constant of 4.3. The designed antenna can be used for ISM (industrial, scientific and medical) band and UWB applications. The designed antenna has low profile, low cost, easy fabrication and good isolation. The antenna is designed by using CST simulation software and designed antenna provides return loss less then -10 dB. The proposed antenna is designed with the purpose of obtaining a low SAR models of the human body, considering both the electromagnetic effect and the shell model in human tissues.</t>
  </si>
  <si>
    <t>978-1-5386-5586-3</t>
  </si>
  <si>
    <t>WOS:000458417600007</t>
  </si>
  <si>
    <t>Cabrera, MA; Blamey, JM</t>
  </si>
  <si>
    <t>Angeles Cabrera, Ma; Blamey, Jenny M.</t>
  </si>
  <si>
    <t>Cloning, overexpression, and characterization of a thermostable nitrilase from an Antarctic Pyrococcus sp.</t>
  </si>
  <si>
    <t>Nitriles are important chemical building blocks for the synthesis of intermediates in fine chemical and pharmaceutical industries. Here, we report a new highly thermostable nitrilase from an Antarctic Pyrococcus sp. MC-FB, a hyperthermophilic archaeon. A gene that encoded a nitrilase was identified and subsequently cloned and overexpressed in Escherichia coli. The recombinant nitrilase, named NitMC-FB, is active as a homodimer (60 kDa) with an optimal temperature and pH of 90 degrees C and 7.0, respectively. NitMC-FB hydrolyzes preferentially aromatic nitriles, being the first aromatic nitrilase from an archaeon described so far. The K-M and V (max) parameters were determined to be 13.9 mM and 3.7 mu mol/min*mg, respectively, with 2-cyanopyridine as the substrate. Additionally, the recombinant nitrilase is highly thermostable with a half-life of 8 h at 90 degrees C.</t>
  </si>
  <si>
    <t>Blamey, Jenny/M-2637-2014</t>
  </si>
  <si>
    <t>10.1007/s00792-017-0948-9</t>
  </si>
  <si>
    <t>WOS:000408230000004</t>
  </si>
  <si>
    <t>Ruiz-León, D; Avila, RE; Venegas, CJ</t>
  </si>
  <si>
    <t>Ruiz-Leon, D.; Avila, R. E.; Venegas, C. J.</t>
  </si>
  <si>
    <t>SYNTHESIS AND ELECTRICAL CHARACTERIZATION OF ZINC STANNATE (ZTO) PREPARED BY HYDROTHERMAL METHOD</t>
  </si>
  <si>
    <t>Zinc Stannate was prepared at 200 degrees C by hydrothermal method. The X-Ray diffraction data indicate the obtained compound crystallized in the Fd3m space group characteristic of a cubic spinel structure. SEM-EDX and backscattered electrons show and confirm the purity and homogeneity of the final sample. The ZTO pressed pellet, sintered at 825 degrees C, for 1 h, reveals a single, slightly flattened, impedance semicircle and homogeneous electrical microstructure.</t>
  </si>
  <si>
    <t>Venegas Alburquenque, Constanza/ISV-5989-2023; Ruiz, Domingo/H-3818-2011</t>
  </si>
  <si>
    <t>Ruiz Leon, Domingo/0000-0002-0950-6919; Venegas Alburquenque, Constanza J./0000-0002-4303-7319</t>
  </si>
  <si>
    <t>10.4067/S0717-97072015000300011</t>
  </si>
  <si>
    <t>WOS:000365352800011</t>
  </si>
  <si>
    <t>Martínez-Gómez, F; Encinas, MV; Matsuhiro, B; Pavez, J</t>
  </si>
  <si>
    <t>Martinez-Gomez, Fabian; Encinas, Maria V.; Matsuhiro, Betty; Pavez, Jorge</t>
  </si>
  <si>
    <t>Preparation and swelling properties of homopolymeric alginic acid fractions/poly(N-isopropyl acrylamide) graft copolymers</t>
  </si>
  <si>
    <t>JOURNAL OF APPLIED POLYMER SCIENCE</t>
  </si>
  <si>
    <t>Graft copolymers of crosslinked poly(N-isopropyl acrylamide) (PNIPAAm) and homopolyguluronic acid (GG) and homopolymannuronic acid (MM) fractions of alginic acid were synthesized. MM and GG block fractions were obtained by partial acid hydrolysis of the alkaline extract from the brown seaweed Macrocystis pyrifera. The conjugation of these block fractions with the synthetic polymer was achieved by amidation with crosslinked PNIPAAm functionalized with an amino group at the end of the polymer chain. The structure of conjugates was determined by Fourier transform infrared and NMR spectroscopy. Atomic force microscopy of the graft copolymer GG-g-PNIPAAm showed a regular porous pattern, whereas the MM-g-PNIPAAm graft copolymer showed a regular netlike structure. Aqueous solutions of the synthesized graft copolymers afforded hydrogels by stirring with 0.1M CaCl2. The hydrogels showed a well-defined stimulus-response to temperature and pH. The swelling, thermal, and pH characterizations demonstrated the superior properties of the GG-g-PNIPAAm hydrogel over the MM-g-PNIPAAm hydrogel. (c) 2015 Wiley Periodicals, Inc. J. Appl. Polym. Sci. 2015, 132, 42398.</t>
  </si>
  <si>
    <t>Encinas, Maria/L-9686-2014; PAVEZ, JORGE/K-6904-2014</t>
  </si>
  <si>
    <t>Martinez, Fabian/0000-0001-5802-9816; PAVEZ, JORGE/0000-0002-5100-6707</t>
  </si>
  <si>
    <t>0021-8995</t>
  </si>
  <si>
    <t>1097-4628</t>
  </si>
  <si>
    <t>AUG 20</t>
  </si>
  <si>
    <t>10.1002/app.42398</t>
  </si>
  <si>
    <t>WOS:000355731500023</t>
  </si>
  <si>
    <t>Villegas, A; Espinoza, J; Urzúa, A</t>
  </si>
  <si>
    <t>Villegas, Alondra; Espinoza, Javier; Urzua, Alejandro</t>
  </si>
  <si>
    <t>Piperidine alkaloids from Lobelia polyphylla Hook. &amp; Arn. (Campanulaceae)</t>
  </si>
  <si>
    <t>The piperidine alkaloid composition from young stems of Lobelia polyphylla Hook &amp; Arn. was determined by gas chromatography mass spectrometry (GC-MS). The tentative structures, without the stereochemistry, were obtained by the analysis of the fragmentation patterns of the mass spectra of each compound. The stems contained a mixture of lobeline (1), norlobelanidine (2), 1-(1-(2-hydroxy-2-phenylethyl)-1-methylpiperidin) butane-2-ol (3), 8-propyl-10-phenyl lobelionol (4), 1-(6-(2-hydroxy-2-phenylethyl)-1-methylpiperidin) butane-2-one (5), 1-(6-(2-hidroxypentyl)-1-ethylpiperidin) butane-2-one (6) and 1-methyl-2-piperidinemethanol (7). The role of these alkaloids in the toxic, narcotic and hallucinogenic effects, produced after smoking the aerial parts of this species is discussed.</t>
  </si>
  <si>
    <t>Villegas, Alondra/LTZ-2509-2024; Espinoza, Javier/L-1183-2019</t>
  </si>
  <si>
    <t>Villegas Menares, Alondra/0000-0001-6353-098X</t>
  </si>
  <si>
    <t>WOS:000335518100009</t>
  </si>
  <si>
    <t>Lisboa, J; Cifuentes, G; Marin, J; Mieres, E</t>
  </si>
  <si>
    <t>Lisboa, J.; Cifuentes, G.; Marin, J.; Mieres, E.</t>
  </si>
  <si>
    <t>USE OF ELECTRODEPOSITION OF NICKEL IN THE MANUFACTURE OF LEU ANNULAR TARGETS</t>
  </si>
  <si>
    <t>This work presents the results of a thin electroplated layer of nickel on the surface of the uranium to achieve deposits 15 to 25 mu m thick. Ultrasound tests and electron microscopy showed good adhesion and homogeneity of the Ni deposit, which has high hardness and relatively small grain size, with an orientation in the direction of current flow.</t>
  </si>
  <si>
    <t>Cifuentes, Gerardo/AAS-2148-2021</t>
  </si>
  <si>
    <t>Cifuentes, Gerardo/0000-0002-9543-1625</t>
  </si>
  <si>
    <t>10.4067/S0717-97072013000400044</t>
  </si>
  <si>
    <t>WOS:000331238800040</t>
  </si>
  <si>
    <t>Correa-Llantén, DN; Amenábar, MJ; Blamey, JM</t>
  </si>
  <si>
    <t>Correa-Llanten, Daniela N.; Amenabar, Maximiliano J.; Blamey, Jenny M.</t>
  </si>
  <si>
    <t>Antioxidant Capacity of Novel Pigments from an Antarctic Bacterium</t>
  </si>
  <si>
    <t>JOURNAL OF MICROBIOLOGY</t>
  </si>
  <si>
    <t>In Antarctica microorganisms are exposed to several conditions that trigger the generation of reactive oxygen species, such as high UV radiation. Under these conditions they must have an important antioxidant defense system in order to prevent oxidative damage. One of these defenses are pigments which are part of the non-enzymatic antioxidant mechanisms. In this work we focused on the antioxidant capacity of pigments from an Antarctic microorganism belonging to Pedobacter genus. This microorganism produces different types of pigments which belong to the carotenoids group. The antioxidant capacity of a mix of pigments was analyzed by three different methods: 1,1-diphenyl-2-picrylhydrazyl, ROS detection and oxygen electrode. The results obtained from these approaches indicate that the mix of pigments has a strong antioxidant capacity. The oxidative damage induced by UVB exposure to Liposomes was also analyzed. Intercalated pigments within the liposomes improved its resistance to lipid peroxidation. Based on the analysis carried out along this research we conclude that the antioxidant properties of the mix of pigments protect this bacterium against oxidative damage. These properties make this mix of pigments a powerful antioxidant mixture with potential biotechnological applications.</t>
  </si>
  <si>
    <t>Blamey, Jenny/M-2637-2014; Amenabar, Maximiliano/AAD-5354-2020</t>
  </si>
  <si>
    <t>Amenabar, Maximiliano/0000-0003-1890-5353</t>
  </si>
  <si>
    <t>1225-8873</t>
  </si>
  <si>
    <t>10.1007/s12275-012-2029-1</t>
  </si>
  <si>
    <t>WOS:000305849200002</t>
  </si>
  <si>
    <t>Valdebenito, A; Encinas, MV</t>
  </si>
  <si>
    <t>Valdebenito, Andrea; Victoria Encinas, Maria</t>
  </si>
  <si>
    <t>Effect of solvent on the free radical polymerization of N,N-dimethylacrylamide</t>
  </si>
  <si>
    <t>POLYMER INTERNATIONAL</t>
  </si>
  <si>
    <t>The free radical photopolymerization of N,N-dimethylacrylamide was investigated at 25 degrees C and at low conversion in several solvents ranging from weak polar solvents to water. The polymerization is strongly accelerated in the aqueous medium, with the polymerization rate increasing one order of magnitude when the solvent is changed from an organic one to aqueous medium. These results were analysed in terms of macroradical conformation, effect of medium viscosity, aggregate formation, hydrogen bond formation and effect of temperature. The results suggest that the main factor that controls the polymerization rate is a kinetic effect due to the hydrogen bonding between the amide carbonyl group and water molecules. Also, we found that polymer properties, such as the thermodynamic quality of the solvent for the polymer backbone and molecular weight control using transfer agents, are influenced by the intermolecular hydrogen bonding. (C) 2010 Society of Chemical Industry</t>
  </si>
  <si>
    <t>0959-8103</t>
  </si>
  <si>
    <t>1097-0126</t>
  </si>
  <si>
    <t>10.1002/pi.2856</t>
  </si>
  <si>
    <t>WOS:000282352700010</t>
  </si>
  <si>
    <t>Costamagna, J</t>
  </si>
  <si>
    <t>Basic and applied science of synthetic azamacrocycles.</t>
  </si>
  <si>
    <t>BOLETIN DE LA SOCIEDAD CHILENA DE QUIMICA</t>
  </si>
  <si>
    <t>0366-1644</t>
  </si>
  <si>
    <t>WOS:000176814300001</t>
  </si>
  <si>
    <t>Peres, IT; Braga, LD; Bastos, LDL; Villalobos-Cid, M</t>
  </si>
  <si>
    <t>Peres, Igor Tona; Braga, Lucas da Cunha; Bastos, Leonardo dos Santos Lourenco; Villalobos-Cid, Manuel</t>
  </si>
  <si>
    <t>Efficiency Analysis of Healthcare Systems in Latin American and Caribbean Countries: An Application Based on Data Envelopment Analysis</t>
  </si>
  <si>
    <t>VALUE IN HEALTH REGIONAL ISSUES</t>
  </si>
  <si>
    <t>Objectives: Despite the increasing investments in Latin American healthcare, the corresponding improvement in population health is not proportional. This discrepancy may be attributed to the efficiency of resource utilization. This study used the data envelopment analysis (DEA) methodology to assess the efficiency of healthcare systems in 23 Latin American and Caribbean countries. Methods: We used the most recent data from the World Bank (2017). Our analysis included healthcare expenditure (percentage of gross domestic product), hospital beds per 1000 inhabitants, physicians per 1000 inhabitants, and nurses per 1000 inhabitants as input variables. Life expectancy at birth and infant mortality rate were used as output variables. We conducted sensitivity analyses on model parameters to understand their influence. Linear and Tobit regressions were developed to comprehend the relationship between variables and DEA scores. Finally, we performed a temporal analysis of efficiencies to identify trends and patterns within the sample. Results: The DEA model classified 13 of the 23 analyzed countries as efficient, with 10 consistently maintaining this level throughout the 10 years of the temporal analysis: Belize, Chile, Colombia, Costa Rica, Cuba, Guatemala, Honduras, Jamaica, Mexico, and Peru. Conversely, 4 countries were never considered efficient: Barbados, Brazil, Nicaragua, and Uruguay. Conclusions: This study provides valuable insights for Latin American and Caribbean countries, offering a roadmap to manage their resources better and provide quality and equitable service to their people despite economic challenges.</t>
  </si>
  <si>
    <t>Villalobos-Cid, Manuel/AFK-0866-2022; Peres, Igor/GWQ-6665-2022</t>
  </si>
  <si>
    <t>Villalobos-Cid, Manuel/0000-0002-1145-2016</t>
  </si>
  <si>
    <t>2212-1099</t>
  </si>
  <si>
    <t>10.1016/j.vhri.2024.101075</t>
  </si>
  <si>
    <t>JAN 2025</t>
  </si>
  <si>
    <t>WOS:001400985700001</t>
  </si>
  <si>
    <t>Cabrera-Medina, J; Frade, IM; Diaz, A; Cruz, I</t>
  </si>
  <si>
    <t>Cabrera-Medina, Johana; Magana Frade, Irene; Diaz, Alejandro; Cruz, Isabel</t>
  </si>
  <si>
    <t>Crossing digital borders: technology in the migration process across the United States, Mexico, Honduras, and Chile</t>
  </si>
  <si>
    <t>FRONTIERS IN POLITICAL SCIENCE</t>
  </si>
  <si>
    <t>This study examines the role of technology in migration processes across the United States, Mexico, Honduras, and Chile, with a focus on how technological tools are used primarily for control and management, and to a lesser extent, for facilitating integration. Through a qualitative methodology, including a comprehensive review of gray literature, this research analyzes the deployment of technologies by governmental and non-governmental institutions. Key findings reveal significant disparities in technological implementation, with the United States leading in advanced surveillance and control technologies, including biometric systems, artificial intelligence, and mobile applications like CBP One. In contrast, Mexico and Chile employ more limited technological tools, with Chile showing an emphasis on social inclusion through the Migrapp app. Honduras, on the other hand, lacks significant technological infrastructure for migration governance. The study highlights the risks associated with privacy invasion, surveillance, and social exclusion, particularly in the U.S, and calls for the responsible design and use of technology to ensure the protection of migrants' rights and to foster inclusion rather than exacerbate inequalities.</t>
  </si>
  <si>
    <t>Cabrera Medina, Johana/IUO-1859-2023</t>
  </si>
  <si>
    <t>Cabrera-Medina, Johana/0000-0002-5444-688X</t>
  </si>
  <si>
    <t>2673-3145</t>
  </si>
  <si>
    <t>NOV 29</t>
  </si>
  <si>
    <t>10.3389/fpos.2024.1487769</t>
  </si>
  <si>
    <t>WOS:001375914000001</t>
  </si>
  <si>
    <t>Antunez-Ossio, V; Blamey, JM</t>
  </si>
  <si>
    <t>Antunez-Ossio, Valentina; Blamey, Jenny M.</t>
  </si>
  <si>
    <t>Extremophilic microorganisms: An alternative as synthesizers of ferromagnetic nanoparticles.</t>
  </si>
  <si>
    <t>2024 IEEE INTERNATIONAL MAGNETIC CONFERENCE-SHORT PAPERS, INTERMAG SHORT PAPERS</t>
  </si>
  <si>
    <t>IEEE International Magnetics Conference (INTERMAG)</t>
  </si>
  <si>
    <t>MAY 05-10, 2024</t>
  </si>
  <si>
    <t>Rio de Janeiro, BRAZIL</t>
  </si>
  <si>
    <t>The development of new alternatives for the synthesis of nanoparticles (NPs) has been of great interest. Chemical synthesis has traditionally been employed, however chemical methods for the synthesis of NPs require the use of numerous highly toxic reagents, resulting in the production of environmentally harmful residues. Recently biological synthesis of nanoparticles has emerged as a promising and eco-friendly alternative, where extremophilic microorganisms and their enzymes play a key role. In this work the primary objective is to demonstrate the capability of two extremophilic microorganisms, isolated both from low temperature extreme environments, Pseudomonas aeruginosa and Geobacillus sp. ID17 for the biosynthesis of ferromagnetic NPs, specifically iron oxide NPs generated both intra and extracellularly.</t>
  </si>
  <si>
    <t>979-8-3503-6221-3; 979-8-3503-6222-0</t>
  </si>
  <si>
    <t>10.1109/INTERMAGShortPapers61879.2024.10576746</t>
  </si>
  <si>
    <t>WOS:001266133200008</t>
  </si>
  <si>
    <t>Fierro-Saldaña, B</t>
  </si>
  <si>
    <t>Fierro-Saldana, Belen</t>
  </si>
  <si>
    <t>Analysis of the Physical Education Curriculum in Chile: a look towards students inclusion</t>
  </si>
  <si>
    <t>RETOS-NUEVAS TENDENCIAS EN EDUCACION FISICA DEPORTE Y RECREACION</t>
  </si>
  <si>
    <t>The Physical Education curriculum in Chile is the guiding letter that guides all public educational establishments in the country and consists of a central collection of expected learning that guides teaching in the national territory. In the same way, the School Integration Program provides guidelines for achieving the inclusion of all students, through general guidelines in accordance with global organizations that promote the inclusion of diversity at all levels of the educational system. Recognizing the importance of government guidelines, the aim of the study is to analyze written regulatory discourse considering global evidence, through the review of epistemological conceptions in which these guidelines are conceived and the relevance of the assumptions on which the main regulations that govern educational system in Chile are based. It is possible to find certain generic ideas that are barely contextualized to the reality of educational establishments, and a poor correspondence between the discourse, reality and current regulations, which reduce and often restrict the possibiliti es of educational centers to make decisions according to their contextual reality and particular needs of the educational community.</t>
  </si>
  <si>
    <t>Fierro-Saldaña, Belén/H-1420-2019</t>
  </si>
  <si>
    <t>1579-1726</t>
  </si>
  <si>
    <t>1988-2041</t>
  </si>
  <si>
    <t>WOS:001235311400001</t>
  </si>
  <si>
    <t>Fredes, M; Dávila, S; Quezada, F</t>
  </si>
  <si>
    <t>Fredes, Macarena; Davila, Sebastian; Quezada, Franco</t>
  </si>
  <si>
    <t>Online Multi-appointment scheduling under Demand for Oncology Patient Treatment</t>
  </si>
  <si>
    <t>2024 10TH INTERNATIONAL CONFERENCE ON CONTROL, DECISION AND INFORMATION TECHNOLOGIES, CODIT 2024</t>
  </si>
  <si>
    <t>International Conference on Control Decision and Information Technologies</t>
  </si>
  <si>
    <t>10th International Conference on Control, Decision and Information Technologies (CoDIT)</t>
  </si>
  <si>
    <t>JUL 01-04, 2024</t>
  </si>
  <si>
    <t>Vallette, MALTA</t>
  </si>
  <si>
    <t>IEEE,Int Federat Automat Control,L Univ Malta,Lisier,IEEE Control Syst Soc,IEEE Syst, Man, &amp; Cybernet Soc,IEEE Robot &amp; Automat Soc</t>
  </si>
  <si>
    <t>This research is dedicated to formulating a practical problem related to the assignment of oncology clinic routes. The objective is to schedule medical events for patients attending health centers, taking into account the variable demand and limited resources in this field. To achieve this, three types of solutions are considered. The first is an Online Scheduling Algorithm, which simulates a scheduling process based on medical routes and also includes its inverse version. The next is a Mixed-Integer Linear Programming (MILP) model. In this case, information is centralized, and patients are scheduled based on their requirements, minimizing delays in their appointments and/or medical treatments. These methodologies are compared with the current mode of assignment used. To test the previously proposed solutions, data provided by the Arturo Lopez Perez Foundation (FALP) will be used.</t>
  </si>
  <si>
    <t>davila, sebastian/HSG-4377-2023</t>
  </si>
  <si>
    <t>2576-3555</t>
  </si>
  <si>
    <t>979-8-3503-7398-1; 979-8-3503-7397-4</t>
  </si>
  <si>
    <t>10.1109/CoDIT62066.2024.10708607</t>
  </si>
  <si>
    <t>WOS:001345039101056</t>
  </si>
  <si>
    <t>Vega, FB</t>
  </si>
  <si>
    <t>Vega, Fabian Bravo</t>
  </si>
  <si>
    <t>Non-religion and liminal religiosity: Research Proposals for the Study of Institutional Religious Disaffection in Latin America</t>
  </si>
  <si>
    <t>ILU-REVISTA DE CIENCIAS DE LAS RELIGIONES</t>
  </si>
  <si>
    <t>The following article aims to present two analytical tools for understanding the process of disaffection from religious institutions in the context of Latin American modernity: the concept of non-religion and a strategy focused on the liminality of the religious ('liminal religiosity'). The main argument holds that religious disaffection, understood through the growth of the unaffiliated population and other associated phenomena, implies the existence of a heterogeneous space rather than a residual and negative category. To achieve this, and through a methodology of literature review, a critical examination is made of the main theoretical nuclei of the social sciences regarding the religious phenomenon, identifying some underlying patterns such as a normative conception of secularization and the predominance of a Western modern narrative that would hinder problematizing new trends in regional religious change. It is concluded that these proposals may serve as valuable tools insofar as they are complemented by less restrictive models, grounded in more versatile theoretical and methodological frameworks, and an open, minimalist understanding of religion that is attuned to the uniqueness of Latin American modernity.</t>
  </si>
  <si>
    <t>1135-4712</t>
  </si>
  <si>
    <t>1988-3269</t>
  </si>
  <si>
    <t>10.5209/ilur.90731</t>
  </si>
  <si>
    <t>WOS:001320652400009</t>
  </si>
  <si>
    <t>Conceicao, KC; Villamar-Ayala, CA; Plaza-Garrido, A; Toledo-Neira, C</t>
  </si>
  <si>
    <t>Conceicao, Kennedy C.; Villamar-Ayala, Cristina A.; Plaza-Garrido, Angela; Toledo-Neira, Carla</t>
  </si>
  <si>
    <t>Seasonal behavior of pharmaceuticals and personal care products within Chilean rural WWTPs under COVID-19 pandemic conditions</t>
  </si>
  <si>
    <t>JOURNAL OF ENVIRONMENTAL CHEMICAL ENGINEERING</t>
  </si>
  <si>
    <t>During the COVID-19 pandemic, the consumption of pharmaceuticals and personal care products (PPCPs) increased exponentially. There is an associated risk concerning the presence of PPCPs from wastewater, mainly in rural zones of emerging countries, where sanitation tends to be poor or inefficient. Therefore, this study aimed to evaluate the seasonal behavior of PPCPs within Chilean rural wastewater treatment plants (WWTPs) under COVID-19 pandemic conditions. Ten Chilean rural WWTPs were monitored during 2021, both in the cold (May-September) and warm (November - December) months, being collected semi-composite samples (influent/ effluent). WWTPs were based on activated sludge, aerobic lagoons, rotatory discs, activated sludge + bio discs, constructed wetlands, and vermifilter. Physicochemical parameters and PPCPs (azithromycin, ciprofloxacin, caffeine, ibuprofen, losartan, and triclosan) compounds were monitored. Results showed that PPCPs, such as antibiotics (azithromycin, ciprofloxacin: 14.7 - 100%), stimulants (caffeine: 41.5 - 100%), NSAIDs (ibuprofen: 32.9-100%), beta-blockers (losartan: 43.5-100%), and disinfectants (triclosan: 45.9-100%) were variably removed. Non-significant differences (p &gt; 0.05) of the PPPCs (effluent concentrations/efficiencies) were reported regarding seasonality and treatment typologies. Moreover, azithromycin, ciprofloxacin and triclosan reported positive correlations (circle minus approximate to 0 degrees) with solids. Finally, this study evidenced that COVID-19 pandemic conditioned seasonally variability of PPCPs from wastewater.</t>
  </si>
  <si>
    <t>Villamar, Cristina-Alejandra/AAB-4154-2019; Costa da Conceicao, Kennedy/KQV-2011-2024</t>
  </si>
  <si>
    <t>Costa da Conceicao, Kennedy/0000-0001-7528-8617; Toledo Neira, Carla Beatriz/0000-0003-2872-3043; Villamar, Cristina Alejandra/0000-0003-4654-0670; Plaza, Angela/0000-0003-2075-9252</t>
  </si>
  <si>
    <t>2213-2929</t>
  </si>
  <si>
    <t>2213-3437</t>
  </si>
  <si>
    <t>10.1016/j.jece.2023.110984</t>
  </si>
  <si>
    <t>SEP 2023</t>
  </si>
  <si>
    <t>WOS:001085022900001</t>
  </si>
  <si>
    <t>Tapia, PC; Leiva, MU</t>
  </si>
  <si>
    <t>Canales Tapia, Pedro; Urrutia Leiva, Marie</t>
  </si>
  <si>
    <t>People of the earth without earth: migration, Chilean laws and reductional tensions in the twentieth century</t>
  </si>
  <si>
    <t>The present work delves into the debate regarding the migratory processes experienced by the Mapuche population during the 20th century since its reductions in Chilean cities. The aim of this work is to analyze the Mapuche walk in the cities, in order to identify the routes of exodus and return to the ancient territory, in contexts of evident material impoverishment. This, from the connection of these wanderings and the debates regarding migration, indigenous laws, diaspora and Mapuche return, as a matrix of analysis; besides a methodological work, with a deep epistemological approach based on the contributions of oral history as investigative support is added.</t>
  </si>
  <si>
    <t>10.7770/CUHSO-V32N1-ART2406</t>
  </si>
  <si>
    <t>WOS:000836663500019</t>
  </si>
  <si>
    <t>Azócar, J; Soto, I; Corral, F</t>
  </si>
  <si>
    <t>Azocar, Jose; Soto, Ismael; Corral, Fabian</t>
  </si>
  <si>
    <t>A Quantum Key distribution using Optical Frequency Comb Source</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</si>
  <si>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</si>
  <si>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</si>
  <si>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</si>
  <si>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</si>
  <si>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</si>
  <si>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The use of quantum cryptography aims to perform a secure key exchange, so that agents outside the system are not able to obtain information flowing through the. channel. This work proposes the use of a Quantum Key Distribution (QKD) technique, specifically the BB84 protocol, with the objective of randomly generating a key for the encryption of information and distribute it securely afterwards. As a result, the same key is successfully generated at each end of the communication channel, and is never transmitted over it, for which it proposes the use of an Optical Frequency Comb Source (OFCS), seeking to increase the capacity of the optical medium to support more transmitter-receiver pairs (Client-Server)</t>
  </si>
  <si>
    <t>Azocar, Jose/0000-0002-9531-9334</t>
  </si>
  <si>
    <t>978-1-6654-4225-1</t>
  </si>
  <si>
    <t>10.1109/SACVLC53127.2021.9652309</t>
  </si>
  <si>
    <t>WOS:000760247000014</t>
  </si>
  <si>
    <t>Becerra, M; Magne, L</t>
  </si>
  <si>
    <t>Becerra, Miguel; Magne, Luis</t>
  </si>
  <si>
    <t>Semi-autogenous grinding model based on effective grinding rate and three stages internal classification - Part i</t>
  </si>
  <si>
    <t>From the development of a semi-autogenous grinding model based on effective grinding rates and internal classification presented during the nineties (Magne et al., 1995) the state of the art of the mathematical structure of this model was updated, presenting the development of each subprocess from the inside of the mill in detail, considering grinding, internal classification, and mass transport. The developed model was used to demonstrate its predictive capacity using results from SAG pilot tests on copper ores. After applying the model, the ability to replicate the results obtained for size distributions of internal load, product, and the total filling level was demonstrated. This article presents, from a simplified approach and strongly based on the observation of the experimental data obtained at pilot scale, the first approach and details of how to use the model, being an alternative to the current state of the art.</t>
  </si>
  <si>
    <t>Magne, Luis/AAF-3890-2021</t>
  </si>
  <si>
    <t>10.1016/j.mineng.2020.106543</t>
  </si>
  <si>
    <t>WOS:000564535400002</t>
  </si>
  <si>
    <t>Domínguez, M; Mera-Adasme, R; Rezende, MC</t>
  </si>
  <si>
    <t>Dominguez, Moises; Mera-Adasme, Raul; Rezende, Marcos Caroli</t>
  </si>
  <si>
    <t>Insights into the halochromism of a bithiophene π* probe</t>
  </si>
  <si>
    <t>SPECTROCHIMICA ACTA PART A-MOLECULAR AND BIOMOLECULAR SPECTROSCOPY</t>
  </si>
  <si>
    <t>The positive halochromism of the solvatochromic 4-nitro-4'-(N, N-dimethylamino)-2,2'-bithiophene in acetone and 1-butanol was investigated by molecular dynamics simulations and quantum mechanics calculations. Interactions of the dye with the solvated sodium cation were found to have only a minor effect on the observed halochromism, which was ultimately ascribed to a predominant interaction between iodide anions and the N,N-dimethylamino group of the dye. (C) 2019 Elsevier B.V. All rights reserved.</t>
  </si>
  <si>
    <t>Caroli, Marcos/H-3570-2019; Domínguez, Moisés/P-2227-2019</t>
  </si>
  <si>
    <t>Rezende, Marcos/0000-0003-2040-9009</t>
  </si>
  <si>
    <t>1386-1425</t>
  </si>
  <si>
    <t>1873-3557</t>
  </si>
  <si>
    <t>NOV 5</t>
  </si>
  <si>
    <t>10.1016/j.saa.2019.117264</t>
  </si>
  <si>
    <t>WOS:000482215100071</t>
  </si>
  <si>
    <t>Espinoza, L; Herrera, C; Ruiz, R; Romero, F; Escobar, M; Astorga, R; Guillen, AM; Aranzaes, C; Fernandez, L; Gonzalez, M; Gutierrez, I; Palominos, T; Pizarro, E; Rojas, J; Sepúlveda, T</t>
  </si>
  <si>
    <t>Espinoza, Lorena; Herrera, Constanza; Ruiz, Ramon; Romero, Flor; Escobar, Marcela; Astorga, Ricardo; Guillen, Ana Maria; Aranzaes, Claudia; Fernandez, Lorena; Gonzalez, Mauricio; Gutierrez, Ingrid; Palominos, Tamara; Pizarro, Edith; Rojas, Jessica; Sepulveda, Teresa</t>
  </si>
  <si>
    <t>The challenge of pedagogical reflection in the Santa Maria de Penalolen School: Diagnosis of the competences and practices of teachers and directors</t>
  </si>
  <si>
    <t>Research on teachers' work has highlighted reflection as an opportunity to strengthen pedagogical practice and institutional transformation. The improvement of student learning outcomes requires processes of deep reflection, which are developed within the framework of professional learning communities. The objective of the research was to characterize the reflective thinking skills mobilized by teachers and principals when analyzing evaluation results and teaching practices, considering their articulation and relationship with the conditions of the educational institution. The research was developed under a qualitative approach, a case study method and a school-university associative research strategy. The analysis of classroom observations and teachers' meetings, as well as of questionnaires applied to them, showed that although teachers value and consider themselves trained for reflection, they make reflections that have a descriptive character, focused on contextual and institutional aspects, rather than pedagogical or didactic ones, which makes it difficult to make pertinent and transferable decisions to classroom practice. Likewise, the institutional conditions that favor and hinder teacher reflection are identified, paying attention to the importance of the regularity, orientation and quality of the instances of individual and collective reflection promoted by the educational establishment. Finally, the contribution of university-school collaboration projects in initial and continuous teacher training is presented.</t>
  </si>
  <si>
    <t>espinoza, lorena/I-2215-2015; Herrera, Constanza/JXW-6809-2024</t>
  </si>
  <si>
    <t>WOS:000886992800004</t>
  </si>
  <si>
    <t>Kaschel, H; Viera, E</t>
  </si>
  <si>
    <t>Kaschel, Hector; Viera, Eduardo</t>
  </si>
  <si>
    <t>High Availability Routing Protocol for WSN</t>
  </si>
  <si>
    <t>Currently, WSN (Wireless Sensor Networks) have become a relevant topic for researchers in a wide implementation area (Industry, Environment, Medical, etc.). WSN have interesting features and optimal capabilities in several applications, i.e. applications where it's required to have architecture flexibility, low power consumption, transparent transition mode, etc. From the fault tolerance point of view and network robustness, this research presents an improvement by means of a very simple protocol, managed by the application layer levels (OSI model reference); obtaining electrical and transmission parameters, such as: current drawn, voltage levels and RSSI (Reception Strength Signal Indicator).</t>
  </si>
  <si>
    <t>Viera, Eduardo/X-4490-2019</t>
  </si>
  <si>
    <t>Viera Riquelme, Eduardo/0000-0001-5264-1377</t>
  </si>
  <si>
    <t>WOS:000458417600018</t>
  </si>
  <si>
    <t>López, CE; Albarrán-Arriagada, F; Allende, S; Retamal, JC</t>
  </si>
  <si>
    <t>Lopez, C. E.; Albarran-Arriagada, F.; Allende, S.; Retamal, J. C.</t>
  </si>
  <si>
    <t>Generation of maximally correlated states of (d ⊗ d)-dimensional systems in the absence of entanglement</t>
  </si>
  <si>
    <t>We study the generation of maximally correlated states of (d circle times d)-dimensional quantum systems in the absence of quantum entanglement. We found that this class of states can be generated under the assistance of a collective dissipative dynamics. Maximally correlated bipartite states without entanglement, requires maximal entanglement to a third party. We study a bipartite system evolving into a maximally correlated state, without entanglement, when interacting with a finite environment. Copyright (C) EPLA, 2017</t>
  </si>
  <si>
    <t>Retamal, Juan/G-6425-2010; López, Carlos/B-8456-2009</t>
  </si>
  <si>
    <t>Albarran-Arriagada, Francisco/0000-0001-8899-3673; Retamal Abarzua, Juan Carlos/0000-0002-7174-7879</t>
  </si>
  <si>
    <t>10.1209/0295-5075/120/10003</t>
  </si>
  <si>
    <t>WOS:000422616100003</t>
  </si>
  <si>
    <t>Design of a Triband Antenna Microstrip for 2.4 GHz, 3.5 GHz and 5.7 GHz applied a WBAN</t>
  </si>
  <si>
    <t>2017 CHILEAN CONFERENCE ON ELECTRICAL, ELECTRONICS ENGINEERING, INFORMATION AND COMMUNICATION TECHNOLOGIES (CHILECON)</t>
  </si>
  <si>
    <t>OCT 18-20, 2017</t>
  </si>
  <si>
    <t>Pucon, CHILE</t>
  </si>
  <si>
    <t>IEEE Chile Sect,Asociac Chilena Control Automatico,IEEE Chilean Chapter Control Syst,IEEE Chilean Chapter SMC,Macro Fac Chile,Univ Frontera,Univ Bio Bio,Univ Talca,IEEE Syst, Man, &amp; Cybernet Soc</t>
  </si>
  <si>
    <t>This paper presents a design of a Triband microstrip antenna for 2.4 GHz, 3.5 GHz and 5.7 GHz applied a WBAN (Wireless Body Area Network). The proposed antenna with three substrates types consists of L-shaped slots have been determined based on the frequency bands. For the integration of these techniques three frequency bands consisting of the ISM band 2.4 GHz and 5.7 GHz, and 3.5 GHz band UWB respectively were considered. The proposed antenna is designed with the purpose of obtaining a low SAR models of the human body, considering both the electromagnetic effect and the shell model in human tissues.</t>
  </si>
  <si>
    <t>978-1-5386-3123-2</t>
  </si>
  <si>
    <t>WOS:000425925000002</t>
  </si>
  <si>
    <t>Vidal, M; García-Arriagada, M; Rezende, MC; Domínguez, M</t>
  </si>
  <si>
    <t>Vidal, Matas; Garcia-Arriagada, Macarena; Rezende, Marcos Caroli; Dominguez, Moises</t>
  </si>
  <si>
    <t>Ultrasound-Promoted Synthesis of 4-Pyrimidinols and Their Tosyl Derivatives</t>
  </si>
  <si>
    <t>SYNTHESIS-STUTTGART</t>
  </si>
  <si>
    <t>Ultrasound irradiation promoted the cyclocondensation of beta-keto esters and amidines in good to excellent yields to form sixteen highly substituted 4-pyrimidinols. Tosylation of these compounds, in another ultrasound-promoted conversion, formed 4-pyrimidyl tosylates in high yields. The use of the developed protocol as an alternative route to 4-arylpyrimidines was illustrated with three examples of the Suzuki-Miyaura cross-coupling of the prepared tosylates with phenylboronic acid.</t>
  </si>
  <si>
    <t>Dominguez, Moises/0000-0002-8444-3065; Rezende, Marcos/0000-0003-2040-9009</t>
  </si>
  <si>
    <t>0039-7881</t>
  </si>
  <si>
    <t>1437-210X</t>
  </si>
  <si>
    <t>10.1055/s-0035-1562788</t>
  </si>
  <si>
    <t>WOS:000389329500032</t>
  </si>
  <si>
    <t>Cortés, I; Montalvo, S</t>
  </si>
  <si>
    <t>Cortes, I.; Montalvo, S.</t>
  </si>
  <si>
    <t>EVALUATION OF POTENTIAL METHANE GENERATION IN THE INVESTIGATION OF AN ABANDONED CONTAMINATED LANDFILL IN SANTIAGO, CHILE</t>
  </si>
  <si>
    <t>BRAZILIAN JOURNAL OF CHEMICAL ENGINEERING</t>
  </si>
  <si>
    <t>11th Latin American Symposium on Anaerobic Digestion (DAAL)</t>
  </si>
  <si>
    <t>Havana, CUBA</t>
  </si>
  <si>
    <t>This study presents the environmental evaluation of an abandoned and potentially contaminated landfill using analyses for the presence of heavy metals and for methane generation potential. The site is located in the city of Santiago, Chile, and was used as a rural landfill for domestic, industrial and construction waste until 1978, but is now in a heavily urbanized area and surrounded by houses. Analyses performed on 24 samples taken in and around the site show Potential Methane Generation (PMG) values between 1.6% and 11.3% of maximum projected levels. These low values, compared to those of an active landfill, indicate that waste material stored in the site has a low capacity to generate methane. Concentrations of heavy metals in the surface and deep soil are similar to typical levels for these metals in normal soil, according to international USEPA standards, and do not present imminent risk to human health. The use of the PMG test technique for the study of the health risk of an abandoned landfill is a new contribution to the Chilean evaluation methodology and management program for Abandoned Sites with Potential Presence of Contaminants (SAPPC). As part of the environmental management strategy for the site, two of the five operable units studied were transformed into a park after this study.</t>
  </si>
  <si>
    <t>0104-6632</t>
  </si>
  <si>
    <t>1678-4383</t>
  </si>
  <si>
    <t>OCT-DEC</t>
  </si>
  <si>
    <t>10.1590/0104-6632.20160334s20150264</t>
  </si>
  <si>
    <t>WOS:000396935700004</t>
  </si>
  <si>
    <t>Ramirez, BU</t>
  </si>
  <si>
    <t>Ramirez, Beatriz U.</t>
  </si>
  <si>
    <t>Correlation of self-assessment with attendance in an evidence-based medicine course</t>
  </si>
  <si>
    <t>ADVANCES IN PHYSIOLOGY EDUCATION</t>
  </si>
  <si>
    <t>In previous studies, correlations between attendance and grades in lectures have given variable results and, when statistically significant, the correlation has been weak. In some studies, a sex effect has been reported. Lectures are a teacher-centered learning activity. Therefore, it appeared interesting to evaluate if a stronger correlation between attendance and grades would occur in a face-to-face evidence-based medicine course with few lectures and more time dedicated to active learning methods. Small-group work and peer learning were used to foster deep learning and to engage students in their own learning process. Most of the time, students worked in small groups solving contextualized problems and critically analyzing the quality of published medical literature. Peer learning was also developed in collaborative evaluations, and constant feedback was provided. Therefore, it was hypothesized that high attenders would develop a higher self-perception of learning and obtain higher marks than low attenders. Student self-perceptions of their capacity to apply evidence-based medicine were measured by the application of an online self-assessment survey, and objective learning was measured as the grades obtained in a final accumulative individual test. It was found that male students obtained higher grades and were more confident in their achievements than their female peers, despite male and female student attendance being similar. In addition, attendance was correlated with the perceived capacity to apply evidence-based medicine only in male students and was not correlated with academic outcome.</t>
  </si>
  <si>
    <t>1043-4046</t>
  </si>
  <si>
    <t>1522-1229</t>
  </si>
  <si>
    <t>10.1152/advan.00072.2015</t>
  </si>
  <si>
    <t>WOS:000366138100020</t>
  </si>
  <si>
    <t>Bochi, J; Navas, A</t>
  </si>
  <si>
    <t>Bochi, Jairo; Navas, Andres</t>
  </si>
  <si>
    <t>A geometric path from zero Lyapunov exponents to rotation cocycles</t>
  </si>
  <si>
    <t>ERGODIC THEORY AND DYNAMICAL SYSTEMS</t>
  </si>
  <si>
    <t>We consider cocycles of isometries on spaces of non-positive curvature H. We show that the supremum of the drift over all invariant ergodic probability measures equals the infimum of the displacements of continuous sections under the cocycle dynamics. In particular, if a cocycle has uniform sublinear drift, then there are almost invariant sections, that is, sections that move arbitrarily little under the cocycle dynamics. If, in addition, H is a symmetric space, then we show that almost invariant sections can be made invariant by perturbing the cocycle.</t>
  </si>
  <si>
    <t>; Bochi, Jairo/G-2223-2012</t>
  </si>
  <si>
    <t>Navas Flores, Andres Ignacio/0000-0002-0853-5136; Bochi, Jairo/0000-0003-2833-9957</t>
  </si>
  <si>
    <t>0143-3857</t>
  </si>
  <si>
    <t>1469-4417</t>
  </si>
  <si>
    <t>10.1017/etds.2013.58</t>
  </si>
  <si>
    <t>WOS:000350765700003</t>
  </si>
  <si>
    <t>Briceño-Gutierrez, D; Salinas-Barrera, V; Vargas-Hernández, Y; Gaete-Garretón, L; Zanelli-Iglesias, C</t>
  </si>
  <si>
    <t>Lucas, M; Riera, E</t>
  </si>
  <si>
    <t>Briceno-Gutierrez, D.; Salinas-Barrera, V.; Vargas-Hernandez, Y.; Gaete-Garreton, L.; Zanelli-Iglesias, C.</t>
  </si>
  <si>
    <t>On the ultrasonic atomization of liquids</t>
  </si>
  <si>
    <t>43RD ANNUAL UIA SYMPOSIUM</t>
  </si>
  <si>
    <t>Physics Procedia</t>
  </si>
  <si>
    <t>43rd Annual Symposium of the Ultrasonic-Industry-Association (UIA Symposium)</t>
  </si>
  <si>
    <t>APR 23-25, 2014</t>
  </si>
  <si>
    <t>Madrid, SPAIN</t>
  </si>
  <si>
    <t>Ultrason Ind Assoc,Ethicon,INTEGRA</t>
  </si>
  <si>
    <t>This paper deals with an experimental study of liquid atomization phenomena. For this study an experimental set-up was designed and constructed. A special criterion to start the recording of the process with a high speed digital camera was developed. The frequency dependence of atomization threshold is considered. The theoretical predictions for atomization threshold are also checked. The agreement between the predictions and the experimental results fit qualitatively with the data well until a frequency of 22 kHz. For frequencies beyond this value the tendencies are the opposite. (C) 2015 The Authors. Published by Elsevier B.V.</t>
  </si>
  <si>
    <t>Salinas, Vicente/B-9803-2013</t>
  </si>
  <si>
    <t>Salinas, Vicente/0000-0002-5759-9371</t>
  </si>
  <si>
    <t>1875-3892</t>
  </si>
  <si>
    <t>10.1016/j.phpro.2015.03.006</t>
  </si>
  <si>
    <t>WOS:000380950200005</t>
  </si>
  <si>
    <t>Mendoza, L; Yañez, K; Vivanco, M; Melo, R; Cotoras, M</t>
  </si>
  <si>
    <t>Mendoza, Leonora; Yanez, Karen; Vivanco, Marcela; Melo, Ricardo; Cotoras, Milena</t>
  </si>
  <si>
    <t>Characterization of extracts from winery by-products with antifungal activity against Botrytis cinerea</t>
  </si>
  <si>
    <t>INDUSTRIAL CROPS AND PRODUCTS</t>
  </si>
  <si>
    <t>Phenolic compound profiles of grape pomace extracts from a mixture of Chilean grape varieties (Cabernet Sauvignon, Carmenere and Syrah) were analyzed. Two extraction methods were used: solvent and soxhlet extraction, followed by fractionation with hexane, chloroform and ethyl acetate. Phenolic compounds in different fractions were identified by HPLC. Ethyl acetate phase of solvent extraction contained a wide variety of phenolic compounds. Hexane phase of the extracts presented lowest diversity. Quercetin was found in almost all fractions. Also, the in vitro antifungal activity of these extracts against the phytopathogenic fungus Botrytis cinerea was evaluated. Hexane or chloroform fractions from extracts obtained by solvent extraction showed the highest inhibitory effect on mycelia growth of this fungus, with IC50 value of 40 ppm. In general, ethyl acetate fractions were less active against B. cinerea. Therefore, it can be concluded that grape pomace are a good low cost source to obtain antifungal extracts. (C) 2012 Elsevier B.V. All rights reserved.</t>
  </si>
  <si>
    <t>Yanez, Karen/KII-3045-2024</t>
  </si>
  <si>
    <t>YANEZ ARELLANO, KAREN DEL PILAR/0000-0001-8232-8218</t>
  </si>
  <si>
    <t>0926-6690</t>
  </si>
  <si>
    <t>1872-633X</t>
  </si>
  <si>
    <t>10.1016/j.indcroP.2012.07.048</t>
  </si>
  <si>
    <t>WOS:000311865000055</t>
  </si>
  <si>
    <t>Gaete-Garretón, L; Vargas-Hernández, Y; Cares-Pacheco, MG; Sainz, J; Alarcón, J</t>
  </si>
  <si>
    <t>Gaete-Garreton, L.; Vargas-Hernandez, Yolanda; Cares-Pacheco, Maria G.; Sainz, Javier; Alarcon, John</t>
  </si>
  <si>
    <t>Ultrasonically enhanced extraction of bioactive principles from Quillaja Saponaria Molina</t>
  </si>
  <si>
    <t>ULTRASONICS</t>
  </si>
  <si>
    <t>International Congress on Ultrasonics</t>
  </si>
  <si>
    <t>JAN 12-16, 2009</t>
  </si>
  <si>
    <t>Santiago, CHILE</t>
  </si>
  <si>
    <t>A study of ultrasonic enhancement in the extraction of bioactive principles from Quillaja Saponaria Molina (Quillay) is presented. The effects influencing the extraction process were studied through a two-level factorial design. The effects considered in the experimental design were: granulometry, extraction time, acoustic Power, raw matter/solvent ratio (concentration) and acoustic impedance. It was found that for aqueous extraction the main factors affecting the ultrasonically-assisted process were: granulometry, raw matter/solvent ratio and extraction time. The extraction ratio was increased by Ultrasonics effect and a reduction in extraction time was verified without any influence in the product quality. In addition the process can be carried out at lower temperatures than the conventional method. As the process developed uses chips from the branches of trees, and not only the bark, this research contributes to make the saponin exploitation process a sustainable industry. (C) 2010 Elsevier B.V. All rights reserved.</t>
  </si>
  <si>
    <t>Gaete-Garreton, Luis/0000-0002-2234-8783; Cares, Maria Graciela/0000-0002-7515-4122</t>
  </si>
  <si>
    <t>0041-624X</t>
  </si>
  <si>
    <t>10.1016/j.ultras.2010.12.012</t>
  </si>
  <si>
    <t>WOS:000288014000009</t>
  </si>
  <si>
    <t>Andrade, C; Sepulveda, C; Cardemil, E; Jabalquinto, AM</t>
  </si>
  <si>
    <t>Andrade, Cherie; Sepulveda, Carolina; Cardemil, Emilio; Jabalquinto, Ana M.</t>
  </si>
  <si>
    <t>The Role of Tyrosine 207 in the Reaction Catalyzed by Saccharomyces cerevisiae phosphoenolpyruvate carboxykinase</t>
  </si>
  <si>
    <t>BIOLOGICAL RESEARCH</t>
  </si>
  <si>
    <t>The functional significance of tyrosine 207 of Saccharomyces cerevisiae phosphoenolpyruvate carboxykinase was explored by examining the kinetic properties of the Tyr207Leu mutant. The variant enzyme retained the structural characteristics of the wild-type protein as indicated by circular dichroism, intrinsic fluorescence spectroscopy, and gel-exclusion chromatography. Kinetic analyses of the mutated variant showed a 15-fold increase in K-m, CO2, a 32-fold decrease in V-max, and a 6-fold decrease in K-m for phosphoenolpyruvate. These results suggest that the hydroxyl group of Tyr 207 may polarize CO2 and oxaloacetate, thus facilitating the carboxylation/decarboxylation steps.</t>
  </si>
  <si>
    <t>0716-9760</t>
  </si>
  <si>
    <t>0717-6287</t>
  </si>
  <si>
    <t>WOS:000280362000007</t>
  </si>
  <si>
    <t>Rubio, MA; Guerrero, MJ; Villena, G; Lissi, E</t>
  </si>
  <si>
    <t>Rubio, M. Angelica; Guerrero, M. Jose; Villena, Guillermo; Lissi, Eduardo</t>
  </si>
  <si>
    <t>Hydroperoxides in dew water in downtown Santiago, Chile. A comparison with gas-phase values</t>
  </si>
  <si>
    <t>ATMOSPHERIC ENVIRONMENT</t>
  </si>
  <si>
    <t>Gas phase and dew incorporated concentrations of hydrogen peroxide were measured during late autumn at downtown Santiago, Chile. Dews were collected in non-stabilized and stabilized (HgCl2 rinsed) Teflon collectors. The values measured in both type of collectors were considerably lower than those predicted from gas-phase concentrations and Henry's law, suggesting a lack of equilibration between dew droplets and the surrounding air mass. Concentrations of hydrogen peroxide measured in dews collected in stabilized samplers are considerably higher than those measured in non-stabilized samplers. This difference is related to the decomposition of the peroxides in the collected dews. It is proposed that this decomposition is, at least partially, associated to the oxidation of S(IV) by hydrogen peroxide. This is supported by a slower rate of decomposition of externally added hydrogen peroxide after removal of S(IV) compounds from dew matrices. (c) 2006 Elsevier Ltd. All rights reserved.</t>
  </si>
  <si>
    <t>Villena, Guillermo/0000-0002-1867-1879</t>
  </si>
  <si>
    <t>1352-2310</t>
  </si>
  <si>
    <t>10.1016/j.atmosenv.2006.05.021</t>
  </si>
  <si>
    <t>WOS:000241182700010</t>
  </si>
  <si>
    <t>Romay, C; Gonzalez, R; Pizarro, M; Lissi, E</t>
  </si>
  <si>
    <t>Kinetics of c-phycocyanin reaction with hypochlorite</t>
  </si>
  <si>
    <t>JOURNAL OF PROTEIN CHEMISTRY</t>
  </si>
  <si>
    <t>Hydrochlorous acid bleaches c-phycocyanin visible absorbance with a second-order rate constant (pH 7.4) of 1.3 x 10(3) M-1 s(-1). In excess of protein, ca. 0.16 bilin moieties are disrupted by each reacted HOCl molecule. This indicates that the main reaction takes place at the apoprotein level, with a total rate constant (in monomeric units concentration) of 2.5 x 10(4) M-1 s(-1). This rate constant is too low to provide protection to other biomolecules under physiological conditions. The reported antiinflammatory properties of phycocyanin are not then related to the removal of HOCl. On the other hand, the rather slow reaction rate with HOCl could be beneficial to its role as antiinflammatory agent since it will allow the protein to maintain its integrity at the inflammation locus.</t>
  </si>
  <si>
    <t>0277-8033</t>
  </si>
  <si>
    <t>10.1023/A:1007038801482</t>
  </si>
  <si>
    <t>WOS:000088277500009</t>
  </si>
  <si>
    <t>Rezende, MC</t>
  </si>
  <si>
    <t>The effect of annulation upon the solvatochromic behaviour of related merocyanines</t>
  </si>
  <si>
    <t>JOURNAL OF THE BRAZILIAN CHEMICAL SOCIETY</t>
  </si>
  <si>
    <t>The effect of annulation of the donor and/or the acceptor ring fragments of related merocyanines is discussed with the aid of a theoretical model based on semiempirical calculations performed with the AM1 method. The theoretical expectations are validated with examples of eight solvatochromic dyes described in the literature.</t>
  </si>
  <si>
    <t>0103-5053</t>
  </si>
  <si>
    <t>10.1590/S0103-50531997000600011</t>
  </si>
  <si>
    <t>WOS:000072639400011</t>
  </si>
  <si>
    <t>Pereira, VG; Yuing-Alfaro, T</t>
  </si>
  <si>
    <t>Pereira, Veronica Gonzalez; Yuing-Alfaro, Tuillang</t>
  </si>
  <si>
    <t>I would rather wear lipstick: Notes on (unrepresentable) resistance in Foucault and Derrida</t>
  </si>
  <si>
    <t>ENRAHONAR-QUADERNS DE FILOSOFIA</t>
  </si>
  <si>
    <t>This article examines the notion of resistance, providing an analysis that problematizes the place of representation in politics and democracy. First, the problem is addressed via a story that narrates a particular episode and actions of a group of prisoners liberated from a concentration camp. Next, Michel Foucault's writings on resistance are considered, which ultimately result in a decoupling of the relationship between power and politics. Thus, resistance suggests a link with politics that is not restricted to the forms and codes of conventional politics. Nevertheless, Foucault's work itself raises the question of freedom as a kind of mandate for the subject, in the face of which resistance runs the risk of being trapped. The figure of Bartleby (Melville) offers an opportunity to suggest a hypothesis that will allow us to inquire into a radical resistance that is not captured by the privilege of representation. Subsequently, the writings of Jacques Derrida and his reading of Melville's disturbing character are examined, offering the possibility of questioning the unrestricted publicity assumed in the domains of the political, politics, and democracy as representative democracy, and even a demanding interrogation of such inherited concepts. Faced with the canon, Derrida will allow us to think precisely of a radical resistance in the manner of a certain secret that, while articulating itself, nevertheless subtracts itself from representation, and that will then be irreducible to the domains of the public -political; which will not mean that this secret is restricted to the private, and will thus make it possible to pose the democratic question anew. Finally, the paper offers some tentative conclusions and a synthesis of the challenges that have arisen.</t>
  </si>
  <si>
    <t>0211-402X</t>
  </si>
  <si>
    <t>2014-881X</t>
  </si>
  <si>
    <t>10.5565/rev/enrahonar.1491</t>
  </si>
  <si>
    <t>WOS:001111014900002</t>
  </si>
  <si>
    <t>Verdejo, H; Holz, M; Becker, C; Tobar, F; García-Muñoz, F</t>
  </si>
  <si>
    <t>Verdejo, Humberto; Holz, Mauricio; Becker, Cristhian; Tobar, Francisco; Garcia-Munoz, Fernando</t>
  </si>
  <si>
    <t>Mechanism for Financing the Accumulated Debt of Utility Services Water, Electricity and Gas as a Result of the COVID-19</t>
  </si>
  <si>
    <t>SUSTAINABILITY</t>
  </si>
  <si>
    <t>The effects associated with the pandemic of COVID-19 have left several consequences. The large confinements have caused formal and independent job losses. Therefore, families have been forced to prioritize their monthly utility bills. Most countries have decided on suspending cuts in utility services and give them payment arrangements for the future instead. In this article, the actions taken in Latin America and Europe are presented. Additionally, for the Chilean case, a mechanism for financing the accumulated debt is proposed. The main objective of this is to establish a procedure that allows users to regain the habit of paying for public utilities (water, electricity and piped gas).</t>
  </si>
  <si>
    <t>García-Muñoz, Fernando/AAX-9963-2020</t>
  </si>
  <si>
    <t>, Cristhian Becker/0000-0001-6943-5086; Garcia-Munoz, Fernando/0000-0001-9376-4357</t>
  </si>
  <si>
    <t>2071-1050</t>
  </si>
  <si>
    <t>10.3390/su14063617</t>
  </si>
  <si>
    <t>WOS:000774479500001</t>
  </si>
  <si>
    <t>Barraza, R; Sepúlveda, JM; Derpich, I</t>
  </si>
  <si>
    <t>Liu, Y; Shi, Y; Wang, Y; Ergu, D; Berg, D; Tien, J; Li, J; Tian, Y</t>
  </si>
  <si>
    <t>Barraza, Rodrigo; Sepulveda, Juan M.; Derpich, Ivan</t>
  </si>
  <si>
    <t>Application of Fermatean fuzzy matrix in co-design of urban projects</t>
  </si>
  <si>
    <t>8TH INTERNATIONAL CONFERENCE ON INFORMATION TECHNOLOGY AND QUANTITATIVE MANAGEMENT (ITQM 2020 &amp; 2021): DEVELOPING GLOBAL DIGITAL ECONOMY AFTER COVID-19</t>
  </si>
  <si>
    <t>Procedia Computer Science</t>
  </si>
  <si>
    <t>8th International Conference on Information Technology and Quantitative Management (ITQM) - Developing Global Digital Economy after COVID-19</t>
  </si>
  <si>
    <t>JUL 09-11, 2021</t>
  </si>
  <si>
    <t>Chengdu, PEOPLES R CHINA</t>
  </si>
  <si>
    <t>This work presents a multiple criteria decision-making (MCDM) model based on Fermatean fuzzy sets (FFS) for solving a problem of citizen participation for collaborative decision making under the paradigm of Smart Cities. The model seeks to detect the preferences of decision makers in order to evaluate a set of project alternatives for improving the connectivity of the main road axes in the city of Santiago de Chile based on smart cities criteria. The project alternatives, criteria, linguistic decision variables, and the decision maker's evaluations are analyzed under a Fermatean fuzzy sets framework and judgments are expressed by Fermatean fuzzy linguistic numbers (FFLNs) in a decision matrix stating the values of the membership and non-membership degree. Then, the combined distance-based assessment method (CODAS) is applied to propose the best project. The main benefit of the proposed model is to reduce the time for the co-design of urban projects, thus ensuring better coverage of citizen participation. (C) 2021 The Authors. Published by Elsevier B.V.</t>
  </si>
  <si>
    <t>derpich, ivan/T-1160-2019</t>
  </si>
  <si>
    <t>Derpich, Ivan/0000-0001-9759-7285; Sepulveda, Juan M./0000-0003-3755-0981; Barraza, Rodrigo/0000-0002-8777-2083</t>
  </si>
  <si>
    <t>1877-0509</t>
  </si>
  <si>
    <t>10.1016/j.procs.2022.01.056</t>
  </si>
  <si>
    <t>FEB 2022</t>
  </si>
  <si>
    <t>WOS:000765802100059</t>
  </si>
  <si>
    <t>Correa, MG; Martínez, FB; Vidal, CP; Streitt, C; Escrig, J; de Dicastillo, CL</t>
  </si>
  <si>
    <t>Guerrero Correa, Matias; Martinez, Fernanda B.; Patino Vidal, Cristian; Streitt, Camilo; Escrig, Juan; Lopez de Dicastillo, Carol</t>
  </si>
  <si>
    <t>Antimicrobial metal-based nanoparticles: a review on their synthesis, types and antimicrobial action</t>
  </si>
  <si>
    <t>BEILSTEIN JOURNAL OF NANOTECHNOLOGY</t>
  </si>
  <si>
    <t>The investigation of novel nanoparticles with antimicrobial activity has grown in recent years due to the increased incidence of nosocomial infections occurring during hospitalization and food poisoning derived from foodborne pathogens. Antimicrobial agents are necessary in various fields in which biological contamination occurs. For example, in food packaging they are used to control food contamination by microbes, in the medical field the microbial agents are important for reducing the risk of contamination in invasive and routine interventions, and in the textile industry, they can limit the growth of microorganisms due to sweat. The combination of nanotechnology with materials that have an intrinsic antimicrobial activity can result in the development of novel antimicrobial substances. Specifically, metal-based nanoparticles have attracted much interest due to their broad effectiveness against pathogenic microorganisms due to their high surface area and high reactivity. The aim of this review was to explore the state-ofthe-art in metal-based nanoparticles, focusing on their synthesis methods, types, and their antimicrobial action. Different techniques used to synthesize metal-based nanoparticles were discussed, including chemical and physical methods and green synthesis methods that are free of chemical agents. Although the most studied nanoparticles with antimicrobial properties are metallic or metal-oxide nanoparticles, other types of nanoparticles, such as superparamagnetic iron-oxide nanoparticles and silica-releasing systems also exhibit antimicrobial properties. Finally, since the quantification and understanding of the antimicrobial action of metal-based nanoparticles are key topics, several methods for evaluating in vitro antimicrobial activity and the most common antimicrobial mechanisms (e.g., cell damage and changes in the expression of metabolic genes) were discussed in this review.</t>
  </si>
  <si>
    <t>Patiño Vidal, Cristian Javier/JDM-7961-2023; Lopez-de-Dicastillo, Carol/C-6347-2019; Escrig, Juan/N-4304-2015</t>
  </si>
  <si>
    <t>Guerrero Correa, Matias/0000-0001-5776-8094; Patino Vidal, Cristian Javier/0000-0002-5633-6908; Lopez-de-Dicastillo, Carol/0000-0003-0067-9765; Escrig, Juan/0000-0002-3958-8185</t>
  </si>
  <si>
    <t>2190-4286</t>
  </si>
  <si>
    <t>SEP 25</t>
  </si>
  <si>
    <t>10.3762/bjnano.11.129</t>
  </si>
  <si>
    <t>WOS:000575578800001</t>
  </si>
  <si>
    <t>Jeria, MB; Milman, HM</t>
  </si>
  <si>
    <t>Bachelet Jeria, Michelle; Molina Milman, Helia</t>
  </si>
  <si>
    <t>Celebrating the 30th anniversary of the UN Convention on the Rights of the Child</t>
  </si>
  <si>
    <t>LANCET CHILD &amp; ADOLESCENT HEALTH</t>
  </si>
  <si>
    <t>2352-4642</t>
  </si>
  <si>
    <t>10.1016/S2352-4642(19)30331-1</t>
  </si>
  <si>
    <t>WOS:000502820800011</t>
  </si>
  <si>
    <t>Devés, E; Estenssoro, F</t>
  </si>
  <si>
    <t>Deves, E; Alvarez, ST</t>
  </si>
  <si>
    <t>Deves, Eduardo; Estenssoro, Fernando</t>
  </si>
  <si>
    <t>PRODUCTION-INTEGRATION (or integration to improve economic production)</t>
  </si>
  <si>
    <t>PROBLEMATICAS INTERNACIONALES Y MUNDIALES DESDE EL PENSAMIENTO LATINOAMERICANO: TEORIAS, ESCUELAS, CONCEPTOS, DOCTRINAS, FIGURAS</t>
  </si>
  <si>
    <t>Coleccion Estudios de las Ideas</t>
  </si>
  <si>
    <t>978-956-6095-02-6</t>
  </si>
  <si>
    <t>WOS:000608865900042</t>
  </si>
  <si>
    <t>Guerrero, G; Carrasco, V; Joglar, C</t>
  </si>
  <si>
    <t>Guerrero, Gonzalo; Carrasco, Viviana; Joglar, Carol</t>
  </si>
  <si>
    <t>Interdisciplinary pedagogical outings: didactic routes to learning in the framework of a University-School associative research</t>
  </si>
  <si>
    <t>Interdisciplinary pedagogical outings are didactic strategies that enable meaningful learning within the ideal process of knowledge construction generated in the classroom. Through them, it is possible to change the way students and teachers think about the environment that surrounds them and their roles in the construction of such knowledge. Nevertheless, it is quite common that the practices inserted within the pedagogical outings lack an articulation between the disciplines, and in turn, between the conceptual and the specific problems contextualized in the near and more distant environment. Under this background, the research project aimed to develop a methodological design for the design of interdisciplinary pedagogical outings, as an effective, collaborative, and functional learning resource for the educational project. The research opted for a qualitative approach in the search for understanding and interpretation of the processes of design and implementation of the outings with focus on student learning, in front of new ways of looking at the pedagogical scenarios. Among the main results of the research, the realization of two interdisciplinary pedagogical field trips stands out; one to the National Historical Museum and the other to the Central Bank of Chile. The study presents a methodological, didactic and curricular proposal of interdisciplinary pedagogical outings, based on a collaborative and associative research between the University and the School.</t>
  </si>
  <si>
    <t>WOS:000886992800008</t>
  </si>
  <si>
    <t>Kaschel, H; Rocco, V; Reinao, G</t>
  </si>
  <si>
    <t>Kaschel, Hector; Rocco, Victor; Reinao, German</t>
  </si>
  <si>
    <t>An Open Algorithm for Systematic Evaluation of Readmission Predictors on Diabetic Patients from Data Warehouses</t>
  </si>
  <si>
    <t>Prediction models depend on the variables or input attributes that characterize the studied phenomenon. When data collected from databases and the phenomenon to modeling is complex (e.g. patient's health prediction), in many cases there is a need to construct representative variables according to the problem and then modeling and testing. Both processes can be automatized using algorithms to assess their fit with real data. A proposed algorithm wraps this modeling and testing process and looks for the variables constructed from knowledge, helping to fit to real data, and which could be used for any modeling problem that has both quantitative and qualitative mixed information. To test this approach, real data from ten years of diabetic patients records was used following the American Diabetes Association last recommendations to construct variables that could find high risk patients and evaluate the variables efficacy. The method could be used to improve data warehouse's framework and for this case, to help care institutions to deploy new health politics to adjust treatments and resource management for diabetic patients.</t>
  </si>
  <si>
    <t>rocco, victor/GSD-4999-2022</t>
  </si>
  <si>
    <t>WOS:000458417600094</t>
  </si>
  <si>
    <t>Barrios, GA; Albárran-Arriagada, F; Cárdenas-López, FA; Romero, G; Retamal, JC</t>
  </si>
  <si>
    <t>Alvarado Barrios, G.; Albarran-Arriagada, F.; Cardenas-Lopez, F. A.; Romero, G.; Retamal, J. C.</t>
  </si>
  <si>
    <t>Role of quantum correlations in light-matter quantum heat engines</t>
  </si>
  <si>
    <t>PHYSICAL REVIEW A</t>
  </si>
  <si>
    <t>We study a quantum Otto engine embedding a working substance composed of a two-level system interacting with a harmonic mode. The physical properties of the substance are described by a generalized quantum Rabi model arising in superconducting circuit realizations. We show that light-matter quantum correlation reduction during the hot bath stage and adiabatic stages act as an indicator for enhanced work extraction and efficiency, respectively. Also, we demonstrate that the anharmonic spectrum of the working substance has a direct impact on the transition from heat engine into refrigerator as the light-matter coupling is increased. These results shed light on the search for optimal conditions in the performance of quantum heat engines.</t>
  </si>
  <si>
    <t>Cárdenas López, Francisco/IXN-4622-2023; Retamal, Juan/G-6425-2010; Alvarado, Gabriel/GLS-6513-2022; Romero, Guillermo/C-8245-2009</t>
  </si>
  <si>
    <t>Retamal Abarzua, Juan Carlos/0000-0002-7174-7879; Cardenas, Francisco/0000-0002-2916-2826; /0000-0002-8684-4209; Albarran-Arriagada, Francisco/0000-0001-8899-3673; Romero, Guillermo/0000-0003-2917-7814</t>
  </si>
  <si>
    <t>2469-9926</t>
  </si>
  <si>
    <t>2469-9934</t>
  </si>
  <si>
    <t>NOV 16</t>
  </si>
  <si>
    <t>10.1103/PhysRevA.96.052119</t>
  </si>
  <si>
    <t>WOS:000415318400002</t>
  </si>
  <si>
    <t>Herceg, JS</t>
  </si>
  <si>
    <t>Santos Herceg, Jose</t>
  </si>
  <si>
    <t>TESTIMONIAL TEXTS IN THE PHILOSOPHICAL LIBRARY</t>
  </si>
  <si>
    <t>REVISTA DE FILOSOFIA</t>
  </si>
  <si>
    <t>The problem with which this text is opens is the exclusion of the testimonios from the philosophycal Library and the objective will be to demostrate that such texts can be included. Frist of all, I will try to destabilize the distinction between philosophical and non-philosophical text. Then, I will show that the testimonios are a consistent mode of expression of a certain conception of philosophy. Thirdly, I intends to open the possibility of a philosophical discourse no-proposicion in the testimonios. Finally, I will show that what you can find in the testimonios are images and that they should be interpreted as such to gain access to their philosophical knowledge.</t>
  </si>
  <si>
    <t>0034-8236</t>
  </si>
  <si>
    <t>0718-4360</t>
  </si>
  <si>
    <t>WOS:000424545600023</t>
  </si>
  <si>
    <t>Turbay, MBE; Rey, V; Argañaraz, NM; Vieyra, FEM; Aspée, A; Lissi, EA; Borsarelli, CD</t>
  </si>
  <si>
    <t>Espeche Turbay, Maria Beatriz; Rey, Valentina; Arganaraz, Natalia M.; Moran Vieyra, Faustino E.; Aspee, Alexis; Lissi, Eduardo A.; Borsarelli, Claudio D.</t>
  </si>
  <si>
    <t>Effect of dye localization and self-interactions on the photosensitized generation of singlet oxygen by rose bengal bound to bovine serum albumin</t>
  </si>
  <si>
    <t>JOURNAL OF PHOTOCHEMISTRY AND PHOTOBIOLOGY B-BIOLOGY</t>
  </si>
  <si>
    <t>The spectroscopic and photophysical properties of rose bengal (RB) encased in bovine serum albumin (BSA) have been examined to evaluate the photosensitized generation of singlet molecular oxygen (O-1(2)). The results show that RB photophysical and photosensitizing properties are highly modulated by the average number of dye molecules per protein (n). At n &lt;&lt; 1, the dye molecule is tightly located into the hydrophobic nanocavity site I of the BSA molecule with a binding constant K-b = 0.15 +/- 0.01 mu M-1. The interaction with surrounding amino acids induces heterogeneous decay of both singlet and triplet excited states of RB and partially reduce its triplet quantum yield as compared with that in buffer solution. However, despite of the diffusive barrier imposed by the protein nanocavity to O-3(2), the quenching of (RB)-R-3*:BSA generates O-1(2) with quantum yield Phi(Delta) = 0.35 +/- 0.05. In turns, the intraprotein generated O-1(2) is able to diffuse through the bulk solution, where is dynamically quenched by BSA itself with an overall quenching rate constant of 7.3 x 10(8) M-1 s(-1). However, at n &gt; 1, nonspecific binding of up to approximate to 6 RB molecules per BSA is produced, allowing efficient static quenching of excited states of RB preventing photosensitization of O-1(2). These results provide useful information for development of dye-protein adducts suitable for using as potential intracellular photosensitizers. (C) 2014 Elsevier B.V. All rights reserved.</t>
  </si>
  <si>
    <t>Borsarelli, Claudio/O-3525-2019; Borsarelli, Claudio Dario/I-4216-2012</t>
  </si>
  <si>
    <t>Borsarelli, Claudio Dario/0000-0003-0120-645X</t>
  </si>
  <si>
    <t>1011-1344</t>
  </si>
  <si>
    <t>1873-2682</t>
  </si>
  <si>
    <t>10.1016/j.jphotobiol.2014.09.014</t>
  </si>
  <si>
    <t>WOS:000347662400034</t>
  </si>
  <si>
    <t>Leighton, B; Pereira, A; Escrig, J</t>
  </si>
  <si>
    <t>Leighton, B.; Pereira, A.; Escrig, J.</t>
  </si>
  <si>
    <t>Reversal modes in asymmetric Ni nanowires</t>
  </si>
  <si>
    <t>We have investigated the evolution of the magnetization reversal mechanism in asymmetric Ni nanowires as a function of their geometry. Circular nanowires are found to reverse their magnetization by the propagation of a vortex domain wall, while in very asymmetric nanowires the reversal is driven by the propagation of a transverse domain wall. The effect of shape asymmetry of the wire on coercivity and remanence is also studied. Angular dependence of the remanence and coercivity is also addressed. Tailoring the magnetization reversal mechanism in asymmetric nanowires can be useful for magnetic logic and race-track memory, both of which are based on the displacement of magnetic domain walls. Finally, an alternative method to detect the presence of magnetic drops is proposed. (C) 2012 Elsevier BY. All rights reserved.</t>
  </si>
  <si>
    <t>Pereira, Alejandro/X-7172-2018; Escrig, Juan/N-4304-2015</t>
  </si>
  <si>
    <t>Pereira Abarca, Alejandro/0000-0002-4473-0852; Escrig, Juan/0000-0002-3958-8185</t>
  </si>
  <si>
    <t>10.1016/j.jmmm.2012.06.023</t>
  </si>
  <si>
    <t>WOS:000307299700039</t>
  </si>
  <si>
    <t>Sepúlveda, C; Poch, A; Espinoza, R; Cardemil, E</t>
  </si>
  <si>
    <t>Sepulveda, Carolina; Poch, Andrea; Espinoza, Rodrigo; Cardemil, Emilio</t>
  </si>
  <si>
    <t>Electrostatic interactions play a significant role in the affinity of Saccharomyces cerevisiae phosphoenolpyruvate carboxykinase for Mn2+</t>
  </si>
  <si>
    <t>BIOCHIMIE</t>
  </si>
  <si>
    <t>Phosphoenolpyruvate (PEP) carboxykinases catalyse the reversible formation of oxaloacetate (OAA) and ATP (or GTP) from PEP, ADP (or GDP) and CO2. They are activated by Mn2+, a metal ion that coordinates to the protein through the epsilon-amino group of a lysine residue, the N epsilon-2-imidazole of a histidine residue, and the carboxylate from an aspartic acid residue. Neutrality in the epsilon-amino group of Lys213 of Saccharomyces cerevisiae PEP carboxykinase is expected to be favoured by the vicinity of ionised Lys212. Glu272 and Glu284, located close to Lys212, should, in turn, electrostatically stabilise its positive charge and hence assist in keeping the epsilon-amino group of Lys213 in a neutral state. The mutations Glu272Gln, Glu284Gln, and Lys212Met increased the activation constant for Mn2+ in the main reaction of the enzyme up to seven-fold. The control mutation Lys213Gln increased this constant by ten-fold, as opposed to control mutation Lys212Arg, which did not affect the Mn2+ affinity of the enzyme. These observations indicate a role for Glu272, Glu284, and Lys212 in assisting Lys213 to properly bind Mn2+. In an unexpected result, the mutations Glu284Gln, Lys212Met and Lys213Gln changed the nucleotide-independent OAA decarboxylase activity of S. cerevisiae PEP carboxykinase into an ADP-requiring activity, implying an effect on the OAA binding characteristics of PEP carboxykinase. (C) 2010 Elsevier Masson SAS. All rights reserved.</t>
  </si>
  <si>
    <t>0300-9084</t>
  </si>
  <si>
    <t>1638-6183</t>
  </si>
  <si>
    <t>10.1016/j.biochi.2010.02.032</t>
  </si>
  <si>
    <t>WOS:000279474800011</t>
  </si>
  <si>
    <t>Quilaqueo, S; Bruna, JE; Galotto, MJ; Guarda, A; Rodríguez-Mercado, FJ</t>
  </si>
  <si>
    <t>Quilaqueo, Sergio; Bruna, Julio E.; Galotto, Maria J.; Guarda, Abel; Rodriguez-Mercado, Francisco J.</t>
  </si>
  <si>
    <t>Development of an antimicrobial material made of graphene oxide, polylactic acid/polyhydroxybutyrate, and CuO nanoparticles and its reprocessing effect on its properties</t>
  </si>
  <si>
    <t>In the present study nanocomposites made of polylactic acid (PLA), polyhydroxybutyrate (PHB), graphene oxide (GO), and copper (II) oxide (CuO) nanoparticles on three compositions (1, 3 and 5 wt%), obtained through melt extrusion were developed. Properties of the nanocomposites obtained in their first and second processing were evaluated, and characterized through colorimetry L*a*b*, Fourier-transform infrared spectroscopy (FTIR), x-ray diffraction (XRD), Differential scanning calorimetry (DSC), Thermogravimetric analysis (TGA), mechanical properties (ASTM D638 standard), scanning electron microscopy-energy-dispersive x-ray spectroscopy (SEM-EDX) and antimicrobial activity under dynamic contact with ATCC25922 Escherichia coli. The obtained results of the first processing presented variations in color and crystallinity between different nanocomposites. Additionally, a higher antimicrobial activity was observed in the nanocomposites containing CuO, achieving up to 100% bacterial reduction at 3% nanoparticle content. When evaluating the influence of the second nanocomposites thermic processing, it could be seen an acceleration of the degradation process of the polymeric chains in addition to an improvement in the dispersion of the nanoparticles, which reduced their agglomeration and generated variations on the crystalline state of the nanocomposites.Highlights The nanocomposites exhibit high antimicrobial activity. GO and CuO nanoparticles show a tendency to agglomerate. Reprocessing induces chain scission. Reprocessing also enhances matrix homogenization. The dispersion of the nanofiller reduced antimicrobial activity.</t>
  </si>
  <si>
    <t>bruna, julio/AAM-6867-2021; Rodríguez, Francisco/I-5283-2018</t>
  </si>
  <si>
    <t>Bruna, Julio E./0000-0001-9656-6022</t>
  </si>
  <si>
    <t>2025 FEB 21</t>
  </si>
  <si>
    <t>10.1002/pc.29628</t>
  </si>
  <si>
    <t>FEB 2025</t>
  </si>
  <si>
    <t>WOS:001427140500001</t>
  </si>
  <si>
    <t>Assal, M; Miranda, P; Zerzeri, M</t>
  </si>
  <si>
    <t>Assal, Marouane; Miranda, Pablo; Zerzeri, Maher</t>
  </si>
  <si>
    <t>Semiclassical resolvent estimates for matrix Schrödinger operators and applications</t>
  </si>
  <si>
    <t>REVIEWS IN MATHEMATICAL PHYSICS</t>
  </si>
  <si>
    <t>We establish semiclassical resolvent estimates for Schr &amp; ouml;dinger operators with long-range matrix-valued potentials. As an application, we prove a resonance-free domain in trapping situations. These results generalize the well-known results of [4] [N. Burq, Lower bounds for shape resonances widths of long range Schr &amp; ouml;dinger operators, Amer. J. Math. 124(4) (2002) 677-735] in the case of scalar Schr &amp; ouml;dinger operators. In addition, we give an estimate on the scattering amplitude for Schr &amp; ouml;dinger operators with compactly supported matrix-valued potentials.</t>
  </si>
  <si>
    <t>Miranda, Pablo/AAD-3559-2019; Assal, Marouane/IQW-7068-2023</t>
  </si>
  <si>
    <t>Miranda, Pablo/0000-0003-0370-9288; ZERZERI, Maher/0009-0009-8846-9113; Assal, Marouane/0000-0001-9634-9124</t>
  </si>
  <si>
    <t>0129-055X</t>
  </si>
  <si>
    <t>1793-6659</t>
  </si>
  <si>
    <t>2024 SEP 27</t>
  </si>
  <si>
    <t>10.1142/S0129055X24500430</t>
  </si>
  <si>
    <t>SEP 2024</t>
  </si>
  <si>
    <t>WOS:001321607000001</t>
  </si>
  <si>
    <t>Castillo-Sepúlveda, J</t>
  </si>
  <si>
    <t>Castillo-Sepulveda, Jorge</t>
  </si>
  <si>
    <t>Opening the black box of time in health: analysis of temporal sorting by objects in Chile</t>
  </si>
  <si>
    <t>SAUDE E SOCIEDADE</t>
  </si>
  <si>
    <t>This study explores the social and material processes involved in organizing time when developing policies and clinical practice. From the analysis of material produced during a case study focused on ethnographies and interviews on the health system in Chile, specifically of the Explicit Health Guarantees regime, we consider how the articulation between social activities and objects composes the temporal dimension in health. We analyze this by specifically considering the role of indexes and statistics in their biopolitical dimension and the local role of contingent and regular dispositions in clinical activity. We conclude with some implications on integrating a sociomaterial approach to the apprehension of time in health.</t>
  </si>
  <si>
    <t>0104-1290</t>
  </si>
  <si>
    <t>1984-0470</t>
  </si>
  <si>
    <t>e230580pt</t>
  </si>
  <si>
    <t>10.1590/S0104-12902024230580pt</t>
  </si>
  <si>
    <t>WOS:001461526400001</t>
  </si>
  <si>
    <t>Santoni, A; Ross, C; Sanchez, S</t>
  </si>
  <si>
    <t>Santoni, Alessandro; Ross, Cesar; Sanchez, Sebastian</t>
  </si>
  <si>
    <t>THE PARADOX OFVIOLENCE INTHE FOREIGN POLICY OF THE CHILEAN MILITARY REGIME: BETWEEN ISOLATION AND ACTIVE RESISTANCE</t>
  </si>
  <si>
    <t>HISTORIA 396</t>
  </si>
  <si>
    <t>This paper focused on the role played by violence in the Chilean military regime's Foreign policy. The purpose is to analyze the paradox this matter implied for its international position, in particular referring to its relations with those western world countries' governments that manifested a good disposition toward the dictatorship. We analyze two different phases. The first corresponds to the Condor plan years, when the use of terror exercised abroad related to a strategy of active resistance by which Chile showed the capacity and audacity typical of a hegemonic state, but which also led to strong tensions with Washington. The second corresponds to the eighties, in which Pinochet's conviction in his capacity for passive resistance to international pressures led to the option of not giving in to the pressures exerted by friendly governments, such as Reagan's in the US and Thatcher's in the United Kingdom. The paper is based mainly on secondary sources-which include previous works by its authors-, combined with the use of archival sources from the Chilean Ministry of Foreign Affairs, the US Department of State and the Museum of Memory and Human Rights of Santiago de Chile.</t>
  </si>
  <si>
    <t>Sanchez, Sebastian/IAM-6657-2023</t>
  </si>
  <si>
    <t>0719-0719</t>
  </si>
  <si>
    <t>0719-7969</t>
  </si>
  <si>
    <t>WOS:001282337500008</t>
  </si>
  <si>
    <t>Bachelet, VC</t>
  </si>
  <si>
    <t>Bachelet, Vivienne C.</t>
  </si>
  <si>
    <t>We must be prepared for this pandemic and the ones to come</t>
  </si>
  <si>
    <t>MEDWAVE</t>
  </si>
  <si>
    <t>Bachelet, Vivienne/JAN-7158-2023</t>
  </si>
  <si>
    <t>Bachelet, Vivienne C./0000-0002-5715-9755</t>
  </si>
  <si>
    <t>0717-6384</t>
  </si>
  <si>
    <t>e2711</t>
  </si>
  <si>
    <t>10.5867/medwave.2023.02.2711</t>
  </si>
  <si>
    <t>WOS:000974840900001</t>
  </si>
  <si>
    <t>Navarrete, EF</t>
  </si>
  <si>
    <t>Navarrete, Esteban Figueroa</t>
  </si>
  <si>
    <t>The concept of civil society: a geographical/rhizomatic reflection</t>
  </si>
  <si>
    <t>REVISTA GEOGRAFICA VENEZOLANA</t>
  </si>
  <si>
    <t>We reflected on the concept of civil society in some geography schools in Chile, what we understand about it, its scope and limits. Thus, we approached a necessary discussion on a concept widely used in the social sciences, with a wide presence in the geographical literature, however, its explicit study so far has been limited in this literature. The research focused on an exclusively qualitative methodological proposal. It used qualitative content analysis techniques and an adaptation to the Delphi technique in its consultation with experts. It was evidenced that there is no explicit purpose in the uses of the concept of civil society, however, it is due to the little knowledge of it, in turn, there is a widespread claim that it is significant for geographical studies, hence the importance of building it from geography.</t>
  </si>
  <si>
    <t>1012-1617</t>
  </si>
  <si>
    <t>2244-8853</t>
  </si>
  <si>
    <t>10.53766/RGV/2022.64.01.04</t>
  </si>
  <si>
    <t>WOS:001098431200001</t>
  </si>
  <si>
    <t>Montes, RG; Loayza, LS; Paredes, CB; Cardenas, AG; Dintrans, PV</t>
  </si>
  <si>
    <t>Guzman Montes, Rene; Sarmiento Loayza, Luis; Bonatti Paredes, Carla; Gallegos Cardenas, Alejandro; Villalobos Dintrans, Pablo</t>
  </si>
  <si>
    <t>The impact of COVID-19 on the health status of older people in Chile</t>
  </si>
  <si>
    <t>The article presents the main impact of COVID-19 pandemic on the health status of older people, systematizing the information about the direct impact of the pandemic in terms of number of cases, hospitalizations, deaths, the policies implemented for the prevention and management of COVID-19 in older people and the indirect impact of the two years of pandemic. Adopting a broad definition of health, the need to monitor and recover health care of older people is highlighted. The recovery of their functionality and mental health must be emphasized. The policies towards institutionalized older people must be revised. These areas should be the focus of health care policies for older people in Chile.</t>
  </si>
  <si>
    <t>Sarmiento, Luis/KFQ-6663-2024; Dintrans, Pablo/AAM-6248-2020</t>
  </si>
  <si>
    <t>Villalobos Dintrans, Pablo/0000-0002-2236-6447</t>
  </si>
  <si>
    <t>WOS:001042468100013</t>
  </si>
  <si>
    <t>Del Real, OJ; de la Barra, CIC; Jiménez, JA; Sepulveda, F; Domínguez, J</t>
  </si>
  <si>
    <t>Jose Del Real, Octavio; Calvo de la Barra, Carlos Ignacio; Andres Jimenez, Jaime; Sepulveda, Francisca; Dominguez, Javier</t>
  </si>
  <si>
    <t>Predicting malignancy in small testicular lesions</t>
  </si>
  <si>
    <t>CENTRAL EUROPEAN JOURNAL OF UROLOGY</t>
  </si>
  <si>
    <t>Introduction Small testicular lesions &lt;= 20 mm (STL) detected by ultrasound (US), usually non-palpable, have been reported to be benign in up to 80% of cases. Thus, partial orchiectomy with or without frozen section examination and surveillance has been advocated for these kinds of lesions. We seek to report the proportion of benign lesions in testicular tumors &lt;= 20 mm detected by US in our population and explore the predicting factors of malignancy. Material and methods A retrospective descriptive study of orchiectomies performed for testicular tumors in patients older than 15 years between 2005 and 2019 was performed, including all patients with lesions &lt;= 20 mm on US imaging. Results A total of 70 patients with STL were included (mean age 34.6 +/- 10.8 years). Overall, 69% of the lesions were malignant while the smallest lesions (&lt;= 10 mm) showed 61% of cancer. Moreover, in the subgroup of non-palpable lesions &lt;= 10 mm, 50% were malignant. Multifocal tumors were found in 18 subjects with a malignancy rate of 88%. There was a significant association between maximum size on US, multifocality and malignancy. Neither tumor markers nor palpability foretold a malignant lesion. A predictive model including size and multifocality was created showing a positive predictive value of 83.3%. Conclusions US maximum size and multifocality were predictors of malignancy in STL. However, even the smallest lesions showed a 50% chance of being malignant, thus surgery with or without intraoperative biopsy is warranted in most cases.</t>
  </si>
  <si>
    <t>Calvo de la Barra, Carlos Ignacio/0000-0003-3701-4476</t>
  </si>
  <si>
    <t>2080-4806</t>
  </si>
  <si>
    <t>2080-4873</t>
  </si>
  <si>
    <t>10.5173/ceju.2022.0206</t>
  </si>
  <si>
    <t>WOS:000788682000005</t>
  </si>
  <si>
    <t>Kaschel, H; Cordero, S; Costoya, E; Pandolfo, M</t>
  </si>
  <si>
    <t>Kaschel, Hector; Cordero, Sergio; Costoya, Eduardo; Pandolfo, Marcelo</t>
  </si>
  <si>
    <t>Comparative Analysis of the Two Ray Field Strength on Radio Mobile ITM Model and Recommendation ITU-R P.1546</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</si>
  <si>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</si>
  <si>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</si>
  <si>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</si>
  <si>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</si>
  <si>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</si>
  <si>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This document represents the continuity of a research series on the behavior of radio propagation by the Irregular Terrain Model (ITM) from National Telecommunications Institute (NTI - USA), under certain operation conditions known as the 2-Ray mode on Line of Sight links (LOS). The research has been conducted on 24 links under several LOS conditions and terrain data. Then compared with ITU's (International Telecommunications Union) P.1546 and conclusions have been extracted and procedures recommended. Future work will include further research with new terrain data available from NASA.</t>
  </si>
  <si>
    <t>Kaschel, Hector/0000-0002-0868-7834</t>
  </si>
  <si>
    <t>978-1-6654-0127-2</t>
  </si>
  <si>
    <t>10.1109/ICAACCA51523.2021.9465258</t>
  </si>
  <si>
    <t>WOS:000855764500103</t>
  </si>
  <si>
    <t>Donoso, CC</t>
  </si>
  <si>
    <t>Calquin Donoso, Claudia</t>
  </si>
  <si>
    <t>Biological citizenships, contemporary struggles for abortion and sexual and reproductive autonomy: reconfiguring the territories of disputes</t>
  </si>
  <si>
    <t>IZQUIERDAS</t>
  </si>
  <si>
    <t>In this reflection work I examine the notion of biological citizenship in light of the discussions on the right to abortion, exposed in the processing of law 20.030 on therapeutic abortion in three causes in Chile. The genealogy of this modality of citizen production and its emergence in the LGBTQ movements in the 90s and its inheritances for current feminist movements, especially in the criticism of heterosexual power and new forms of reappropriation of knowledge and technologies, are questioned. The discourses of both self-styled physicians for life and women's movements are analyzed below to reveal the ways in which women's bodies and reproductive capacities are subject to disputes and tensions. It is concluded that the feminist biological citizenships put in tension, challenged and reconfigured the territories of government of the biopolitical practices and technologies, as well as the feminist policies of the body and the subjectivity towards novel forms of resistance in which the biological body is central.</t>
  </si>
  <si>
    <t>0718-5049</t>
  </si>
  <si>
    <t>WOS:000614864700031</t>
  </si>
  <si>
    <t>Hernández, FJ; Herrera, F</t>
  </si>
  <si>
    <t>Hernandez, Federico J.; Herrera, Felipe</t>
  </si>
  <si>
    <t>Multi-level quantum Rabi model for anharmonic vibrational polaritons</t>
  </si>
  <si>
    <t>JOURNAL OF CHEMICAL PHYSICS</t>
  </si>
  <si>
    <t>We propose a cavity QED approach to describe light-matter interaction of an infrared cavity field with an anharmonic vibration of a single nonpolar molecule. Starting from a generic Morse oscillator potential with quantized nuclear motion, we derive a multilevel quantum Rabi model to study vibrational polaritons beyond the rotating-wave approximation. We analyze the spectrum of vibrational polaritons in detail and compare it with available experiments. For high excitation energies, the system exhibits a dense manifold of polariton level crossings and avoided crossings as the light-matter coupling strength and cavity frequency are tuned. We also analyze polariton eigenstates in nuclear coordinate space. We show that the bond length of a vibrational polariton at a given energy is never greater than the bond length of a Morse oscillator with the same energy. This type of polariton bond strengthening occurs at the expense of the creation of virtual infrared cavity photons and may have implications in chemical reactivity of polariton states. Published under license by AIP Publishing.</t>
  </si>
  <si>
    <t>Herrera, Felipe/KHD-8453-2024; Hernandez, Federico Javier/P-8865-2018</t>
  </si>
  <si>
    <t>Hernandez, Federico Javier/0000-0001-7497-9424</t>
  </si>
  <si>
    <t>0021-9606</t>
  </si>
  <si>
    <t>1089-7690</t>
  </si>
  <si>
    <t>OCT 14</t>
  </si>
  <si>
    <t>10.1063/1.5121426</t>
  </si>
  <si>
    <t>WOS:000500356200020</t>
  </si>
  <si>
    <t>Opazo, A; Sáez, A; Bustamante, G; Labbé, R</t>
  </si>
  <si>
    <t>Opazo, A.; Saez, A.; Bustamante, G.; Labbe, R.</t>
  </si>
  <si>
    <t>Influence of the fluid density on the statistics of power fluctuations in von Karman swirling flows</t>
  </si>
  <si>
    <t>PHYSICS OF FLUIDS</t>
  </si>
  <si>
    <t>Here, we report experimental results on the fluctuations of injected power in confined turbulence. Specifically, we have studied a von Karman swirling flow with constant external torque applied to the stirrers. Two experiments were performed at nearly equal Reynolds numbers, in geometrically similar experimental setups. Air was utilized in one of them and water in the other. With air, it was found that the probability density function of power fluctuations is strongly asymmetric, while with water, it is nearly Gaussian. This suggests that the outcome of a big change of the fluid density in the flow-stirrer interaction is not simply a change in the amplitude of stirrers' response. In the case of water, with a density roughly 830 times greater than air density, the coupling between the flow and the stirrers is stronger, so that they follow more closely the fluctuations of the average rotation of the nearby flow. When the fluid is air, the coupling is much weaker. The result is not just a smaller response of the stirrers to the torque exerted by the flow; the PDF of the injected power becomes strongly asymmetric and its spectrum acquires a broad region that scales as f(-2). Thus, the asymmetry of the probability density functions of torque or angular speed could be related to the inability of the stirrers to respond to flow stresses. This happens, for instance, when the torque exerted by the flow is weak, due to small fluid density, or when the stirrers' moment of inertia is large. Moreover, a correlation analysis reveals that the features of the energy transfer dynamics with water are qualitatively and quantitatively different to what is observed with air as working fluid. (C) 2016 AIP Publishing LLC.</t>
  </si>
  <si>
    <t>Labbe, Raul/C-4581-2008</t>
  </si>
  <si>
    <t>Labbe, Raul/0000-0003-4233-8387</t>
  </si>
  <si>
    <t>1070-6631</t>
  </si>
  <si>
    <t>1089-7666</t>
  </si>
  <si>
    <t>10.1063/1.4941051</t>
  </si>
  <si>
    <t>WOS:000371286500047</t>
  </si>
  <si>
    <t>Santoni, A</t>
  </si>
  <si>
    <t>Santoni, Alessandro</t>
  </si>
  <si>
    <t>The Italian Communist Party and the other compromesso storico: the political meanings of the solidarity with Chile (1973-1977)</t>
  </si>
  <si>
    <t>HISTORIA-SANTIAGO</t>
  </si>
  <si>
    <t>This article deals with the theme of solidarity with the Chilean exile in Italy from the years 1973-1977. Many of the leaders of the actual Concertacion have insisted on the influence that Eurocommunism, Gramscism, and the compromesso storico had during the renovation of the left. Along this line the author highlights how the Italian communists had a specific political interest for the cause of the exiled, which resulted in the effort to influence the contents and the meanings of the solidarity and not only with material help. The focus adopted looks to relate the theme of la renovacion with the processes of transformation that lived within leftist Europeans from the seventies and especially, with they attributed to the Chilean cause.</t>
  </si>
  <si>
    <t>0073-2435</t>
  </si>
  <si>
    <t>WOS:000286362200006</t>
  </si>
  <si>
    <t>Aliaga, C; Rezende, MC; Tirapegui, C</t>
  </si>
  <si>
    <t>Aliaga, Carolina; Caroli Rezende, Marcos; Tirapegui, Cristian</t>
  </si>
  <si>
    <t>A new dual probe for hydrogen abstraction</t>
  </si>
  <si>
    <t>TETRAHEDRON</t>
  </si>
  <si>
    <t>A new dual (fluorescent and spin) probe is described, where a N-aryl-2,4,6-triphenylpyridinium fluorophore is attached to a TEMPO fragment through ail amide link. The resulting sensor 4 was evaluated as a hydrogen-abstracting agent in acetonitrile and in ail aqueous solution of reduced Triton-X 100, being as resistant to hydrolysis as quinoline-TEMPO 1, but more hydrophobic than this probe. (C) 2009 Elsevier Ltd. All rights reserved.</t>
  </si>
  <si>
    <t>Caroli, Marcos/H-3570-2019; Aliaga, Carolina/G-6024-2019; Tirapegui, Cristian/U-3748-2018</t>
  </si>
  <si>
    <t>Aliaga, Carolina/0000-0002-1352-3164; Rezende, Marcos/0000-0003-2040-9009; Tirapegui, Cristian/0000-0002-2895-3204</t>
  </si>
  <si>
    <t>0040-4020</t>
  </si>
  <si>
    <t>AUG 1</t>
  </si>
  <si>
    <t>10.1016/j.tet.2009.05.073</t>
  </si>
  <si>
    <t>WOS:000268217000021</t>
  </si>
  <si>
    <t>Jara, F; Mascayano, C; Rezende, MC; Tirapegui, C; Urzua, A</t>
  </si>
  <si>
    <t>A spectral and molecular dynamics simulation study of β-cyclodextrin inclusion complexes with solvatochromic dyes derived from barbituric acid</t>
  </si>
  <si>
    <t>JOURNAL OF INCLUSION PHENOMENA AND MACROCYCLIC CHEMISTRY</t>
  </si>
  <si>
    <t>The linear interaction energy (LIE) method was applied to the molecular-dynamics-simulation study of the interactions in water between beta-cyclodextrin and two solvatochromic dyes derived from N,N-dimethylbarbituric acid, the 5-[(4-dimethylaminophenyl)methylene]- (1), and the 5-[bis(4-dimethylaminophenyl) methylene]-2,4,6-(1H,3H,5H)-pyrimidinetrione (2). Both compounds interact with beta-CD by insertion of an aminophenyl ring into its hydrophobic cavity. Theoretical and spectral evidences point to a greater association of compound (1) than dye (2) with cyclodextrin in water.</t>
  </si>
  <si>
    <t>Caroli, Marcos/H-3570-2019; Tirapegui, Cristian/U-3748-2018</t>
  </si>
  <si>
    <t>Urzua, Alejandro/0000-0003-2638-0921; Tirapegui, Cristian/0000-0002-2895-3204; Rezende, Marcos/0000-0003-2040-9009; Mascayano Collado, Carolina Lorena/0000-0002-3488-9309</t>
  </si>
  <si>
    <t>1388-3127</t>
  </si>
  <si>
    <t>1573-1111</t>
  </si>
  <si>
    <t>1-2</t>
  </si>
  <si>
    <t>10.1007/s10847-005-4806-5</t>
  </si>
  <si>
    <t>WOS:000233876700016</t>
  </si>
  <si>
    <t>Jerez, JR; Matsuhiro, B; Urzua, CC</t>
  </si>
  <si>
    <t>Chemical modifications of the xylan from Palmaria decipiens</t>
  </si>
  <si>
    <t>The neutral fraction isolated from the aqueous extract of the red seaweed Palmaria decipiens (Palmariales) was characterised as a D-xylan with beta-(1 --&gt; 4) and beta-(1--&gt;3) linkages. Oxidation with bromine introduced the formation of carbonyl groups at C-2 of the xylopyranosyl residues. Coupling of the oxidised xylan in heterogeneous medium with p-chloroaniline gave a stable Schiff base in a better yield than in aqueous solutions. Conjugation of the bromine-oxidised xylan with bovine serum albumin was achieved by reductive amination. (C) 1997 Elsevier Science Ltd.</t>
  </si>
  <si>
    <t>10.1016/S0144-8617(96)00119-1</t>
  </si>
  <si>
    <t>WOS:A1997WZ20800010</t>
  </si>
  <si>
    <t>FaundezAbans, M; deOliveiraAbans, M; Ormeno, MI</t>
  </si>
  <si>
    <t>Could Type I planetary nebulae be subdivided?</t>
  </si>
  <si>
    <t>ASTRONOMY &amp; ASTROPHYSICS</t>
  </si>
  <si>
    <t>We have found evidences of a probable subdivision of Type I Planetary Nebulae into two (or maybe three) sub-classes. Herein we shortly discuss the behavior of these sub-types illustrating it with abundance diagrams.</t>
  </si>
  <si>
    <t>de Oliveira-Abans, Mariangela/B-4655-2012</t>
  </si>
  <si>
    <t>0004-6361</t>
  </si>
  <si>
    <t>1432-0746</t>
  </si>
  <si>
    <t>L1</t>
  </si>
  <si>
    <t>L4</t>
  </si>
  <si>
    <t>WOS:A1996TV30800001</t>
  </si>
  <si>
    <t>LISSI, E; SALIMHANNA, M; PASCUAL, C; DELCASTILLO, MD</t>
  </si>
  <si>
    <t>EVALUATION OF TOTAL ANTIOXIDANT POTENTIAL (TRAP) AND TOTAL ANTIOXIDANT REACTIVITY FROM LUMINOL-ENHANCED CHEMILUMINESCENCE MEASUREMENTS</t>
  </si>
  <si>
    <t>FREE RADICAL BIOLOGY AND MEDICINE</t>
  </si>
  <si>
    <t>The effect of antioxidants and biological fluids on the intensity of luminol induced chemiluminescence by radicals derived from the thermolysis of 2,2'-azo-bis(2-amidinopropane) has been employed to monitor TRAP and TOTAL ANTIOXIDANT REACTIVITY (TAR) levels. The latter parameter, which considers not only the quantity of oxidants but also their reactivity, is considered a potentially more useful index of the antioxidant status of a biological fluid. The results obtained employing human blood plasma and human urine show that the detected antioxidant capacity of both fluids is mainly related to the uric acid concentration of the samples.</t>
  </si>
  <si>
    <t>0891-5849</t>
  </si>
  <si>
    <t>10.1016/0891-5849(94)00117-3</t>
  </si>
  <si>
    <t>WOS:A1995QF07400003</t>
  </si>
  <si>
    <t>Alaniz, AJ; Valenzuela, A; Vergara, PM; Carvajal, MA; Moreira-Arce, D</t>
  </si>
  <si>
    <t>Alaniz, Alberto J.; Valenzuela, Agdalin; Vergara, Pablo M.; Carvajal, Mario A.; Moreira-Arce, Dario</t>
  </si>
  <si>
    <t>Industrial forestry negatively affects small-farms honey production in south-central Chile: evidence from a landscape scale</t>
  </si>
  <si>
    <t>JOURNAL OF APICULTURAL RESEARCH</t>
  </si>
  <si>
    <t>Land use and cover change have a high influence on bee species, where honey bees (Apis mellifera) could be affected in terms of resources, dispersal, and habitat. However, the influence of landscape context on honey productivity has been scarcely explored in comparison with population parameters, which is an essential topic for the economic development of rural communities based on apiculture. Here, we tested the hypothesis if honey production decreases with the increase of exotic forest plantations in the landscape as the cover of native forest decreases, vegetation and soils become increasingly degraded. We compiled data on honey productivity for two years (2018 and 2019) of small-scale honey production in 17 landscapes of 1 km radii (Curanilahue state in south-central Chile). Then, the landscapes were characterized by using remote sensing techniques, including biophysical and compositional landscape variables. Finally, Generalized Linear Mixed Models were implemented to explore the relationship between landscape variables and honey productivity. We identified a positive relationship between honey productivity with built cover and grassland cover. On the other hand, a negative relationship was found between honey production and net primary production, exotic forest plantations, and tree senescence index. Our results provide new insights into the landscape-scale drivers of hive productivity in rural landscapes of south-central Chile.</t>
  </si>
  <si>
    <t>Vergara, Pablo/F-2519-2010; Carvajal, Mario/GYU-2659-2022; Moreira-Arce, Dario/ABG-2898-2021; Alaniz, Alberto/J-3104-2019</t>
  </si>
  <si>
    <t>Valenzuela Fernandez, Agdalin/0000-0001-8158-0374; Alaniz, Alberto J./0000-0003-4878-8848</t>
  </si>
  <si>
    <t>0021-8839</t>
  </si>
  <si>
    <t>2078-6913</t>
  </si>
  <si>
    <t>OCT 19</t>
  </si>
  <si>
    <t>10.1080/00218839.2023.2211339</t>
  </si>
  <si>
    <t>MAY 2023</t>
  </si>
  <si>
    <t>WOS:000998551700001</t>
  </si>
  <si>
    <t>Ureta-Zañartu, MS</t>
  </si>
  <si>
    <t>Soledad Ureta-Zanartu, Maria</t>
  </si>
  <si>
    <t>How chemistry shaped societies: the case of the Atacama Desert in Chile</t>
  </si>
  <si>
    <t>CHEMTEXTS</t>
  </si>
  <si>
    <t>Could the driest place in the world be a source of wealth for a country? This is the case for Chile and the Atacama Desert. The rise and fall of the saltpetre (NaNO3) industry is a very good example of how, in a short time (10 years), the development of a chemical technology reaches an exclusive fertilizer market and falls steeply when a new chemical technology (Haber-Bosch process) is developed, coupled with a global recession in 1930. This caused growth in Chile, a country that was growing rapidly, to stop abruptly, from the Great Depression until the middle of the twentieth century, when the copper mining boom began. However, the Atacama Desert continues to be a source of income for Chile, thanks to the extraction of copper and, recently, lithium. Solar plants are also a source of wealth.</t>
  </si>
  <si>
    <t>Ureta-Zañartu, Maria/G-5239-2019</t>
  </si>
  <si>
    <t>2199-3793</t>
  </si>
  <si>
    <t>DEC 9</t>
  </si>
  <si>
    <t>10.1007/s40828-022-00172-3</t>
  </si>
  <si>
    <t>WOS:000896566700001</t>
  </si>
  <si>
    <t>Valenzuela, B; Benavides, A; Gutierrez, D; Blamey, L; Monsalves, MT; Modak, B; Blamey, JM</t>
  </si>
  <si>
    <t>Valenzuela, Beatriz; Benavides, Almendra; Gutierrez, Daniela; Blamey, Lotse; Teresa Monsalves, Maria; Modak, Brenda; Blamey, Jenny M.</t>
  </si>
  <si>
    <t>Violacein from an Antarctic Iodobacter sp. 7MAnt and its function as immunomodulator of the defence mechanism of innate immunity in fish cells</t>
  </si>
  <si>
    <t>JOURNAL OF FISH DISEASES</t>
  </si>
  <si>
    <t>Blamey, Jenny/0000-0002-7640-316X</t>
  </si>
  <si>
    <t>0140-7775</t>
  </si>
  <si>
    <t>1365-2761</t>
  </si>
  <si>
    <t>10.1111/jfd.13559</t>
  </si>
  <si>
    <t>DEC 2021</t>
  </si>
  <si>
    <t>WOS:000724235500001</t>
  </si>
  <si>
    <t>Marinao-Artigas, E; Barajas-Portas, K</t>
  </si>
  <si>
    <t>Marinao-Artigas, Enrique; Barajas-Portas, Karla</t>
  </si>
  <si>
    <t>A Cross-Destination Analysis of Country Image: A Key Factor of Tourism Marketing</t>
  </si>
  <si>
    <t>The purpose of this study is to check whether the image of a country can be configured by the interaction of cognitive and emotional experiences with the functional, hedonic, and symbolic benefits perceived by the visitor. It is intended to verify whether this multidimensional image facilitates the connection between people's familiarity with the country, its reputation, and their satisfaction. A non-probabilistic convenience sample has been used. An online questionnaire has been applied. In total, 1812 valid answers have been obtained. Through a structural equations model (SEM), the quantitative analysis has been developed. This study revealed that the country's image has a multidimensional configuration that positively connects people's familiarity with a country with its reputation and with visitor satisfaction. This proposed new approach to configure the image of a country based on its visitors can be a key tool for implementing destination marketing strategies.</t>
  </si>
  <si>
    <t>Barajas-Portas, Karla/ABB-6896-2021; Marinao-Artigas, Enrique/CAF-2031-2022; Barajas-Portas, Karla/F-7336-2016</t>
  </si>
  <si>
    <t>Marinao-Artigas, Enrique/0000-0002-1588-5011; Barajas-Portas, Karla/0000-0002-4498-3462</t>
  </si>
  <si>
    <t>10.3390/su13179529</t>
  </si>
  <si>
    <t>WOS:000694531700001</t>
  </si>
  <si>
    <t>Mena, J; Elgueta, E; Espinola-Gonzales, F; Cardenas, H; Orihuela, PA</t>
  </si>
  <si>
    <t>Mena, Javier; Elgueta, Estefania; Espinola-Gonzales, Francisca; Cardenas, Hugo; Orihuela, Pedro A.</t>
  </si>
  <si>
    <t>Hydroethanolic Extracts of the Aristotelia Chilensis (Maqui) Berry Reduces Cellular Viability and Invasiveness in the Endometrial Cancer Cell Line Ishikawa</t>
  </si>
  <si>
    <t>INTEGRATIVE CANCER THERAPIES</t>
  </si>
  <si>
    <t>Cancer of the reproductive tract includes diseases with higher prevalence in the female population. This investigation examined whether an anthocyanin-enriched extract of Aristotelia chilensis, commonly known as maqui, could affect some hallmarks of endometrial cancer. Cultures of the human endometrial cancer cell line Ishikawa were treated with a hydroethanolic maqui extract at 1, 3, 10, 30, 100, 300, or 1000 mu g/mL to determine the effect on cell viability by MTT assay. Then, we used the 50% Effective Concentration (EC50) to evaluate whether the effect of the maqui extract is mediated via an arrest of the cell cycle or induction of apoptosis using flow cytometry or Annexin V-FITC assays, respectively. The effects of sublethal doses of the maqui extract on migration and invasiveness of Ishikawa cells were also evaluated by the wound healing and Boyden Chamber assay, respectively. Our results show that the hydroethanolic maqui extract inhibits the cell viability with an EC50 of 472.3 mu g/mL via increased apoptosis, and that reduces the invasive capacity but not migration of Ishikawa cells. These findings suggest that the hydroethanolic maqui extract has antineoplastic properties for endometrial cancer and merits further studies to corroborate its efficiency as anticancer therapy in reproductive organs.</t>
  </si>
  <si>
    <t>Mena, Javier/0000-0001-5758-0470; Elgueta, Estefania/0000-0002-0441-0088; Orihuela, Pedro/0000-0002-4238-0932</t>
  </si>
  <si>
    <t>1534-7354</t>
  </si>
  <si>
    <t>1552-695X</t>
  </si>
  <si>
    <t>10.1177/15347354211007560</t>
  </si>
  <si>
    <t>WOS:001353197100012</t>
  </si>
  <si>
    <t>Rodríguez, C; Vidal, C; Díaz, M; Contreras, E; Guggisberg, G; Rivas, I</t>
  </si>
  <si>
    <t>Rodriguez, Cristobal; Vidal, Claudio; Diaz, Matias; Contreras, Emilio; Guggisberg, Gabriel; Rivas, Ignacio</t>
  </si>
  <si>
    <t>An Overview of Challenges and Benefits Associated to the Development of Vehicle to Grid Technology</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</si>
  <si>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</si>
  <si>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</si>
  <si>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</si>
  <si>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</si>
  <si>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The energy stored in Electrical Vehicles can back up the grid during low-generation periods produced by, for instance, unpredictable renewable energy generation. Therefore, Vehicle-to-Grid (V2G) technologies are foreseen as a major player in the energy transition. However, V2G technologies face several barriers: inadequate technology maturity, lack of interoperability, and unknown business models. In this context, this paper aims to describe the main benefits and challenges of V2G technology. Furthermore, a detailed revision is presented regarding EVs charging systems, interoperability protocols and players, and grid integration requirements.</t>
  </si>
  <si>
    <t>Diaz, Matias/R-7570-2018; Rivas, Ioar/J-1505-2016</t>
  </si>
  <si>
    <t>978-1-6654-0873-8</t>
  </si>
  <si>
    <t>10.1109/CHILECON54041.2021.9702991</t>
  </si>
  <si>
    <t>WOS:000788072700109</t>
  </si>
  <si>
    <t>Pizarro, C</t>
  </si>
  <si>
    <t>Pizarro, Carolina</t>
  </si>
  <si>
    <t>The witness's place. Writing and memory: Uruguay, Chile and Argentina</t>
  </si>
  <si>
    <t>KAMCHATKA-REVISTA DE ANALISIS CULTURAL</t>
  </si>
  <si>
    <t>2340-1869</t>
  </si>
  <si>
    <t>10.7203/KAM.15.17392</t>
  </si>
  <si>
    <t>WOS:000556952000028</t>
  </si>
  <si>
    <t>Enríquez, J; Manquian, C; Chi-Duran, I; Herrera, F; Singh, DP</t>
  </si>
  <si>
    <t>Enriquez, Javier; Manquian, Carolina; Chi-Duran, Ignacio; Herrera, Felipe; Singh, Dinesh Pratap</t>
  </si>
  <si>
    <t>Controlled Growth of the Noncentrosymmetric Zn(3-ptz)2 and Zn(OH)(3-ptz) Metal-Organic Frameworks</t>
  </si>
  <si>
    <t>ACS OMEGA</t>
  </si>
  <si>
    <t>Noncentrosymmetric single-crystal metal-organic frameworks (MOFs) are promising candidates for phase-matched nonlinear optical communication. However, the typical hydrothermal synthesis conditions produce small crystals with relatively low transmittance and poor phase matching. In the search for optimal crystal morphology, we study the effect of the metal-to-ligand molar ratio and reaction pH on the hydrothermal synthesis of the noncentrosymmetric Zn(3-ptz)(2) and Zn(OH)(3-ptz) MOFs with in situ ligand formation. In acidic environments, we find that decreasing the amount of ligand below the stoichiometric molar ratio 1:2 also produces highly transparent single-crystal octahedrons of Zn(3-ptz)(2). In alkaline environments, we obtain long rodlike Zn(OH)(3-ptz) crystals whose length exceeds previous reports by up to 4 orders of magnitude. All reaction products are characterized by using powder X-ray diffraction, Fourier transform infrared spectroscopy, optical and scanning electron microscopy, and solid-state UV-visible spectroscopy. Additionally, we find an alternative synthesis route for the recently reported high-energy MOF Zn(3-ptz)N-3. Potential applications of these results in the development of MOF-based nonlinear optical devices are discussed.</t>
  </si>
  <si>
    <t>Herrera, Felipe/KHD-8453-2024; SINGH, DINESH/A-2509-2011</t>
  </si>
  <si>
    <t>ENRIQUEZ, JAVIER/0000-0002-2502-5787; SINGH, DINESH/0000-0002-2893-7749; Manquian Villalobos, Carolina/0000-0003-1329-7790; Chi-Duran, Ignacio/0000-0002-3327-2825</t>
  </si>
  <si>
    <t>2470-1343</t>
  </si>
  <si>
    <t>10.1021/acsomega.9b00236</t>
  </si>
  <si>
    <t>WOS:000466552500143</t>
  </si>
  <si>
    <t>Donoso, MV; Hernández, F; Villalón, T; Acuña-Castillo, C; Huidobro-Toro, JP</t>
  </si>
  <si>
    <t>Vernica Donoso, M.; Hernandez, Felipe; Villalon, Tania; Acuna-Castillo, Claudio; Pablo Huidobro-Toro, J.</t>
  </si>
  <si>
    <t>Pharmacological dissection of the cellular mechanisms associated to the spontaneous and the mechanically stimulated ATP release by mesentery endothelial cells: roles of thrombin and TRPV</t>
  </si>
  <si>
    <t>PURINERGIC SIGNALLING</t>
  </si>
  <si>
    <t>Endothelial cells participate in extracellular ATP release elicited by mechanosensors. To characterize the dynamic interactions between mechanical and chemical factors that modulate ATP secretion by the endothelium, we assessed and compared the mechanisms participating in the spontaneous (basal) and mechanically stimulated secretion using primary cultures of rat mesentery endothelial cells. ATP/metabolites were determined in the cell media prior to (basal) and after cell media displacement or a picospritzer buffer puff used as mechanical stimuli. Mechanical stimulation increased extracellular ATP that peaked within 1 min, and decayed to basal values in 10 min. Interruption of the vesicular transport route consistently blocked the spontaneous ATP secretion. Cells maintained in media lacking external Ca2+ elicited a spontaneous rise of extracellular ATP and adenosine, but failed to elicit a further extracellular ATP secretion following mechanical stimulation. 2-APB, a TRPV agonist, increased the spontaneous ATP secretion, but reduced the mechanical stimulation-induced nucleotide release. Pannexin1 or connexin blockers and gadolinium, a Piezo1 blocker, reduced the mechanically induced ATP release without altering spontaneous nucleotide levels. Moreover, thrombin or related agonists increased extracellular ATP secretion elicited by mechanical stimulation, without modifying spontaneous release. In sum, present results allow inferring that the spontaneous, extracellular nucleotide secretion is essentially mediated by ATP containing vesicles, while the mechanically induced secretion occurs essentially by connexin or pannexin1 hemichannel ATP transport, a finding fully supported by results from Panx1(-/-) rodents. Only the latter component is modulated by thrombin and related receptor agonists, highlighting a novel endothelium-smooth muscle signaling role of this anticoagulant.</t>
  </si>
  <si>
    <t>Acuña-Castillo, Claudio/AAI-7090-2021</t>
  </si>
  <si>
    <t>Acuna-Castillo, Claudio/0000-0003-3607-6077</t>
  </si>
  <si>
    <t>1573-9538</t>
  </si>
  <si>
    <t>1573-9546</t>
  </si>
  <si>
    <t>10.1007/s11302-017-9599-7</t>
  </si>
  <si>
    <t>WOS:000431794000003</t>
  </si>
  <si>
    <t>Parraga-Alava, J; Garzón, GM; Cevallos, RA; Inostroza-Ponta, M</t>
  </si>
  <si>
    <t>Parraga-Alava, Jorge; Molina Garzon, Gustavo; Alcivar Cevallos, Roberth; Inostroza-Ponta, Mario</t>
  </si>
  <si>
    <t>Unsupervised Pattern Recognition for Geographical Clustering of Seismic Events Post MW 7.8 Ecuador Earthquake</t>
  </si>
  <si>
    <t>2018 37TH INTERNATIONAL CONFERENCE OF THE CHILEAN COMPUTER SCIENCE SOCIETY (SCCC)</t>
  </si>
  <si>
    <t>37th International Conference of the Chilean-Computer-Science-Society (SCCC)</t>
  </si>
  <si>
    <t>NOV 05-09, 2018</t>
  </si>
  <si>
    <t>Univ Andres Bello, Santiago, CHILE</t>
  </si>
  <si>
    <t>Chilean Comp Sci Soc,Sociedad Chilena Ciencia Computac,Fundamentos Datos,ThoughtWorks,CONICYT,Santiago,Elettric80,Austral Robot,Telefonica</t>
  </si>
  <si>
    <t>Univ Andres Bello</t>
  </si>
  <si>
    <t>Ecuador is located at the collision point of Nazca and South America tectonic plates, an area with high seismic activity; hence it is common that a large number of seismic events occur annually. On April 16, 2016, a M-w 7.8 earthquake impacted coastal Ecuador, and plenty of aftershocks were located within the affected and surrounding areas. Determining similar seismic geographical zones of the such events has become a problem of great interest for post-earthquake mitigation actions. In this paper, we present an approach to cluster seismic events post M-w 7.8 Ecuador earthquake. We carried out unsupervised pattern recognition through a clustering algorithm called MST-kNN. Our approach identified five clusters with similar seismic geographical zones along coastal provinces and Pacific Ocean. The results can be used to plan post-earthquake mitigation strategies such as identifying safe roads for evacuation plans or adequate location of ad hoe health and supply centers.</t>
  </si>
  <si>
    <t>Cevallos, Rodrigo/JQI-9277-2023; Inostroza-Ponta, Mario/G-7548-2012; Párraga-Alava, Jorge/GZA-8759-2022</t>
  </si>
  <si>
    <t>Parraga-Alava, Jorge/0000-0001-8558-9122</t>
  </si>
  <si>
    <t>978-1-5386-9233-2</t>
  </si>
  <si>
    <t>WOS:000469267700033</t>
  </si>
  <si>
    <t>Guerrero-Leiva, N; Castro, SA; Rubio, MA; Ortiz-Calderón, C</t>
  </si>
  <si>
    <t>Guerrero-Leiva, Nicole; Castro, Sergio A.; Rubio, Maria A.; Ortiz-Calderon, Claudia</t>
  </si>
  <si>
    <t>Retention of Atmospheric Particulate by Three Woody Ornamental Species in Santiago, Chile</t>
  </si>
  <si>
    <t>WATER AIR AND SOIL POLLUTION</t>
  </si>
  <si>
    <t>It is traditionally accepted that urban vegetation contributes to improve air quality by intercepting and retaining the particulate matter. Although the mitigating role of plants has been recognized by several studies, the role of individual species is still poorly understood. This is particularly important in cities like Santiago (Chile), which has high levels of atmospheric particulate and also has high plant species diversity. In this study, we evaluated the retention of atmospheric particles by three widely distributed ornamental species (Nerium oleander, Pittosporum tobira, and Ligustrum lucidum) in Santiago. For this proposal, we took leaf samples in different sampling points across the city which vary in their concentration of atmospheric particulate. Samples were taken 12 and 16 days after a rainfall episode that washed the leaves of plants in the sampling sites. In the laboratory, leaves were washed to recover the surface retained particles that were collected to determine its mass gravimetrically. With this information, we estimated the foliar retention (mass of particulate matter retained in the foliar surface) and daily retention efficiency (mass of particulate matter retained in the foliar surface per day). We found that foliar retention and daily retention efficiency varied significantly between the studied species. The leaves of N. oleander retained 8.2 g m(-2) of particulate matter on average, those of P. tobira 6.1 g m(-2), and those of L. lucidum 3.9 g m(-2); meanwhile, the daily retention efficiencies of particulate matter were 0.6, 0.4, and 0.3 g m(-2) day(-1) for N. oleander, P. tobira, and L. lucidum, respectively. These results suggest that the studied species retain atmospheric particulate matter differentially in Santiago. These results can be attributed to differences on leaf surface characteristics. The recognition of the most efficient species in the retention of the atmospheric particulate matter can help to decide which species can be used to improve the air quality in the city.</t>
  </si>
  <si>
    <t>0049-6979</t>
  </si>
  <si>
    <t>1573-2932</t>
  </si>
  <si>
    <t>10.1007/s11270-016-3124-4</t>
  </si>
  <si>
    <t>WOS:000390681500009</t>
  </si>
  <si>
    <t>Allende, S; Altbir, D; Retamal, JC</t>
  </si>
  <si>
    <t>Allende, S.; Altbir, D.; Retamal, J. C.</t>
  </si>
  <si>
    <t>Simulated annealing and entanglement of formation for (n ⊗ m)-dimensional mixed states</t>
  </si>
  <si>
    <t>The simulated annealing algorithm, a method commonly used to calculate properties of condensed-matter systems, is used to calculate entanglement of formation for higher-dimensional mixed states. The method relies on representing a mixed state as a pure state in an enlarged Hilbert space, and on the search for the extension minimizing the convex roof of entanglement of formation. Exact results are found, and predictions for system reservoir dynamics in higher dimensions are confirmed. These findings open the way for new applications of the method in quantum information.</t>
  </si>
  <si>
    <t>Retamal, Juan/G-6425-2010; Altbir, Dora/R-6781-2018</t>
  </si>
  <si>
    <t>Retamal Abarzua, Juan Carlos/0000-0002-7174-7879; Altbir, Dora/0000-0002-2945-4909</t>
  </si>
  <si>
    <t>1050-2947</t>
  </si>
  <si>
    <t>1094-1622</t>
  </si>
  <si>
    <t>AUG 24</t>
  </si>
  <si>
    <t>10.1103/PhysRevA.92.022348</t>
  </si>
  <si>
    <t>WOS:000359938200007</t>
  </si>
  <si>
    <t>Cofre, C; Gonzalez, R; Moya, J; Vidal, R</t>
  </si>
  <si>
    <t>Cofre, C.; Gonzalez, R.; Moya, J.; Vidal, R.</t>
  </si>
  <si>
    <t>Phenotype gene expression differences between resistant and susceptible salmon families to IPNV</t>
  </si>
  <si>
    <t>FISH PHYSIOLOGY AND BIOCHEMISTRY</t>
  </si>
  <si>
    <t>Infectious pancreatic necrosis virus (IPNV) is an economically important pathogen of the salmonid aquaculture industry. Selective breeding has been employed to improve resistance to this infectious disease, and it is of importance to investigate the expression profile of immune genes of Atlantic salmon with different genetic background in response to this virus. This study examined the immune modulation response of eight candidate genes in head kidney tissue in two families of Atlantic salmon with high and low mortalities, after challenge with IPNV. The results showed that the expression pattern of target genes differed in the two families. Generally, higher expression of antiviral, pro-inflammatory genes and transcription factors such as tripartite motif, NF-kappa B, IFNI, STAT1, protein kinase R, and Vig-2 in the resistant family were observed at the same time point. One may speculate the functional importance of these putative candidate genes in the characterization of the IPNV-resistant (low mortalities) immune phenotype. Therefore, on our findings, we suggest that future salmonids studies aiming to identify candidate genes/pathway or vaccines evaluation should consider validating detected genes/pathway across different genetic backgrounds or immune phenotype.</t>
  </si>
  <si>
    <t>0920-1742</t>
  </si>
  <si>
    <t>1573-5168</t>
  </si>
  <si>
    <t>10.1007/s10695-013-9894-3</t>
  </si>
  <si>
    <t>WOS:000335760300023</t>
  </si>
  <si>
    <t>Devés-Valdés, E</t>
  </si>
  <si>
    <t>Keim, W; Celik, E; Ersche, C; Wohrer, V</t>
  </si>
  <si>
    <t>Deves-Valdes, Eduardo</t>
  </si>
  <si>
    <t>Networks of Peripheral Intellectuals from 1920 to 1940: An Attempt to Map Networks and Construct a Theoretical Approach</t>
  </si>
  <si>
    <t>GLOBAL KNOWLEDGE PRODUCTION IN THE SOCIAL SCIENCES: MADE IN CIRCULATION</t>
  </si>
  <si>
    <t>Global Connections</t>
  </si>
  <si>
    <t>978-1-4724-2618-5; 978-1-4724-2617-8</t>
  </si>
  <si>
    <t>WOS:000348830400007</t>
  </si>
  <si>
    <t>Kumaresan, A; Liberona, D</t>
  </si>
  <si>
    <t>Uden, L; Herrera, F; Perez, JB; Rodriguea, JMC</t>
  </si>
  <si>
    <t>Kumaresan, Aravind; Liberona, Dario</t>
  </si>
  <si>
    <t>Promoting Knowledge Sharing and Knowledge Management in Organisations Using Innovative Tools</t>
  </si>
  <si>
    <t>7TH INTERNATIONAL CONFERENCE ON KNOWLEDGE MANAGEMENT IN ORGANIZATIONS: SERVICE AND CLOUD COMPUTING</t>
  </si>
  <si>
    <t>Advances in Intelligent Systems and Computing</t>
  </si>
  <si>
    <t>7th International Conference on Knowledge Management in Organizations (KMO 2012)</t>
  </si>
  <si>
    <t>JUL 11-13, 2012</t>
  </si>
  <si>
    <t>Salamanca, SPAIN</t>
  </si>
  <si>
    <t>Businesses have recognized that knowledge constitutes a valuable intangible asset, and currently they have access to an extensive pool of knowledge, from the skills and experience of the workforce and also their understanding of customers' needs. The challenge's for the businesses are not just processing these big data but also dealing with company's cultural issues that allow knowledge sharing and information exchange. Sharing of knowledge constitutes a major challenge in the field of knowledge management because some employees tend to resist sharing what they know with the rest of the organisation. It takes the right environment to create an effective knowledge sharing program and for such an environment to be nurtured, organisations need to look inwards at the type of culture they promote before investing in knowledge sharing tools. The purpose of this study was to analyse the various factors affecting the knowledge sharing process in organisations and the use of innovative social business tools to promote knowledge sharing in organisations. A global survey was conducted for this study relating to the willingness to share knowledge, and the tools available for sharing knowledge. Also, a practical case study was conducted on a UK based company.</t>
  </si>
  <si>
    <t>2194-5357</t>
  </si>
  <si>
    <t>978-3-642-30866-6</t>
  </si>
  <si>
    <t>+</t>
  </si>
  <si>
    <t>WOS:000312508900016</t>
  </si>
  <si>
    <t>Saavedra, J; Troncoso, R; Zanelli, J</t>
  </si>
  <si>
    <t>Chern-Simons in 0+1 and its singular dynamic properties</t>
  </si>
  <si>
    <t>REVISTA MEXICANA DE FISICA</t>
  </si>
  <si>
    <t>12th Chilean Symposium of Physics</t>
  </si>
  <si>
    <t>NOV 22-24, 2000</t>
  </si>
  <si>
    <t>SANTIAGO, CHILE</t>
  </si>
  <si>
    <t>We considered a Chern-Simons thory (CS) in a 0 - I space-time dimensions to study the dynamic properties that are generated when a system has nonreversible simplectyc form in some regions of the phase,pace. This characteristics is usually found in Chern-Simons systems of odd dimensions greater than three (D &lt; 3).</t>
  </si>
  <si>
    <t>0035-001X</t>
  </si>
  <si>
    <t>WOS:000180065500031</t>
  </si>
  <si>
    <t>Rubio, MA; Lissi, E; Villena, G</t>
  </si>
  <si>
    <t>Nitrite in rain and dew in Santiago city, Chile. Its possible impact on the early morning start of the photochemical smog</t>
  </si>
  <si>
    <t>Cations (pH, potassium, sodium, calcium, magnesium, and ammonium) and anions (sulfate, nitrate, nitrite, and chloride) concentrations were measured in Santiago city rain and dew waters collected during the 1995 to 1999. Concentrations measured in dews are considerably higher than those measured in rains. The high ionic concentration present in dew waters could contribute to their corrosion potential. Natural dust makes an important contribution to the ions present in dews, but the presence of rather high sulfate concentrations (up to 900 mueq/1) indicate a significant contribution of anthropogenic sources. A peculiar characteristic of dew waters is the relatively high nitrite concentrations (up to 180 mueq/1). This nitrite can be resuspended into the boundary layer after dew water evaporation, possibly due to the relatively high volatily of ammonium nitrite. This upward flux could constitute an important source of hydroxyl radicals in the early morning, contributing so to the initial steps of the observed photochemical smog. (C) 2002 Elsevier Science Ltd. All rights reserved.</t>
  </si>
  <si>
    <t>10.1016/S1352-2310(01)00356-9</t>
  </si>
  <si>
    <t>WOS:000173667400012</t>
  </si>
  <si>
    <t>Gramsch, E; Avila, RE; Ferrer, J</t>
  </si>
  <si>
    <t>Development of a novel planar-construction avalanche photodiode</t>
  </si>
  <si>
    <t>IEEE TRANSACTIONS ON NUCLEAR SCIENCE</t>
  </si>
  <si>
    <t>A deep-diffused large-area avalanche photodiode (APD) without bevel or grooves has been designed and built for use in low-light-level applications. The design does not incorporate a bevel edge or grooves to avoid early breakdown at the surface. The APD has been built using standard planar technology for silicon devices. Photodiodes with 2- and 3-mm diameter active area have been produced by deep boron diffusion, followed by shallow boron and phosphor diffusion. Gain up to six is obtained at 1300 V before surface breakdown. The dark current is dependent on external voltage and is only 50-100 nA below breakdown. The energy resolution from a Co-57 X-ray source (6.4 keV) was measured to be 1.47 keV, which corresponds to 174 rms electron noise. The energy resolution of a Cs-137 source with an APD coupled to a 3 x 3 x 3 mm(3) CSI(TI) scintillator was 14.5%. We have also performed simulations of the gain and breakdown voltage that correlate well with the results.</t>
  </si>
  <si>
    <t>Gramsch, Ernesto/0000-0002-6787-7355</t>
  </si>
  <si>
    <t>0018-9499</t>
  </si>
  <si>
    <t>10.1109/23.958752</t>
  </si>
  <si>
    <t>WOS:000171660300051</t>
  </si>
  <si>
    <t>The acidity of carbon acids in aqueous solutions: correlations with theoretical descriptors</t>
  </si>
  <si>
    <t>The acidity of 32 carbon acids in water, with pK(a) values ranging from 25.6 to -6.2, was correlated with a two-parameter equation, involving the theoretical descriptors DeltaE and Sigma Delta dqx, calculated with the HF/3-21G//HF/3-21G and the B3LYP/6-31G(d)//HF/3-21G methods, with regression coefficients r greater than or equal to 0.95. The acid deprotonation energy (DeltaE) was associated with its intrinsic, or gas-phase acidity, whereas the total charge variation at the hard centers (Sigma Delta qx) was a measure of the contributions of aqueous solvation to its acid behavior in water. (C) 2001 Elsevier Science Ltd. All rights reserved.</t>
  </si>
  <si>
    <t>JUL 9</t>
  </si>
  <si>
    <t>10.1016/S0040-4020(01)00563-4</t>
  </si>
  <si>
    <t>WOS:000169813300003</t>
  </si>
  <si>
    <t>Montes-Sotomayor, S; Houot, R; Kongolo, M</t>
  </si>
  <si>
    <t>Technical note - Flotation of silicated Gangue iron ores: Mechanism and effect of starch</t>
  </si>
  <si>
    <t>Hematite floatability is always lower than that of quartz under the same physico-chemical conditions, Indeed, up to pH&gt; 9, the presence of molecular amine in solution is detrimental to hematite flotation. Starch adsorbs specifically on both minerals (more on quartz than on hematite). However, starch adsorbed on quartz will desorb in alkaline medium in the presence of alkylammonium salt according to the collector concentration and pH (competing adsorption). This is not the case for hematite for which the starch-mineral affinity is stronger than that of the quartz. (C) 1997 Published by Elsevier Science Ltd. All rights reserved.</t>
  </si>
  <si>
    <t>10.1016/S0892-6875(97)00139-8</t>
  </si>
  <si>
    <t>WOS:000071529100005</t>
  </si>
  <si>
    <t>Conejeros-Solar, ML; Catalán, S; Gómez-Arizaga, MP; López-Jiménez, T; Contador, N; Sandoval-Rodríguez, K; Bustamante, C; Quijanes, J</t>
  </si>
  <si>
    <t>Conejeros-Solar, Maria Leonor; Catalan, Sandra; Gomez-Arizaga, Maria Paz; Lopez-Jimenez, Tatiana; Contador, Natalie; Sandoval-Rodriguez, Katia; Bustamante, Cristobal; Quijanes, Josefa</t>
  </si>
  <si>
    <t>A Systematic Review of Conceptualizations, Early Indicators, and Educational Provisions for Intellectual Precocity</t>
  </si>
  <si>
    <t>JOURNAL OF INTELLIGENCE</t>
  </si>
  <si>
    <t>Intellectual precocity in children poses unique challenges and opportunities for educational systems. This systematic review aims to comprehensively analyze intellectual precocity in children until 6 years old, including its definition, manifestations, and various educational programs for intellectually precocious learners. Following PRISMA guidelines, a comprehensive search of electronic databases was conducted. The study included 26 articles published between 2013 and 2023 that provided a conceptualization of precocity or giftedness, and/or focused on characteristics of precocity, and/or investigated educational programs for intellectually precocious children. The authors' conceptualizations of precocity varied, with some providing clear definitions based on a developmental view of precocity, while others merely mentioned the concept. Early indicators of superior traits have been observed in areas such as reading, math, problem-solving, and even in fields that have been traditionally disregarded, such as visual arts. Educational provisions varied widely, including approaches based on enrichment and project-based learning; however, interventions based on socioemotional elements are also highlighted. The findings emphasize the importance of early identification and targeted educational strategies to support the unique needs of intellectually precocious individuals. Future research should focus on longitudinal studies and the development of evidence-based interventions.</t>
  </si>
  <si>
    <t>sandoval rodriguez, katia/LNQ-0481-2024; Lopez, Tatiana/JCE-9818-2023; Conejeros-Solar, Maria Leonor/F-8980-2016</t>
  </si>
  <si>
    <t>Gomez-Arizaga, Maria P./0000-0001-5984-6017; Conejeros-Solar, Maria Leonor/0000-0001-9725-9753; Lopez Jimenez, Tatiana/0000-0002-5870-6853; Catalan, Sandra/0000-0001-9255-4681; Sandoval Rodriguez, katia/0000-0003-2871-9351; Bustamante, Cristobal/0009-0003-1563-7901</t>
  </si>
  <si>
    <t>2079-3200</t>
  </si>
  <si>
    <t>10.3390/jintelligence12080076</t>
  </si>
  <si>
    <t>WOS:001305084200001</t>
  </si>
  <si>
    <t>Moreno, SF; Mariano, RC; Pérez, SA; González, R</t>
  </si>
  <si>
    <t>Ferro Moreno, Santiago; Carlos Mariano, Roberto; Agustin Perez, Santiago; Gonzalez, Rocio</t>
  </si>
  <si>
    <t>METHOLOGICAL PROPOSAL FOR THE MONITORING OF FACTORS THAT IMPACT ON THE COMPETITIVENESS OF AGROINDUSTRIAL NETWORKS</t>
  </si>
  <si>
    <t>REVISTA DE ESTUDIOS POLITICOS Y ESTRATEGICOS</t>
  </si>
  <si>
    <t>The measurement of competitiveness in agroindustrial networks is a relevant issue for Latin American public policies, mainly due to its impact on territorial development and private strategies. The multivariability of the concept and the dynamics of the factors that contribute to the creation and maintenance of competitive advantages pose a series of challenges. The objective of the work is to propose a methodology to measure and monitor the generation of sustainable competitive advantages in the agro-industrial sector. After a bibliographic review and analysis of existing methodologies to measure and monitor the factors that impact competitiveness, 9 axes and 67 factors are proposed, synthesized in indicators and indices. The potential uses of the methodology are, at least, 4: benchmarking of companies, benchmarking of productive networks, competitive surveillance, and foresight exercises to generate individual or collective alternatives, public or private, for the improvement of competitiveness.</t>
  </si>
  <si>
    <t>0719-3653</t>
  </si>
  <si>
    <t>0719-3688</t>
  </si>
  <si>
    <t>WOS:000701768900005</t>
  </si>
  <si>
    <t>Marques, ALD; Contreras, C; Diniz, MBNP</t>
  </si>
  <si>
    <t>dos Santos Marques, Ana Laura; Contreras, Carolina; Pereira Diniz, Monica Baeta Neves</t>
  </si>
  <si>
    <t>Manual didactico de portugues lengua extranjera: nivel intermedio: a proposal for systematization of resources of Portuguese teaching for translator training in a Chilean university context</t>
  </si>
  <si>
    <t>REVISTA VIRTUAL DE ESTUDOS DA LINGUAGEM-REVEL</t>
  </si>
  <si>
    <t>This work presents reflections on the creation of Manual didactico de portugues lengua extranjera: nivel intermedio, a research project developed at the Applied Linguistics in Translation course at the University of Santiago, Chile, by a group of Portuguese as Foreign Language (PFL) teachers. In this context, variables that motivate and guide this project stand out: a) the relevance of the proximity between the students' mother tongue, Spanish, and Portuguese (ALMEIDA FILHO, 2001); b) the search for new ways of exploring the articulation between knowledge and production of language expected by translators; c) the demand for a better characterization of the students' proficiency levels. The goal of the present paper is to describe the experience of the Manual as support for PFL teachers on the systematization of didactic resources in order to understand and produce text genres. As theoretical basis, the perspective of socio-discursive interaction of textual Linguistics is assumed. When considering the text as language action (DOLZ &amp; SCHNEUWLY; 2004; JUDICE, 2013; BARROS, 2015) taken to the classroom through didactic sequences, contents defined by the curriculum of the mandatory subjects are associated with systematized work of textual production. The Manual focuses on a specific community that not only requires learning Portuguese for immediate communication in such language, but also broadening metalinguistic, social and discursive knowledge. In that sense, we also hope to represent expectations of other contexts of PFL teaching.</t>
  </si>
  <si>
    <t>1678-8931</t>
  </si>
  <si>
    <t>WOS:000577663500015</t>
  </si>
  <si>
    <t>Knappe, V; Paczkowski, S; Robles, LAD; Gonzales, A; Pelz, S</t>
  </si>
  <si>
    <t>Knappe, Victoria; Paczkowski, Sebastian; Diaz Robles, Luis Alonso; Gonzales, Alain; Pelz, Stefan</t>
  </si>
  <si>
    <t>Reducing Willow Wood Fuel Emission by Low Temperature Microwave Assisted Hydrothermal Carbonization</t>
  </si>
  <si>
    <t>JOVE-JOURNAL OF VISUALIZED EXPERIMENTS</t>
  </si>
  <si>
    <t>Biomass is a sustainable fuel, as its CO2 emissions are reintegrated in biomass growth. However, the inorganic precursors in the biomass cause a negative environmental impact and slag formation. The selected short rotation coppice (SRC) willow wood has a high ash content ((x) over bar = 1.96%) and, therefore, a high content of emission and slag precursors. Therefore, the reduction of minerals from SRC willow wood by low temperature microwave assisted hydrothermal carbonization (MAHC) at 150 degrees C, 170 degrees C, and 185 degrees C is investigated. An advantage of MAHC over conventional reactors is an even temperature conductance in the reaction medium, as microwaves penetrate the whole reactor volume. This allows a better temperature control and a faster cooldown. Therefore, a succession of depolymerization, transformation and repolymerization reactions can be analyzed effectively. In this study, the analysis of the mass loss, ash content and composition, heating values and molar O/C and H/C ratios of the treated and untreated SCR willow wood showed that the mineral content of the MAHC coal was reduced and the heating value increased. The process water showed a decreasing pH and contained furfural and 5-methylfurfural. A process temperature of 170 degrees C showed the best combination of energy input and ash component reduction. The MAHC allows a better understanding of the hydrothermal carbonization process, while a large-scale industrial application is unlikely because of the high investment costs.</t>
  </si>
  <si>
    <t>Pelz, Stefan/HMV-9809-2023; Diaz-Robles, Luis/D-3450-2013</t>
  </si>
  <si>
    <t>Diaz-Robles, Luis/0000-0002-6098-7746; Pelz, Stefan/0000-0003-3205-7282</t>
  </si>
  <si>
    <t>1940-087X</t>
  </si>
  <si>
    <t>e58970</t>
  </si>
  <si>
    <t>10.3791/58970</t>
  </si>
  <si>
    <t>WOS:000469977600021</t>
  </si>
  <si>
    <t>Cambón, LC</t>
  </si>
  <si>
    <t>Estenssoro, F; Vasquez, JP</t>
  </si>
  <si>
    <t>Claveria Cambon, Luis</t>
  </si>
  <si>
    <t>THE MAJOR ECONOMIES FORUM BETWEEN COPENHAGEN 2009 AND PARIS 2015: A study on its members and their agenda</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</si>
  <si>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</si>
  <si>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</si>
  <si>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WOS:000668284400007</t>
  </si>
  <si>
    <t>Kaschel, H; Cordero, S; Costoya, E</t>
  </si>
  <si>
    <t>Kaschel, Hector; Cordero, Sergio; Costoya, Eduardo</t>
  </si>
  <si>
    <t>Modeling and Simulation of the ITM Model for Point to Point Prediction on Digital Television Extensible to other Technologies</t>
  </si>
  <si>
    <t>WOS:000458417600141</t>
  </si>
  <si>
    <t>Ruiz-Matus, F; Gonzalez-Aspillaga, M; Chávez, F; Meneses, L</t>
  </si>
  <si>
    <t>Ruiz-matus, F.; Gonzalez-aspillaga, M.; Chavez, F.; Meneses, L.</t>
  </si>
  <si>
    <t>NEUROFIBROSARCOMA: A SEVERE COMPLICATION IN NEUROFIBROMATOSIS TYPE 1</t>
  </si>
  <si>
    <t>INTERNATIONAL JOURNAL OF DERMATOLOGY</t>
  </si>
  <si>
    <t>0011-9059</t>
  </si>
  <si>
    <t>1365-4632</t>
  </si>
  <si>
    <t>WOS:000412751400142</t>
  </si>
  <si>
    <t>Caroli Rezende, Marcos</t>
  </si>
  <si>
    <t>A generalized reversal model for the solvatochromism of merocyanines</t>
  </si>
  <si>
    <t>JOURNAL OF PHYSICAL ORGANIC CHEMISTRY</t>
  </si>
  <si>
    <t>The solvatochromic behaviour of merocyanines can be interpreted and predicted by consideration of their molecular structure with the aid of a model that regards all kinds of solvatochromism as particular cases of a generalized reverse behaviour. This generalized reversal model is shown to be consistent with the cyanine-limit model, another independent approach that relates the merocyanine structure with its solvatochromic behaviour. Both models are validated by experimental data from the literature of 21 merocyanines of variable molecular structure. Copyright (c) 2016 John Wiley &amp; Sons, Ltd.</t>
  </si>
  <si>
    <t>0894-3230</t>
  </si>
  <si>
    <t>1099-1395</t>
  </si>
  <si>
    <t>10.1002/poc.3565</t>
  </si>
  <si>
    <t>WOS:000383587000005</t>
  </si>
  <si>
    <t>Reyes-Cerpa, S; Gonzalez-Bown, MJ; Carrasco-Malio, A; Spencer, E; Sandino, AM</t>
  </si>
  <si>
    <t>Reyes-Cerpa, S.; Gonzalez-Bown, M. J.; Carrasco-Malio, A.; Spencer, E.; Sandino, A. M.</t>
  </si>
  <si>
    <t>Evaluation of the immune and antioxidants response in Atlantic salmon fed with diets supplemented with yeast extract</t>
  </si>
  <si>
    <t>FISH &amp; SHELLFISH IMMUNOLOGY</t>
  </si>
  <si>
    <t>1050-4648</t>
  </si>
  <si>
    <t>10.1016/j.fsi.2013.03.300</t>
  </si>
  <si>
    <t>WOS:000319646100323</t>
  </si>
  <si>
    <t>Ossandón, M; Pereira, A; Bernal, R; Denardin, JC; Escrig, J</t>
  </si>
  <si>
    <t>Ossandon, M.; Pereira, A.; Bernal, R.; Denardin, J. C.; Escrig, J.</t>
  </si>
  <si>
    <t>Dynamics of magnetic microwires suspended in fluids: Magnetostatic forces</t>
  </si>
  <si>
    <t>We have studied theoretically the interaction between two ferromagnetic microwires as a function of their geometrical parameters, such as length and radii. The analytical results has been contrasted with experimental observations of two amorphous Fe77.5Si7.5B15 glass coated microwires (length L = 3 mm and radii R = 7.9 mu m) suspended on the free surface of the liquid (distiller water and ethylene glycol). Then, the resulting dynamics include their magnetostatic interaction and the drag force provided by the viscosity of the liquid.</t>
  </si>
  <si>
    <t>Denardin, Juliano/S-6407-2019; Pereira, Alejandro/X-7172-2018; Bernal, Roberto/E-5275-2011; Escrig, Juan/N-4304-2015</t>
  </si>
  <si>
    <t>Escrig, Juan/0000-0002-3958-8185</t>
  </si>
  <si>
    <t>S</t>
  </si>
  <si>
    <t>WOS:000312353800050</t>
  </si>
  <si>
    <t>Cottet, L; Martin, MCS; Tello, M; Olivares, E; Rivas-Aravena, A; Vallejos, E; Sandino, AM; Spencer, E</t>
  </si>
  <si>
    <t>Cottet, L.; Martin, M. Cortez-San; Tello, M.; Olivares, E.; Rivas-Aravena, A.; Vallejos, E.; Sandino, A. M.; Spencer, E.</t>
  </si>
  <si>
    <t>Bioinformatic Analysis of the Genome of Infectious Salmon Anemia Virus Associated with Outbreaks with High Mortality in Chile</t>
  </si>
  <si>
    <t>JOURNAL OF VIROLOGY</t>
  </si>
  <si>
    <t>The infectious salmon anemia virus (ISAV), an orthomyxovirus, is the major cause of outbreaks of high mortality rates in salmon in Chile. It has been proposed that the virulence of ISAV isolates lies mainly in hemagglutinin-esterase and fusion glycoproteins. However, based on current information, the contribution of other viral genes cannot be ruled out. To study this, we isolated and determined the complete coding sequence of two high-prevalence Chilean isolates associated with outbreaks of high mortality rates: ISAV752_09 and ISAV901_09. These isolates were compared to 15 Norwegian isolates that exhibit differences in their virulence. For this purpose, we performed bioinformatic analyses of (i) functional domains, (ii) specific mutations, (iii) Bayesian phylogenetics, and (iv) structural comparisons between ISAV and influenza virus glycoproteins by using molecular modeling. Phylogenetic analysis shows two genogroups for each protein, one of them containing the Chilean isolates. The gene sequence of the polymerase complex and nucleoprotein indicated that they are closely related to homologues from highly pathogenic Norwegian viruses. Notably, seven of the eight mutations that are present only in the Chilean isolates are on the polymerase complex and nucleoprotein. Structural modeling of hemagglutinin-esterase shows patches of variable residues on its surface. Fusion protein modeling shows that insertions are flexible regions that could affect proteolytic processing, increasing either the accessibility or the number of recognition sites for specific proteases. We found antigenic drift processes related to insertion into the isolated segment 5 of the ISAV752_09. Our results confirm the European origin of Chilean isolates to be the result of reassortments from Norwegian ancestors.</t>
  </si>
  <si>
    <t>Tello, Mario/N-4198-2019; Vallejos-Vidal, Eva/R-9606-2019</t>
  </si>
  <si>
    <t>Vallejos-Vidal, Eva/0000-0002-3091-2700; Tello, Mario/0000-0003-4573-6460; SANDINO, ANA MARIA/0000-0002-3862-3743; Spencer, Eugenio/0000-0001-6109-140X</t>
  </si>
  <si>
    <t>0022-538X</t>
  </si>
  <si>
    <t>1098-5514</t>
  </si>
  <si>
    <t>10.1128/JVI.01202-10</t>
  </si>
  <si>
    <t>WOS:000283420500031</t>
  </si>
  <si>
    <t>Vivanco, F; Melo, F; Fuentes, C</t>
  </si>
  <si>
    <t>Vivanco, Francisco; Melo, Francisco; Fuentes, Claudio</t>
  </si>
  <si>
    <t>GRANULAR FLOW MODELS AND DILATION FRONT PROPAGATION APPLIED TO UNDERGROUND MINING</t>
  </si>
  <si>
    <t>INTERNATIONAL JOURNAL OF BIFURCATION AND CHAOS</t>
  </si>
  <si>
    <t>Underground mining has become a viable alternative method for ore extraction when the operation cost of an open pit mine becomes too high. Its success is based on a good characterization of the rocks flow inside the cave. Kinematic and plasticity models, used in the granular flow description in hoppers, have been adapted to describe the experimental situations aimed at sketching the mine operation. The local packing changes that occur at the early stages of rock motion that significantly affect the flow are considered by introducing a dilation front propagating upward. The dynamics of the dilation front limits the extent of the flow generated by the drawing process allowing the assessment of the loosening zone. Based on the linear character of the kinematic model, it is shown that the loosening zone resulting from the simultaneous extraction at two adjacent draw points is accurately described by the dilation front approach.</t>
  </si>
  <si>
    <t>Melo, Francisco/M-3923-2014; Vivanco, Francisco/AAB-8928-2019</t>
  </si>
  <si>
    <t>Melo, Francisco Esteban/0000-0001-6818-5476</t>
  </si>
  <si>
    <t>0218-1274</t>
  </si>
  <si>
    <t>1793-6551</t>
  </si>
  <si>
    <t>10.1142/S0218127409024979</t>
  </si>
  <si>
    <t>WOS:000272918900024</t>
  </si>
  <si>
    <t>Melo, F; Vivanco, F; Fuentes, C</t>
  </si>
  <si>
    <t>Melo, F.; Vivanco, F.; Fuentes, C.</t>
  </si>
  <si>
    <t>Calculated isolated extracted and movement zones compared to scaled models for block caving</t>
  </si>
  <si>
    <t>INTERNATIONAL JOURNAL OF ROCK MECHANICS AND MINING SCIENCES</t>
  </si>
  <si>
    <t>In this article is presented a comparison between the measured isolated extracted and movement zones from scaled models for block caving, with the corresponding zones calculated from the kinematic and plasticity models. The isolated movement zone is determined by introducing the dilation effect into the kinematic and plasticity models for gravity flow. For both models, we show that the resulting isolated movement zone is similar to the isolated extracted zone scaled by a factor that depends only on the density change taking place during the flow. This result provides analytical support to early observations of Janelid and Kvapil, who found experimentally such relation in a. at bottomed hopper. When comparing the numerical factor obtained with the kinematical model with the estimated by Janelid and Kvapil a difference of 60% is found. This deviation is mainly because of the assumption of same eccentricity assuming by Janelid and Kvapil that is not fulfilled in the kinematic model. On the other hand, the recent results obtained by Castro and collaborators, referred to the height and width of the isolated extracted zone as a function of the accumulated mass drawn and the width dependence on height in both zones, are compared to the corresponding curves predicted by the dilation-plasticity model. The curves obtained are in good agreement with the experimental data for moderate heights below 2 m, where flow remains radial. Remarkably, a unique value of the angle theta(G) limiting the flow is required to fit the whole set of curves obtained by Castro. In this case, the ratio of the height of the movement zone to that of the extracted zone, leads to an estimated density change of 19%. (C) 2008 Elsevier Ltd. All rights reserved.</t>
  </si>
  <si>
    <t>Vivanco, Francisco/AAB-8928-2019; Melo, Francisco/M-3923-2014; Lago-Fuentes, Carlos/J-4361-2019</t>
  </si>
  <si>
    <t>1365-1609</t>
  </si>
  <si>
    <t>10.1016/j.ijrmms.2008.09.012</t>
  </si>
  <si>
    <t>WOS:000264562400008</t>
  </si>
  <si>
    <t>Photopolymerization of 2-hydroxyethyl methacrylate: Effect of the medium properties on the polymerization rate</t>
  </si>
  <si>
    <t>JOURNAL OF POLYMER SCIENCE PART A-POLYMER CHEMISTRY</t>
  </si>
  <si>
    <t>The effect of solvent properties on the polymerization rate of 2-hydroxyethyl methaerylate (HEMA) was examined with the photoreaction of 4,4'-azobis(2-amidinopropane) and photoinduced electron transfer of a thioxanthone derivative and triethanolamine as the radical source. The polymerization rate of HEMA was markedly affected by pH and the medium polarity. The rate increased over a pH range of 6-8. The dependence of the polymerization rate on the amine concentration photoinitiated by the bimolecular system was different in water and acetonitrile as solvents. In aqueous medium, pH 9.5, the rate increased with the amine concentration reaching a constant value at 0.025 M amine; further amine addition inhibited the polymerization. In organic media the inhibition effect was not observed. Triethanolamine addition did not change the polymerization rate photoinitiated by the azo compound. Photochemical studies of the thioxanthone were carried out under the polymerization conditions. These studies allowed us to simulate the dependence of the polymerization rate on the amine concentration. The results are explained in terms of the interaction of the ketone excited states with the amine in the different media. (C) 2003 Wiley Periodicals, Inc.</t>
  </si>
  <si>
    <t>0887-624X</t>
  </si>
  <si>
    <t>10.1002/pola.10776</t>
  </si>
  <si>
    <t>WOS:000184076500008</t>
  </si>
  <si>
    <t>Marín, J; Olivares, L; Ordoñez, S; Martínez, V</t>
  </si>
  <si>
    <t>Salgado, L; Filho, FA</t>
  </si>
  <si>
    <t>Study of the effects of the atmosphere on the wettability of SiC by copper alloys</t>
  </si>
  <si>
    <t>ADVANCED POWDER TECHNOLOGY III</t>
  </si>
  <si>
    <t>MATERIALS SCIENCE FORUM</t>
  </si>
  <si>
    <t>3rd International Latin-American Conference on Powder Technology</t>
  </si>
  <si>
    <t>NOV 26-28, 2001</t>
  </si>
  <si>
    <t>SANTA CATARINA, BRAZIL</t>
  </si>
  <si>
    <t>Assoc Brazilian Ceram</t>
  </si>
  <si>
    <t>Ceramic-metal composite materials (CMC) are a new technology based on present and future applications with a wide range of possible material combinations. CMC materials combine the positive features of ceramics with the toughness and ductility of metallic phases. The development of these materials will extend the application field of structural ceramics up to work temperatures limited by the melting point of the metallic phase. The main step to define compatibility between CMC materials is to determine their physical and chemical interaction mechanisms. The main aim of this work is to evaluate the silicon carbide - copper based alloy system for developing CMC materials. The contact angle between Cu and SiC at 1100degreesC is 140 and the bonding is weak; furthermore, investigations have shown that wettability is improved with Ti additions. Two Cu based alloys containing 3 and S wt% of Ti were used in this work. Wettability was evaluated by the sessile drop method in a vacuum and argon atmosphere at a test temperature of 1200degreesC. The specimens obtained were subsequently characterised by Scanning Electron Microscopy, EDX, DRX and DTA Analysis in order to study the type of interface developed after such treatment. The most important results are related to the differences between atmospheres and Ti diffusion.</t>
  </si>
  <si>
    <t>0255-5476</t>
  </si>
  <si>
    <t>0-87849-912-1</t>
  </si>
  <si>
    <t>416-4</t>
  </si>
  <si>
    <t>10.4028/www.scientific.net/MSF.416-418.481</t>
  </si>
  <si>
    <t>WOS:000182605200079</t>
  </si>
  <si>
    <t>Cubillos, MA; Lissi, EA; Abuin, EB</t>
  </si>
  <si>
    <t>Kinetics of peroxidation of linoleic acid incorporated into DPPC vesicles initiated by the thermal decomposition of 2,2′-azobis(2-amidinopropane) dihydrochloride</t>
  </si>
  <si>
    <t>CHEMISTRY AND PHYSICS OF LIPIDS</t>
  </si>
  <si>
    <t>In a previous work [Chem. Phys. Lipids 104 (2000) 49], we have derived the following rate law for the oxidation of lipids in compartmentalized systems: R-T = (k(1)/k(t))(0.5) k(p) [In](0.5) c(0.5) [LH], where, R-T is the total rate of oxidation, k(1) is the rate constant for the production of free radicals, k(t) and k(p) are the intra-particle rate constants for the termination and propagation sets, respectively, [In] is the concentration of a water-soluble initiator, c is the concentration of particles, and [LH] is the intra-particle concentration of oxidable lipid. In the present work, we have investigated on the applicability of the proposed kinetic rate law for a system where it takes place the oxidation of a reactive lipid incorporated into an inert matrix. With this purpose, we have measured the rate of oxidation of linoleic acid incorporated into dipalmitoylphosphatidylcholine vesicles initiated by the thermal decomposition of 2,2'-azobis(2-amidinopropane) dihydrochloride as a function of the initiator, particles, and intra-particle LH concentrations. The experimentally determined kinetic orders obtained were 0.54 +/-0.02, 0.48 +/-0.05 and 0.83 +/-0.04 for the dependence of the oxidation rate with initiator, particles, and LH intra-particle concentrations, respectively, in agreement with those theoretically predicted. The lower value obtained for the kinetic order in LH is attributed to a change in kt with the increase in oxidable lipid intra-particle concentration. The main point to be emphasized from the results here obtained is that the kinetic rate law for the oxidation of lipids in compartmentalized systems can be significantly different than that observed when to the oxidation takes place in homogeneous solution. (C) 2001 Elsevier Science Ireland Ltd. All rights reserved.</t>
  </si>
  <si>
    <t>0009-3084</t>
  </si>
  <si>
    <t>10.1016/S0009-3084(01)00161-X</t>
  </si>
  <si>
    <t>WOS:000170860800005</t>
  </si>
  <si>
    <t>Rezende, MC; Boza, SS</t>
  </si>
  <si>
    <t>A facile route to 9-phosphorylated neuraminic acid derivatives</t>
  </si>
  <si>
    <t>SYNTHETIC COMMUNICATIONS</t>
  </si>
  <si>
    <t>The phosphitylation of 2-alpha-O-Benzyl-N-acetylneuraminic acid (2) and of the methyl 2-alpha-O-methyl-N-acetylneuraminate (3) with 2-chloro-4H-1,2,3-benzodioxaphosphorin-4-one (4) is described. The reaction affords a ready access to 9-phosphorylated derivatives of N-acetylneuraminic acid (1).</t>
  </si>
  <si>
    <t>0039-7911</t>
  </si>
  <si>
    <t>WOS:000076752100012</t>
  </si>
  <si>
    <t>Palacios, M; Díaz, MM; Aracena, P; Palomino, T; Quintana, N</t>
  </si>
  <si>
    <t>Palacios, Monica; Diaz, Monica Matilde; Aracena, Paulina; Palomino, Tamara; Quintana, Natalia</t>
  </si>
  <si>
    <t>Accompaniment processes, gender focus, and women in alcohol/drug consumption in pregnancy and motherhood: transdisciplinary keys and occupational therapies from the South</t>
  </si>
  <si>
    <t>CADERNOS BRASILEIROS DE TERAPIA OCUPACIONAL-BRAZILIAN JOURNAL OF OCCUPATIONAL THERAPY</t>
  </si>
  <si>
    <t>Preliminary results of a research that seeks to characterize the intervention model of an Intensive Outpatient Program for the treatment of drug and/or alcohol use in pregnant and maternity women of the CRS of the Hospital El Pino, in the commune of San Bernardo, Chile, are presented. The objective is to describe the characteristics of the accompaniment process with a gender approach carried out by the health team working in the program and to consider its transdisciplinary character as keys to improving adherence, reducing dropout rates, favoring therapeutic discharges, promoting autonomy and the exercise of rights. The methodological design corresponds to qualitative research with an emic and intracultural approach, which seeks the point of view within the team. The sample is purposive, and the information was produced through nine participative group interviews with the work teams and an individual semi-structured interview with the head of the program, carrying out a thematic analysis of the experiences shared. The results indicate that the accompaniments from a gender and human rights perspective favor transdisciplinary work, key aspects to reduce equity gaps, and favor access to health for women in vulnerable conditions. Being the occupational therapies from the south are important to enhance these processes.</t>
  </si>
  <si>
    <t>Díaz Leiva, Mónica/JQX-0229-2023</t>
  </si>
  <si>
    <t>Palomino Araneda, Tamara/0000-0003-2736-4659; Palacios Tolvett, Monica/0000-0001-5686-8237; Diaz Leiva, Monica/0000-0001-7235-8077</t>
  </si>
  <si>
    <t>2526-8910</t>
  </si>
  <si>
    <t>e3228</t>
  </si>
  <si>
    <t>10.1590/2526-8910.ctoAO246732282</t>
  </si>
  <si>
    <t>WOS:001124025400019</t>
  </si>
  <si>
    <t>Martínez, VA; Lozano-Steinmetz, F; Vasco, DA; Zapata, PA; Chi-Durán, I; Singh, DP</t>
  </si>
  <si>
    <t>Martinez, Victor A.; Lozano-Steinmetz, Felipe; Vasco, Diego A.; Zapata, Paula A.; Chi-Duran, Ignacio; Pratap Singh, Dinesh</t>
  </si>
  <si>
    <t>Thermal characterization and stability analysis of aqueous ZnO-based nanofluids numerically implemented in microchannel heat sinks</t>
  </si>
  <si>
    <t>THERMAL SCIENCE AND ENGINEERING PROGRESS</t>
  </si>
  <si>
    <t>Water-based nanofluids prepared with ZnO nanoparticles (&lt;= 17 nm) were characterized. The thermal conductivity and viscosity were measured as a function of temperature (278-303 K), for two ZnO concentration (1wt% and 3wt%) establishing that, whereas the nanofluid prepared with a concentration of 1wt% registered an average improvement of the thermal conductivity of 10.31% at a concentration of 3wt%, the viscosity decreased an average of 5.03% respect to the base fluid. An analysis of the stability of these nanofluids was carried out via UV-vis, finding that for a concentration of 3wt% the stability is better, since it requires 168 h to decrease its absorbance in the same amount as the sample of 1wt%. Additionally, the laminar three-dimensional flow of these nanofluids has been numerically studied considering symmetric microchannels (200 &lt;= Re &lt;= 1200) of fixed-width rectangular cross-section (283 mu m) and three different heights (200 mu m, 600 mu m, and 400 mu m), subjected to a constant heat flux in the lower wall (50 W/cm(2)). The microchannels have been simulated considering the properties of the nanofluid variable with respect to temperature through experimentally determined models (for 1wt% and 3wt%), finding that thermal conductivity improves mostly for a concentration of 1wt%, registering an increase in average 10.31% in the studied temperature range.The numerical results showed that the use of nanofluids favors heat transfer at low Reynolds numbers with the maximum improvement in the coefficient of heat transfer by convection (42.33%). A decrease in temperature of the base of the microchannel is also observed, which is more significant at low Reynolds numbers for a concentration of 1wt%. In the case of MCH-1 with Re = 200, the decrease in the mean temperature of the lower wall is 5.65% (20.45 K), a value that decreases to 0.90% (2.94 K) for Re = 1200. This configuration also offers the highest net heat gain, considering the increase in the coefficient of friction produced by the incorporation of ZnO nanoparticles. Finally considering the experimental studies of the thermal properties and stability of nanofluids, and the numerical results associated with the thermal and fluid-dynamic performance of the microchannels, a methodology is proposed to carry out a comprehensive approach to the application of nanofluids in microchannels.</t>
  </si>
  <si>
    <t>Vasco, Diego/Y-2934-2019; SINGH, DINESH/A-2509-2011</t>
  </si>
  <si>
    <t>Vasco, Diego Andres/0000-0001-7456-4683; SINGH, DINESH/0000-0002-2893-7749; Lozano-Steinmetz, Felipe/0000-0002-5752-285X; Zapata, Paula Andrea/0000-0003-3361-6226; Martinez, Victor A./0000-0002-1750-8180</t>
  </si>
  <si>
    <t>2451-9049</t>
  </si>
  <si>
    <t>MAY 1</t>
  </si>
  <si>
    <t>10.1016/j.tsep.2020.100792</t>
  </si>
  <si>
    <t>WOS:000624915700005</t>
  </si>
  <si>
    <t>Dintrans, PV; Izquierdo, C; Guzmán, R; Gálvez, MJ; Santander, S</t>
  </si>
  <si>
    <t>Dintrans, Pablo Villalobos; Izquierdo, Catalina; Guzman, Rene; Galvez, Maria Jose; Santander, Sylvia</t>
  </si>
  <si>
    <t>Defining 'older people' in Chile: challenges in planning policies for ageing populations</t>
  </si>
  <si>
    <t>HEALTH POLICY AND PLANNING</t>
  </si>
  <si>
    <t>The concept of older adult is extensively used in day-to-day discussions and public policy. Nonetheless, concrete operational definitions are scarce. This poses a challenge for policymakers when designing initiatives targeted to this population. Chronological age has been traditionally used as the sole criteria for identifying older people (OP). However, there is no consensus about what is the age that should define an elderly. The issue became evident when, in 2018, the Chilean Ministry of Health started a planning process to coordinate health initiatives for OP. Two thresholds had been commonly used-60 and 65 years-and the differences between choosing one and the other were significant. This article intends to structure the debate around age thresholds and the definition of OP in Chile, presenting information and evidence to guide decision-makers when deciding about the issue. Information was based on international guidelines and definitions, laws and practice in the country and epidemiological data. The analysis shows a lack of consensus when dealing with the definition of OP using age thresholds at every level. Results highlight the difficulty of using age as a guide for designing policies for OP and call for a more holistic way for identifying OP as beneficiaries of targeted programmes, considering the heterogeneity of this population and the availability of information. This debate is much needed in many countries that, like Chile, will experience significant demographic changes and face the challenges of healthy ageing.</t>
  </si>
  <si>
    <t>Dintrans, Pablo/AAM-6248-2020</t>
  </si>
  <si>
    <t>0268-1080</t>
  </si>
  <si>
    <t>1460-2237</t>
  </si>
  <si>
    <t>10.1093/heapol/czaa113</t>
  </si>
  <si>
    <t>WOS:000634550300009</t>
  </si>
  <si>
    <t>NEW WORLD GROUP SCHOOL</t>
  </si>
  <si>
    <t>WOS:000608865900010</t>
  </si>
  <si>
    <t>Márquez, SL; Atalah, J; Blamey, JM</t>
  </si>
  <si>
    <t>Marquez, Sebastian L.; Atalah, Joaquin; Blamey, Jenny M.</t>
  </si>
  <si>
    <t>Characterization of a novel thermostable (S)-amine-transaminase from an Antarctic moderately-thermophilic bacterium Albidovulum sp. SLM16</t>
  </si>
  <si>
    <t>ENZYME AND MICROBIAL TECHNOLOGY</t>
  </si>
  <si>
    <t>Amine-transaminases (ATAs) are enzymes that catalyze the reversible transfer of an amino group between primary amines and carbonyl compounds. They have been widely studied in the last decades for their application in stereoselective synthesis of chiral amines, which are one of the most valuable building blocks in pharmaceuticals manufacturing. Their excellent enantioselectivity, use of low-cost substrates and no need for external cofactors has turned these enzymes into a promising alternative to the chemical synthesis of chiral amines. Nevertheless, its application at industrial scale remains limited mainly because most of the available ATAs are scarcely tolerant to harsh reaction conditions such as high temperatures and presence of organic solvents. In this work, a novel (S)-ATA was discovered in a thermophilic bacterium, Albidovulum sp. SLM16, isolated from a geothermal Antarctic environmental sample, more specifically from a shoreline fumarole in Deception Island. The transaminase-coding gene was identified in the genome of the microorganism, cloned and overexpressed in Escherichia coli for biochemical characterization. The activity of the recombinant ATA was optimal at 65 degrees C and pH 9.5. Molecular mass estimates suggest a 75 kDa homodimeric structure. The enzyme turned out to be highly thermostable, maintaining 80% of its specific activity after 5 days of incubation at 50 degrees C. These results indicate that ATA_SLM16 is an excellent candidate for potential applications in biocatalytic synthesis. To the best of our knowledge, this would be the first report of the characterization of a thermostable (S)-ATA discovered by means of in vivo screening of thermophilic microorganisms.</t>
  </si>
  <si>
    <t>Atalah, Joaquin/0000-0002-8057-1035; Blamey, Jenny/0000-0002-7640-316X</t>
  </si>
  <si>
    <t>0141-0229</t>
  </si>
  <si>
    <t>1879-0909</t>
  </si>
  <si>
    <t>10.1016/j.enzmictec.2019.109423</t>
  </si>
  <si>
    <t>WOS:000496607400028</t>
  </si>
  <si>
    <t>Lenta, RM; Martínez, SU; Menichetti, RU; Gengler, RA</t>
  </si>
  <si>
    <t>Martinic Lenta, Rodolfo; Urzua Martinez, Sergio; Ubeda Menichetti, Ricardo; Aranda Gengler, Roxana</t>
  </si>
  <si>
    <t>Process evaluation of a university English blended learning program</t>
  </si>
  <si>
    <t>RIED-REVISTA IBEROAMERICANA DE EDUCACION A DISTANCIA</t>
  </si>
  <si>
    <t>In the context of current globalization, universities face demands for internationalization that involve providing students training oriented to the development of professional skills, among which the acquisition of a second language has a central importance. In the last few years, the University of Santiago de Chile has implemented a program of English Blended Learning in arcareers of eight faculties, whose objective is to develop linguistic and communicative skills at an intermediate level. For this purpose, the program consists of three pedagogical components: classrooms lessons, tutoring and an on-line platform. At the end of 2017 and the beginning of 2018, a process evaluation was carried out that sought to know, from the perspective of those immediately involved, how the program had been implemented, emphasizing the progress towards the fulfillment of its objectives. The data collection considered three techniques: a survey about the learning experience of the students (N = 780), a focus group with the teachers of the program and semi-structured interviews with coordinators or heads of the University. The main findings show a positive evaluation of the program when each component is observed by itself. However, the analysis of the integration between these reveals four critical tensions related to: the guidance on autonomous work, the managing of the assignment of tutorials, the transition from the pedagogical contents of the platform to the class and the functional differentiation between the components of the program.</t>
  </si>
  <si>
    <t>URZÚA MARTÍNEZ, SERGIO/AGZ-7197-2022</t>
  </si>
  <si>
    <t>1138-2783</t>
  </si>
  <si>
    <t>1390-3306</t>
  </si>
  <si>
    <t>10.5944/ried.22.2.23124</t>
  </si>
  <si>
    <t>WOS:000472721400016</t>
  </si>
  <si>
    <t>Contreras, F; Cruz, N; Palma, G</t>
  </si>
  <si>
    <t>Contreras, F.; Cruz, N.; Palma, G.</t>
  </si>
  <si>
    <t>Bouncing solutions from generalized EoS</t>
  </si>
  <si>
    <t>EUROPEAN PHYSICAL JOURNAL C</t>
  </si>
  <si>
    <t>We present an exact analytical bouncing solution for a closed universe filled with only one exotic fluid with negative pressure, obeying a generalized equation of state (GEoS) of the form p(rho) = A rho+ B rho(lambda), where A, B and lambda are constants. In our solution A = -1/3, lambda = 1/2, and B &lt; 0 is kept as a free parameter. For particular values of the initial conditions, we find that our solution obeys the null energy condition (NEC), which allows us to reinterpret the matter source as that of a real scalar field, phi, with a positive kinetic energy and a potential V(phi). We numerically compute the scalar field as a function of time as well as its potential V(phi), and we find an analytical function for the potential that fits very accurately with the numerical data obtained. The shape of this potential can be well described by a Gaussian-type of function, and hence there is no spontaneous symmetry minimum of V(phi). We show numerically that the bouncing scenario is structurally stable in a small vicinity of the value A = -1/3. We also include the study of the evolution of the linear fluctuations due to linear perturbations in the metric. These perturbations show an oscillatory behavior near the bouncing and approach a constant at large scales.</t>
  </si>
  <si>
    <t>1434-6044</t>
  </si>
  <si>
    <t>1434-6052</t>
  </si>
  <si>
    <t>10.1140/epjc/s10052-017-5388-2</t>
  </si>
  <si>
    <t>WOS:000417102100003</t>
  </si>
  <si>
    <t>Padilla, FP</t>
  </si>
  <si>
    <t>Tapia, PC; Castilho, MM</t>
  </si>
  <si>
    <t>Pairican Padilla, Fernando</t>
  </si>
  <si>
    <t>In the ancient clock: an approach to the Mapuche Temporality</t>
  </si>
  <si>
    <t>CLAROSCURO DEL DEBATE: PUEBLOS INDIGENAS, COLONIALISMO Y SUBALTERNIDAD EN AMERICA DEL SUR. SIGLOS XX Y XXI</t>
  </si>
  <si>
    <t>978-956-8416-46-1</t>
  </si>
  <si>
    <t>WOS:000401436600007</t>
  </si>
  <si>
    <t>Cifuentes, G; Guajardo, N; Hernández, J</t>
  </si>
  <si>
    <t>Cifuentes, G.; Guajardo, N.; Hernandez, J.</t>
  </si>
  <si>
    <t>RECOVERY OF HYDROCHLORIC ACID FROM ION EXCHANGE PROCESSES BY REACTIVE ELECTRODIALYSIS</t>
  </si>
  <si>
    <t>The purification process of electrolytes contaminated from electrorefining consists in placing them in contact with an ion exchange resin which can function continuously due to its reconditioning with hydrchloric acid. The treatment of the resultant solution, known as elution, consists in doing a fractional distillation releasing hydrochloric acid and gaseous chlorine. The release of these represents most of the operational problems in the electrolyte treatment plant. This paper proposes an alternative to this distillation process, using a reactive electrodialysis cell and cation and anion exchange membranes.</t>
  </si>
  <si>
    <t>Hernandez, Jose/AAN-8792-2020; Cifuentes, Gerardo/AAS-2148-2021</t>
  </si>
  <si>
    <t>10.4067/S0717-97072015000400015</t>
  </si>
  <si>
    <t>WOS:000373368100015</t>
  </si>
  <si>
    <t>Correa, F; Plyushchay, MS</t>
  </si>
  <si>
    <t>Correa, Francisco; Plyushchay, Mikhail S.</t>
  </si>
  <si>
    <t>Self-isospectral tri-supersymmetry in PT-symmetric quantum systems with pure imaginary periodicity</t>
  </si>
  <si>
    <t>ANNALS OF PHYSICS</t>
  </si>
  <si>
    <t>We study a reflectionless PT-symmetric quantum system described by the pair of complexified Scarf II potentials mutually displaced in the half of their pure imaginary period. Analyzing the rich set of intertwining discrete symmetries of the pair, we find an exotic supersymmetric structure based on three matrix differential operators that encode all the properties of the system, including its reflectionless (finite-gap) nature. The structure we revealed particularly sheds new light on the splitting of the discrete states into two families, related to the bound and resonance states in Hermitian Scarf II counterpart systems, on which two different series of irreducible representations of sl(2, C) are realized. (C) 2012 Elsevier Inc. All rights reserved.</t>
  </si>
  <si>
    <t>Correa, Francisco/S-4564-2018</t>
  </si>
  <si>
    <t>Correa, Francisco/0000-0003-1735-2822</t>
  </si>
  <si>
    <t>0003-4916</t>
  </si>
  <si>
    <t>1096-035X</t>
  </si>
  <si>
    <t>10.1016/j.aop.2012.03.004</t>
  </si>
  <si>
    <t>WOS:000304507700017</t>
  </si>
  <si>
    <t>Dufey, M; Fernandez, AM</t>
  </si>
  <si>
    <t>Dufey, Michele; Maria Fernandez, Ana</t>
  </si>
  <si>
    <t>Validity and reliability of the Positive Affect and Negative Affect Schedule (PANAS) in Chilean college students</t>
  </si>
  <si>
    <t>REVISTA IBEROAMERICANA DE DIAGNOSTICO Y EVALUACION-E AVALIACAO PSICOLOGICA</t>
  </si>
  <si>
    <t>The present study is focused on the assessment of the psychometric properties of the Positive Affect and Negative Affect Schedule (PANAS; Watson, Clark, &amp; Tellegen, 1988), one of the most recurring affectivity measures in international research, in a Chilean college sample, aiming at confirming the findings reported on the original validation study. After a backward translation of the instrument from English-to-Spanish, a pilot study was conducted which results oriented the elaboration of the final version of the PANAS, applied to a college sample of different careers (n = 437). The results yielded appropriate internal consistency and test-retest reliability of the PANAS, in agreement with the previous evidence. This allows concluding that the PANAS is in line with the psychometric requirements established for its application in the validation context.</t>
  </si>
  <si>
    <t>Dufey, Michele/E-1358-2011; Fernández, Ana/E-6429-2011</t>
  </si>
  <si>
    <t>2183-6051</t>
  </si>
  <si>
    <t>WOS:000315670800008</t>
  </si>
  <si>
    <t>Cotoras, M; Mendoza, L; Muñoz, A; Yáñez, K; Castro, P; Aguirre, M</t>
  </si>
  <si>
    <t>Cotoras, Milena; Mendoza, Leonora; Munoz, Alexis; Yanez, Karen; Castro, Paulo; Aguirre, Maria</t>
  </si>
  <si>
    <t>Fungitoxicity against Botrytis cinerea of a Flavonoid Isolated from Pseudognaphalium robustum</t>
  </si>
  <si>
    <t>MOLECULES</t>
  </si>
  <si>
    <t>Pseudognaphalium robustum was analyzed. Two absorption column chromatographies and one semipreparative thin layer chromatography were used to purify the active flavonoid. It was determined, by (1)H-NMR spectroscopy and co-elution with standards in HPLC, that this compound was 5,7-dihydroxy-3,8-dimethoxyflavone (gnaphaliin A). To determine the fungitoxicity of the purified compound, the effect on in vitro mycelial growth and conidial germination was studied. The compound concentration that reduced mycelial growth by 50% was 45.5 mu g/mL. This compound also partially affected conidial germination of B. cinerea, reduced oxygen consumption by germinating conidia and affected the integrity of plasma membrane. Finally, using cyclic voltammetry, it was shown that the purified flavone had a pro-oxidant effect.</t>
  </si>
  <si>
    <t>Yanez, Karen/KII-3045-2024; Aguirre, Maria/A-3935-2013</t>
  </si>
  <si>
    <t>YANEZ ARELLANO, KAREN DEL PILAR/0000-0001-8232-8218; Aguirre, Maria/0000-0003-1134-4469</t>
  </si>
  <si>
    <t>1420-3049</t>
  </si>
  <si>
    <t>10.3390/molecules16053885</t>
  </si>
  <si>
    <t>WOS:000290955800032</t>
  </si>
  <si>
    <t>Castillo, D; Sepúlveda, C; Cardemil, E; Jabalquinto, AM</t>
  </si>
  <si>
    <t>Castillo, Daniel; Sepulveda, Carolina; Cardemil, Emilio; Jabalquinto, Ana M.</t>
  </si>
  <si>
    <t>Functional evaluation of serine 252 of Saccharomyces cerevisiae phosphoenolpyruvate carboxykinase</t>
  </si>
  <si>
    <t>Saccharomyces cerevisiae phosphoenolpyruvate (PEP) carboxykinase mutant Ser252Ala, affecting the conserved Walker A serine residue, was characterized to elucidate the role of this serine residue. The substitution did not result in changes in the protein structure, as indicated by circular dichroism, intrinsic fluorescence spectroscopy, and gel-exclusion chromatography. Kinetic analysis of the mutated enzyme in both directions of the main reaction and in the two secondary reactions showed an approximately 50-fold increase in apparent K-m, for oxaloacetate with minor alterations in the other kinetic parameters. These results show that the hydroxyl group of serine 252 is required for proper oxaloacetate interaction. (C) 2008 Elsevier Masson SAS. All rights reserved.</t>
  </si>
  <si>
    <t>Castillo, Daniel/0000-0002-1612-5401</t>
  </si>
  <si>
    <t>10.1016/j.biochi.2008.10.005</t>
  </si>
  <si>
    <t>WOS:000263813300015</t>
  </si>
  <si>
    <t>Pizarro, J; Rubio, MA; Matta, A</t>
  </si>
  <si>
    <t>Pizarro, Jaime; Angelica Rubio, M.; Matta, Alicia</t>
  </si>
  <si>
    <t>DIFUSSION OF Fe, Mn, Mo AND Sb IN THE SEDIMENT-WATER INTERFACE OF A SHALLOW LAKE, LAGUNA CAREN, SANTIAGO (CHILE)</t>
  </si>
  <si>
    <t>FRESENIUS ENVIRONMENTAL BULLETIN</t>
  </si>
  <si>
    <t>A study was made in Laguna Caren, a small shallow freshwater system located 20 km from downtown Santiago, Chile, of the behavior of some chemical species in porewater. Manganese, iron, molybdenum, antimony, sulfide and phosphate profile concentrations were determined. Diffusive fluxes through the sediment-water interface were obtained by diffusive dialysis. The behavior of metal species like Fe and Mn was opposite to that of Mo and Sb. Dissolved Fe and Mn showed decreasing concentrations from -6.0 cm to 0.0 cm, while those of Mo and Sb increased at this depth. The results obtained in the sediment-water interface of Laguna Caren indicate the availability of soluble species of Fe(II) and Mn by diffusive transport to the overlying waters, whereas Mo and Sb species are not available in this zone. The fluxes were (in pmol cm(-2) s(-1)) as follows: Fe(II): 0.05; Mn: 0.28; Mo: -1.2 x 10(-4); Sb: -3.9 x 10(-4).</t>
  </si>
  <si>
    <t>1018-4619</t>
  </si>
  <si>
    <t>1610-2304</t>
  </si>
  <si>
    <t>WOS:000274093100012</t>
  </si>
  <si>
    <t>Mallol, J; Castro-Rodriguez, JA; Cortez, E; Aguirre, V; Aguilar, P; Barrueto, L</t>
  </si>
  <si>
    <t>Mallol, J.; Castro-Rodriguez, J. A.; Cortez, E.; Aguirre, V.; Aguilar, P.; Barrueto, L.</t>
  </si>
  <si>
    <t>Heightened bronchial hyperresponsiveness in the absence of heightened atopy in children with current wheezing and low income status</t>
  </si>
  <si>
    <t>THORAX</t>
  </si>
  <si>
    <t>Background: Although global studies such as the International Study of Asthma and Allergies in Childhood (ISAAC) have provided valuable data on the prevalence of asthma in children in Latin America, there is little information on the relationship between asthma symptoms, pulmonary function, bronchial hyperresponsiveness (BHR) and atopy in the region. Methods: This study examined the relationship between self-reported wheezing in the past 12 months, pulmonary function, airway responsiveness and atopy in children from a low income population in a neighbourhood of Santiago, Chile. Two random samples (100 each) of children aged 13-14 years who participated in ISAAC phase I were selected according to whether or not they reported wheezing in the past 12 months. Spirometry, the methacholine bronchial challenge test and the prick test were performed in all individuals. Results: Children who reported current wheezing had significantly higher BHR to methacholine compared with those without wheezing (71.6% vs 52.6%; p = 0.007) and no significant difference was found in forced expiratory volume in 1 s (116.7 (12.3)% vs 120.3 (14.5%); p = 0.11). The prevalence of atopy was not significantly different between those children who reported wheezing compared with those who did not (44.2% vs 42.3%; p = 0.89). Multiple regression analysis showed that only BHR to methacholine (OR 2.72, 95% CI 1.25 to 4.13; p = 0.01) and maternal asthma (OR 3.1, 95% CI 1.2 to 8.3, p = 0.03) were significant risk factors for current wheezing. Conclusions: Our results support previous findings suggesting that in adolescents from underprivileged populations, self-reported current wheezing is related to BHR but not to atopy.</t>
  </si>
  <si>
    <t>Castro-Rodriguez, Jose/ABA-2760-2021</t>
  </si>
  <si>
    <t>Castro-Rodriguez, Jose A./0000-0002-0708-4281; Mallol, Javier/0000-0003-2528-8672</t>
  </si>
  <si>
    <t>0040-6376</t>
  </si>
  <si>
    <t>10.1136/thx.2006.063180</t>
  </si>
  <si>
    <t>WOS:000252718500015</t>
  </si>
  <si>
    <t>Muena, JP; Villagrán, M; Costamagna, J; Aguirre, MJ</t>
  </si>
  <si>
    <t>Muena, J. P.; Villagran, M.; Costamagna, J.; Aguirre, M. J.</t>
  </si>
  <si>
    <t>Dinaphthotetraaza[14]annulene copper(II) complexes in the electrocatalytic reduction of carbon dioxide and bisulfite anion</t>
  </si>
  <si>
    <t>JOURNAL OF COORDINATION CHEMISTRY</t>
  </si>
  <si>
    <t>A modified synthetic route for the complexes [Cu(II)5,7,12,14-tetramethyldinaphtho [b,i][1,4,8,11]tetraaza[14]annulene], [Cu(II)tmdnTAA], and [Cu(II) 5,7,12,14-tetramethyl-6,13-dichloro-dinaphtho[b,i][1,4,8,11]tetraaza[14]annulene], [Cu(II)dCltmdnTAA], is presented in this work. The electrochemical characterization of both complexes and their precursors, [bis(2,4-pentanedionato)copper(II)], [Cu(II)(acac)2] and [bis(3-chloro-2,4-pentanedionato)copper(II)], [Cu(II)(3-Cl-acac)2], respectively, under nitrogen and carbon dioxide is also presented. The voltammetric response of [Cu(II)(acac)2] and [Cu(II)(3-Cl-acac)2] are different compared to [Cu(II)tmdnTAA] and [Cu(II)dCltmdnTAA] under nitrogen. Precursors show the reduction of Cu(I) to Cu(0) and the tetraazadinaphtho[14]annulene complexes do not. The chlorine substituted complex has a lower reduction potential than the unsubstituted homologue under nitrogen atmosphere. However, the contrary response is obtained in the presence of carbon dioxide: the unsubstituted complex is more catalytic in terms of potential because the current discharge appears 270 mV shifted to the anodic region. These facts can be explained in terms of electronic and steric effects. The modified electrode obtained by oxidative electropolymerization of [Cu(II)tmdnTAA] over glassy carbon electrode presented a suitable amperometric response for the sulfite reduction in acidic medium (pH = 2.7). A linear correlation was observed for the catalytic current and sulfite concentration between 0.6-6.0 mM range.</t>
  </si>
  <si>
    <t>Aguirre, Maria/A-3935-2013</t>
  </si>
  <si>
    <t>Aguirre, Maria/0000-0003-1134-4469</t>
  </si>
  <si>
    <t>0095-8972</t>
  </si>
  <si>
    <t>1029-0389</t>
  </si>
  <si>
    <t>10.1080/00958970701370559</t>
  </si>
  <si>
    <t>WOS:000253265700001</t>
  </si>
  <si>
    <t>Pávez, P; Encinas, MV</t>
  </si>
  <si>
    <t>Pavez, Paulina; Encinas, Maria Victoria</t>
  </si>
  <si>
    <t>Photophysics and photochemical studies of.1,4-dihydropyridine derivatives</t>
  </si>
  <si>
    <t>PHOTOCHEMISTRY AND PHOTOBIOLOGY</t>
  </si>
  <si>
    <t>The absorption and fluorescence properties of nifedipine (NPDHP), felodipine (CPDHP) and a series of structurally related 1,4-dihydropyridines were studied in aqueous solution and organic solvents of different properties. The absorption and fluorescence spectra were found to depend on the chemical nature of the substituents at the position 4 of the 1,4-dihydropyridine ring (DHP) and on solvent properties. In aqueous solution, the fluorescence spectra of 4-phenyl substituted compounds are blue-shifted with respect to the alkyl substituted compounds. The more fluorescent compound is CPDHP. Nifedipine is not fluorescent. All compounds, with the exception of CPDHP, present monoexponential fluorescence decay with very short lifetime (0.2-0.4 ns). CPDHP showed a biexponential emission decay with a long-lived component of 1.7 ns; this behavior is explained in terms of different conformers because of the hindered rotation of the phenyl group by the ortho-substitution. Analysis of the solvent effect on the maximum of the absorption spectrum by using the linear solvent-energy relation solvato-chromic equation indicates the redshifts are influenced by the polarizability, hydrogen bonding ability and the hydrogen bond acceptance of the solvent. Whereas, the fluorescence characteristics (spectra, quantum yields and lifetimes) are sensitive to the polarizabilty and hydrogen bond ability of the solvents. Photodecomposition of nifedipine is dependent on the solvent properties. Faster decomposition rates were obtained in nonprotic solvents. The 4-carboxylic derivative goes to decarboxylation. Under similar conditions, the other DHP compounds did not show appreciable photodecomposition.</t>
  </si>
  <si>
    <t>Encinas, Maria/L-9686-2014; Pavez, Paulina/O-4122-2015</t>
  </si>
  <si>
    <t>Pavez, Paulina/0000-0002-8891-3802</t>
  </si>
  <si>
    <t>0031-8655</t>
  </si>
  <si>
    <t>10.1562/2006-05-22-RA-898</t>
  </si>
  <si>
    <t>WOS:000247327400035</t>
  </si>
  <si>
    <t>Saez, A; Vivanco, F; Melo, F</t>
  </si>
  <si>
    <t>Size segregation, convection, and arching effect</t>
  </si>
  <si>
    <t>We present a numerical study based on the contact dynamic procedure for the size segregation in a two-dimensional vibrating container. In agreement with previous studies, we find that the rising of the larger particle is accompanied by convection rolls. However, at low enough acceleration, rolls do not penetrate the entire cell and a local vault mechanism is observed, in which the larger particle moves up by steps. This mechanism, described in experiments by Duran and co-workers [Phys. Rev. E. 50, 5138 (1994)], occurs in a very narrow region of parameter space. Once the larger intruder reaches the exponential tail of convecting roll, its vertical motion becomes continuous and the corresponding rising speed is dramatically increased.</t>
  </si>
  <si>
    <t>Vivanco, Francisco/AAB-8928-2019; Melo, Francisco/M-3923-2014</t>
  </si>
  <si>
    <t>10.1103/PhysRevE.72.021307</t>
  </si>
  <si>
    <t>WOS:000231564000023</t>
  </si>
  <si>
    <t>Alvarez, J; Encinas, M; Lissi, EA</t>
  </si>
  <si>
    <t>Solvent effects on the rate of polymerization of 2-hydroxyethyl methacrylate photoinitiated with aliphatic azo compounds</t>
  </si>
  <si>
    <t>MACROMOLECULAR CHEMISTRY AND PHYSICS</t>
  </si>
  <si>
    <t>The rate of polymerization (R-p) of 2-hydroxyethyl methacrylate, at low conversion, using aliphatic azo compounds as photoinitiators is considerably faster in water than in acetonitrile as a solvent. Active radical production in different solvents was analysed in detail. The quantum yield of active radicals showed only a minor dependence on the medium properties. These differences are due to changes in primary radical recombination reactions and they are unrelated to changes of R-p observed in different media. By employing intermittent illumination techniques, it is shown that the increased R-p in aqueous solution is due to a reduced rate of termination. Similar propagation rate constants were obtained in acetonitrile and water, whereas the termination rate constant increases by one order of magnitude when acetonitrile is employed instead of water. These results are discussed in terms of the effect of the cosolvent on the medium viscosity and the macroradical conformation.</t>
  </si>
  <si>
    <t>1022-1352</t>
  </si>
  <si>
    <t>10.1002/(SICI)1521-3935(19991001)200:10&lt;2411::AID-MACP2411&gt;3.0.CO;2-G</t>
  </si>
  <si>
    <t>WOS:000083050000031</t>
  </si>
  <si>
    <t>FAJARDO, V; GARRIDO, M; CASSELS, BK</t>
  </si>
  <si>
    <t>CALAFATIMINE, A NEW IMINO BISBENZYLISOQUINOLINE ALKALOID</t>
  </si>
  <si>
    <t>HETEROCYCLES</t>
  </si>
  <si>
    <t>Fajardo, Virgilio/HMD-5427-2023; Cassels, Bruce/H-6937-2013</t>
  </si>
  <si>
    <t>0385-5414</t>
  </si>
  <si>
    <t>10.3987/S-1981-02-1137</t>
  </si>
  <si>
    <t>WOS:A1981LD42100082</t>
  </si>
  <si>
    <t>Ruiz-Bravo, L; Granados-Tavera, K; Cardenas-Jiron, G</t>
  </si>
  <si>
    <t>Ruiz-Bravo, Lisette; Granados-Tavera, Kevin; Cardenas-Jiron, Gloria</t>
  </si>
  <si>
    <t>Adsorption of Hg(II) from aqueous solutions on β-zeolite: Theoretical-experimental proposal for the surface interaction mechanism and the formation of metal complexes</t>
  </si>
  <si>
    <t>MICROPOROUS AND MESOPOROUS MATERIALS</t>
  </si>
  <si>
    <t>A beta-zeolite (Z beta) was synthesized and characterized using X-ray diffraction (XRD), scanning electron microscopy (SEM), atomic absorption spectroscopy, nitrogen adsorption-desorption isotherms, thermogravimetric analysis (TG-DTA), and attenuated total reflectance Fourier transform infrared spectroscopy (ATR-FTIR). The material exhibited a Si/Al ratio of 23.3, a BET surface area of 619 m2/g, and a predominantly microporous structure. The adsorption of Hg(II) onto Z beta was rapid, reaching equilibrium within 40 min. Kinetic analysis best fitted the pseudo-second order model, indicating chemisorption on active sites, while the Freundlich isotherm suggested multilayer adsorption on heterogeneous surfaces. ATR-FTIR analysis suggests the involvement of silanol groups in the adsorption mechanism. After Hg(II) adsorption, the intensity of the hydroxyl (-OH) band at 3370 cm-1 decreased significantly, indicating interaction with the metal ions. Theoretical calculations further elucidated the adsorption mechanism, showing the formation of inner and outer sphere complexes. The inner sphere complex involved direct coordination between Hg(II) and silanol groups, while the outer sphere complex was stabilized by hydrogen bonding. The calculated reaction energies (-0.6 and-2.1 eV) supported the thermodynamic feasibility of these interactions. Density functional theory (DFT) and Ab initio molecular dynamics (AIMD) simulations revealed a significant bandgap reduction upon mercury adsorption, confirming strong electronic interactions. These findings highlight the efficiency of Z beta for Hg(II) removal, particularly at low concentrations. The combined experimental and theoretical approach provides valuable insights into the adsorption process, contributing to the design of advanced materials for heavy metal remediation.</t>
  </si>
  <si>
    <t>1387-1811</t>
  </si>
  <si>
    <t>1873-3093</t>
  </si>
  <si>
    <t>JUN 15</t>
  </si>
  <si>
    <t>10.1016/j.micromeso.2025.113642</t>
  </si>
  <si>
    <t>WOS:001476177100001</t>
  </si>
  <si>
    <t>Loyola, CZ; Tasca, F</t>
  </si>
  <si>
    <t>Loyola, Cesar Zuniga; Tasca, Federico</t>
  </si>
  <si>
    <t>Molecular and pyrolyzed penta-coordinated catalysts for the oxygen reduction reaction: A short opinion review on electronic properties and catalytic activity</t>
  </si>
  <si>
    <t>CURRENT OPINION IN ELECTROCHEMISTRY</t>
  </si>
  <si>
    <t>Hydrogen fuel cells are emerging as a sustainable technology for the storage and transformation of chemical energy into electricity. Major problems to the mass diffusion of this technology are related to the sluggish reaction occurring at the cathode where molecular oxygen is reduced to water during the oxygen reduction reaction. The discovery of efficient and durable catalysts based on nonprecious metals is the most important step to improve the mass diffusion of the fuel cell technology. Particularly, iron-based catalysts derived from either molecular penta-coordinated (MN5) or atomically dispersed pyrolyzed MN4+1-C active sites, where Fe metal atoms are coordinated to 5 N atoms, have proved to be more efficient than the tetra coordinated analogous. This short review explores the recent advances for penta-coordinated active sites, from molecular or pyrolyzed nature, to deliver a comparison and an opinion, focusing on electronic properties and how these could affect the reactivity indexes.</t>
  </si>
  <si>
    <t>Tasca, Federico/J-4134-2015; Zúñiga-Loyola, César/AAN-5621-2021</t>
  </si>
  <si>
    <t>Tasca, Federico/0000-0002-4111-4624; Zuniga-Loyola, Cesar/0000-0002-0894-3383</t>
  </si>
  <si>
    <t>2451-9103</t>
  </si>
  <si>
    <t>10.1016/j.coelec.2023.101316</t>
  </si>
  <si>
    <t>JUN 2023</t>
  </si>
  <si>
    <t>WOS:001033463700001</t>
  </si>
  <si>
    <t>Fuentes, KM; Gómez, M; Rebolledo, H; Figueroa, J; Zamora, P; Naranjo-Briceño, L</t>
  </si>
  <si>
    <t>Fuentes, Keyla M. M.; Gomez, Melissa; Rebolledo, Hernan; Miguel Figueroa, Jose; Zamora, Pablo; Naranjo-Briceno, Leopoldo</t>
  </si>
  <si>
    <t>Nanomaterials in the future biotextile industry: A new cosmovision to obtain smart biotextiles</t>
  </si>
  <si>
    <t>FRONTIERS IN NANOTECHNOLOGY</t>
  </si>
  <si>
    <t>For centuries, man has dominated the development of fibers and textiles to make clothing that protects them against environmental adversities, and gradually dissimilar cultural and ethnic identity traits have been created. Our garments are composed of natural elements such as animal leather, vegetable fibers, and synthetic textiles that result in ultra-resistant and durable materials. However, the textile industry has a non-sustainable character mainly because population growth will limit the use of natural resources, such as land and water, exclusively for food. At the same time, petrochemical-derived materials will gradually be replaced by more biodegradable alternatives due to their toxic accumulation in the local environment and their contribution to global climate change. The vast inventiveness of human-being is opening the possibility of replacing our clothes by mimicking, reproducing, and scaling up nature's biosynthetic machinery through cutting-edge biotechnological approaches. Nevertheless, the new cosmovision of biotextiles must meet two requirements: 1) the appearance and performance of the clothes should be preserved to join the current textile market demand, and at the same time, 2) new functionalities should be incorporated into our clothes to embrace the impressive technological advances occurring day to day. In this regard, nanotechnological developments will be able to provide the desired properties so that the textile industry can provide bio-based materials enhanced with nanotechnology-based intelligent functionalities. This perspective article discloses nano-biotechnological approaches to address the challenge of dressing up future societies and new material consciousness.</t>
  </si>
  <si>
    <t>Fuentes, Keyla/GQP-8071-2022; Gómez, Melissa/ABF-3221-2021; Figueroa, Jonine/GWD-1322-2022</t>
  </si>
  <si>
    <t>2673-3013</t>
  </si>
  <si>
    <t>DEC 2</t>
  </si>
  <si>
    <t>10.3389/fnano.2022.1056498</t>
  </si>
  <si>
    <t>WOS:000993469500001</t>
  </si>
  <si>
    <t>Triana, JF; Herrera, F</t>
  </si>
  <si>
    <t>Triana, Johan F.; Herrera, Felipe</t>
  </si>
  <si>
    <t>Ultrafast modulation of vibrational polaritons for controlling the quantum field statistics at mid-infrared frequencies</t>
  </si>
  <si>
    <t>NEW JOURNAL OF PHYSICS</t>
  </si>
  <si>
    <t>Controlling the quantum field statistics of confined light is a long-standing goal in integrated photonics. We show that by coupling molecular vibrations with a confined mid-infrared cavity vacuum, the photocount and quadrature field statistics of the cavity field can be reversibly manipulated over sub-picosecond timescales. The mechanism involves changing the cavity resonance frequency through a modulation of the dielectric response of the cavity materials using femtosecond UV pulses. For a single anharmonic molecular vibration in an infrared cavity under ultrastrong coupling conditions, the pulsed modulation of the cavity frequency can adiabatically produce mid-infrared light that is simultaneously sub-Poissonian and quadrature squeezed, depending on the dipolar behavior of the vibrational mode. For a vibration-cavity system in strong coupling, non-adiabatic polariton excitations can be produced after the frequency modulation pulse is over, when the system is initially prepared in the lower polariton state. We propose design principles for the generation of mid-infrared quantum light by analyzing the dependence of the cavity field statistics on the shape of the electric dipole function of the molecule, the cavity detuning at the modulation peak and the anharmonicity of the Morse potential. Feasible experimental implementations of the modulation scheme are suggested. This work paves the way for the development of molecule-based mid-infrared quantum optical devices at room temperature.</t>
  </si>
  <si>
    <t>Herrera, Felipe/A-8186-2013; Triana, Johan F./AAU-9985-2021</t>
  </si>
  <si>
    <t>Triana, Johan F./0000-0001-9551-3121</t>
  </si>
  <si>
    <t>1367-2630</t>
  </si>
  <si>
    <t>FEB 1</t>
  </si>
  <si>
    <t>10.1088/1367-2630/ac4a17</t>
  </si>
  <si>
    <t>WOS:000753144000001</t>
  </si>
  <si>
    <t>Pizarro, A</t>
  </si>
  <si>
    <t>Pizarro, Ana</t>
  </si>
  <si>
    <t>Reading society through cordel: two cases</t>
  </si>
  <si>
    <t>CARACOL</t>
  </si>
  <si>
    <t>Through a comparison between Brazilian Cordel from the Sertao and the Amazon Rainforest, and Chilean Lira Popular, it is possible to detect similarities in both oral poetic traditions and find their familiarities with medieval poetry arrived in America. Apart from the highlighting of iconic characters, displaced from institutional power, this oral poetry also narrates the exploitation to which ruraland factory workers are subjected.</t>
  </si>
  <si>
    <t>2178-1702</t>
  </si>
  <si>
    <t>2317-9651</t>
  </si>
  <si>
    <t>WOS:000769420900006</t>
  </si>
  <si>
    <t>Aravena, PR</t>
  </si>
  <si>
    <t>Rosas Aravena, Pedro</t>
  </si>
  <si>
    <t>Political Violence in the Recent History of Chile. Actors and forms in the Chilean transition 1988-1998</t>
  </si>
  <si>
    <t>The following article presents an analysis of the different expressions of the armed resistance sustained between the last years of the dictatorship and the first years of the agreed transition, by the MIR, FPMR and MAPU Lautaro. In this regard, it is recognized that the violence of the period covered is mainly revolutionary political violence (RPV), in the sense of confronting the existing social and political order, representing collective aspirations of a popular nature. In this regard, an analysis of the characteristics of the RPV actions, their actors and a detailed review of the actions undertaken in the period in question are presented.</t>
  </si>
  <si>
    <t>WOS:000706614500035</t>
  </si>
  <si>
    <t>Garcés, M</t>
  </si>
  <si>
    <t>Garces, Mario</t>
  </si>
  <si>
    <t>October 2019: Social uprising in neoliberal Chile</t>
  </si>
  <si>
    <t>JOURNAL OF LATIN AMERICAN CULTURAL STUDIES</t>
  </si>
  <si>
    <t>Garces Duran, Mario/0000-0001-5017-8489</t>
  </si>
  <si>
    <t>1356-9325</t>
  </si>
  <si>
    <t>1469-9575</t>
  </si>
  <si>
    <t>JUL 3</t>
  </si>
  <si>
    <t>10.1080/13569325.2019.1696289</t>
  </si>
  <si>
    <t>JAN 2020</t>
  </si>
  <si>
    <t>WOS:000509425500001</t>
  </si>
  <si>
    <t>Design of a Sextuple Band Microstrip Antenna for wearable applications a WBAN the Low SAR</t>
  </si>
  <si>
    <t>This paper presents a new design of a sextuple band microstrip antenna for wearable applications a WBAN (Wireless Body Area Network) low SAR (Specific Absorption Rate). The proposed antenna consists of L-shaped slots have been determined based on the frequency bands. For the integration of these techniques six frequency bands consisting of the GSM 1.8 GHz, the WLAN standard IEEE 802.11 ah the band 900 MHz, the ISM band 2.4 GHz and 5.7 GHz, and 3.5 GHz band UWB respectively were considered. The proposed antenna is designed with the purpose of obtaining a low SAR models of the human body, considering both the electromagnetic effect and the shell model in human tissues.</t>
  </si>
  <si>
    <t>Ahumada, Cristian/0000-0002-2647-1383</t>
  </si>
  <si>
    <t>WOS:000458417600070</t>
  </si>
  <si>
    <t>Morales, J; Mendoza, L; Cotoras, M</t>
  </si>
  <si>
    <t>Morales, J.; Mendoza, L.; Cotoras, M.</t>
  </si>
  <si>
    <t>Alteration of oxidative phosphorylation as a possible mechanism of the antifungal action of p-coumaric acid against Botrytis cinerea</t>
  </si>
  <si>
    <t>JOURNAL OF APPLIED MICROBIOLOGY</t>
  </si>
  <si>
    <t>AimsThe aim of this study was to analyse the mechanism of action of p-coumaric acid against isolate B0510 of Botrytis cinerea. For this purpose, the effect of this compound on cell membrane, cell wall and oxidative phosphorylation was determined. Induction of oxidative stress triggered by this compound was also studied. Methods and Resultsp-coumaric acid showed antifungal effect on the mycelial growth. Additionally, the compound was able to retard the germination of Botrytis cinerea conidia. The mechanism of action of this compound was analysed using fluorescent probes. p-Coumaric acid did not affect the integrity of cell wall and plasmatic membrane and neither produced oxidative stress. Finally, it was shown that the compound produced an increase in oxygen consumption. Conclusionsp-coumaric acid performs as a mitochondrial uncoupler in B.cinerea. Its role as an uncoupler of oxidative phosphorylation could be explained to its acidic, nonpolar and planar characteristics. These structural and chemical characteristics would favour ability of p-coumaric acid to pass through cellular membranes. Significance and Impact of the StudyPlant secondary metabolites can be used as an alternative way to control phytopathogenic fungi. The knowledge of the action mechanism of these compounds can contribute to design modified molecules with higher antifungal activity.</t>
  </si>
  <si>
    <t>1364-5072</t>
  </si>
  <si>
    <t>1365-2672</t>
  </si>
  <si>
    <t>10.1111/jam.13540</t>
  </si>
  <si>
    <t>WOS:000411292000017</t>
  </si>
  <si>
    <t>de Arbina, AL; Rezende, MC; Aliaga, C</t>
  </si>
  <si>
    <t>Lopez de Arbina, Amaia; Caroli Rezende, Marcos; Aliaga, Carolina</t>
  </si>
  <si>
    <t>Cut-off effect of radical TEMPO derivatives in olive oil-in-water emulsions</t>
  </si>
  <si>
    <t>Three oil-in-water emulsions were prepared from mixtures of olive oil and Tween 20 in water. The effectiveness of a series of radical 2,2,6,6-tetramethylpiperidinoxyl (TEMPO) derivatives of variable lipophilicity in reactions with antioxidant Trolox, and as pyrene-fluorescence quenchers, was compared in the three emulsions. A cut-off effect was observed for the pyrene quenching by the probes, but not for their reaction with Trolox. The results were rationalized in terms of the amphiphobic nature of the probes, and the different locations of probe, pyrene and Trolox in the three-phase microheterogeneous systems. (C) 2016 Elsevier Ltd. All rights reserved.</t>
  </si>
  <si>
    <t>Rezende, Marcos/0000-0003-2040-9009; Aliaga, Carolina/0000-0002-1352-3164</t>
  </si>
  <si>
    <t>JUN 1</t>
  </si>
  <si>
    <t>10.1016/j.foodchem.2016.12.058</t>
  </si>
  <si>
    <t>WOS:000394631400045</t>
  </si>
  <si>
    <t>Echeverría, J; Opazo, J; Mendoza, L; Urzúa, A; Wilkens, M</t>
  </si>
  <si>
    <t>Echeverria, Javier; Opazo, Julia; Mendoza, Leonora; Urzua, Alejandro; Wilkens, Marcela</t>
  </si>
  <si>
    <t>Structure-Activity and Lipophilicity Relationships of Selected Antibacterial Natural Flavones and Flavanones of Chilean Flora</t>
  </si>
  <si>
    <t>In this study, we tested eight naturally-occurring flavonoids-three flavanones and five flavones-for their possible antibacterial properties against four Gram-positive and four Gram-negative bacteria. Flavonoids are known for their antimicrobial properties, and due their structural diversity; these plant-derived compounds are a good model to study potential novel antibacterial mechanisms. The lipophilicity and the interaction of antibacterial compounds with the cell membrane define the success or failure to access its target. Therefore, through the determination of partition coefficients in a non-polar/aqueous phase, lipophilicity estimation and the quantification of the antibacterial activity of different flavonoids, flavanones, and flavones, a relationship between these parameters was assessed. Active flavonoids presented diffusion coefficients between 9.4 x 10(-10) and 12.3 x 10(-10) m(2)/s and lipophilicity range between 2.0 to 3.3. Active flavonoids against Gram-negative bacteria showed a narrower range of lipophilicity values, compared to active flavonoids against Gram-positive bacteria, which showed a wide range of lipophilicity and cell lysis. Galangin was the most active flavonoid, whose structural features are the presence of two hydroxyl groups located strategically on ring A and the absence of polar groups on ring B. Methylation of one hydroxyl group decreases the activity in 3-O-methylgalangin, and methylation of both hydroxyl groups caused inactivation, as shown for 3,7-O-dimethylgalangin. In conclusion, the amphipathic features of flavonoids play a crucial role in the antibacterial activity. In these compounds, hydrophilic and hydrophobic moieties must be present and could be predicted by lipophilicity analysis.</t>
  </si>
  <si>
    <t>Wilkens, Marcela/G-5928-2019; Echeverría, Javier/AAK-3323-2020</t>
  </si>
  <si>
    <t>Echeverria, Javier/0000-0002-1688-968X; , Julia Opazo Duran/0009-0008-3640-0192; Urzua, Alejandro/0000-0003-2638-0921</t>
  </si>
  <si>
    <t>10.3390/molecules22040608</t>
  </si>
  <si>
    <t>WOS:000404517800106</t>
  </si>
  <si>
    <t>López, D; Márquez, A; Gutiérrez-Cutiño, M; Venegas-Yazigi, D; Bustos, R; Matiacevich, S</t>
  </si>
  <si>
    <t>Lopez, Daniel; Marquez, Alex; Gutierrez-Cutino, Marlen; Venegas-Yazigi, Diego; Bustos, Ruben; Matiacevich, Silvia</t>
  </si>
  <si>
    <t>Edible film with antioxidant capacity based on salmon gelatin and boldine</t>
  </si>
  <si>
    <t>LWT-FOOD SCIENCE AND TECHNOLOGY</t>
  </si>
  <si>
    <t>Salmon gelatin and boldine as a natural antioxidant were used to prepare edible films by a cold casting method. The concentration of each component was optimised by applying a Box-Behnken experimental design (BBD) with the goal of maximising radical scavenging capacity of film forming suspensions (FFS) measured by the 2,2-Dipheny1-1-picrylhydrazyl (DPPH) free radical assay. The results showed synergistic effect between gelatin and boldine for the antioxidant capacity (radical scavenging of over 80%) and antimicrobial activity of gelatin against Escherichia coli ATCC 25922 and Listeria monocytogenes ISP 6508. The release of boldine into the food simulant was faster for films containing 2 % gelatin than for those containing 4 %. Kinetic data for boldine release from films fitted to the Weibull model (r = 0,99). Possible molecular interactions between gelatin and boldine were observed in the FTIR spectrum of the composite films. Within the range of 1638 to 1628 cm(-1) a strong interference caused by boldine in the hydrogen bonding between water and imide residues was observed. Owing to the simultaneous antioxidant and antimicrobial activities displayed for the gelatinboldine films, there is potential for application in the preservation of some perishable fresh food such as fish, meat and cheese. (C) 2016 Elsevier Ltd. All rights reserved.</t>
  </si>
  <si>
    <t>López, Daniel/C-9803-2016; Bustos, Ruben/AAM-2029-2020; Venegas-Yazigi, Diego/C-5022-2009</t>
  </si>
  <si>
    <t>Bustos, Ruben/0000-0003-0183-0324; Lopez Angulo, Daniel/0000-0001-5287-1391; Venegas-Yazigi, Diego/0000-0001-7816-2841</t>
  </si>
  <si>
    <t>0023-6438</t>
  </si>
  <si>
    <t>1096-1127</t>
  </si>
  <si>
    <t>10.1016/j.lwt.2016.11.039</t>
  </si>
  <si>
    <t>WOS:000392769200022</t>
  </si>
  <si>
    <t>Palma, J; Labbé, R</t>
  </si>
  <si>
    <t>Palma, J.; Labbe, R.</t>
  </si>
  <si>
    <t>Rugged constant-temperature thermal anemometer</t>
  </si>
  <si>
    <t>REVIEW OF SCIENTIFIC INSTRUMENTS</t>
  </si>
  <si>
    <t>Here we report a robust thermal anemometer which can be easily built. It was conceived to measure outdoor wind speeds and for airspeed monitoring in wind tunnels and other indoor uses. It works at a constant, low temperature of approximately 90 degrees C, so that an independent measurement of the air temperature is required to give a correct speed reading. Despite the size and high thermal inertia of the probe, the test results show that this anemometer is capable of measuring turbulent fluctuations up to similar to 100 Hz in winds of similar to 14 m/s, which corresponds to a scale similar to the length of the probe. Published by AIP Publishing.</t>
  </si>
  <si>
    <t>0034-6748</t>
  </si>
  <si>
    <t>1089-7623</t>
  </si>
  <si>
    <t>10.1063/1.4972585</t>
  </si>
  <si>
    <t>WOS:000392096800067</t>
  </si>
  <si>
    <t>Parker, C; Moreno, A</t>
  </si>
  <si>
    <t>Parker G, Cristian; Moreno P, Alberto</t>
  </si>
  <si>
    <t>INDIAN URBAN TOURISM, AN INNOVATION IN IDENTITY?</t>
  </si>
  <si>
    <t>ATENEA</t>
  </si>
  <si>
    <t>Indigenous Urban Tourism is a singular phenomenon in Latin America. In this Continent's experience in cases such as Mexico, Guatemala, Peru and Bolivia what is generally referred to as indigenous tourism is concentrated in rural and peasant areas and even in many cases it is not called Indigenous Tourism but simply Peasant Tourism. This article systemizes and theorizes about some experiences of Special Tourism developed in Santiago, Chile with a number of indigenous groups (Mapuche, Aymara and Rapa Nui) who are active in developing ceremonial centers preserving heritage and cultural indigenous identity within the Big City. In recent years innovative initiatives have been designed to form networks of Indigenous Tourism in the Metropolitan Area of Santiago, which tend to forge a new paradigm of Urban Indigenous Tourism. These activities, although still emerging, are generally developed from the thinking, reflection and action of the indigenous communities themselves. They are the main actors who make proposals to participate in the construction of a new Urban Indigenous Tourism with ethnic identity.</t>
  </si>
  <si>
    <t>Parker, Cristián/J-4947-2017</t>
  </si>
  <si>
    <t>0718-0462</t>
  </si>
  <si>
    <t>10.4067/S0718-04622015000200013</t>
  </si>
  <si>
    <t>WOS:000371528900013</t>
  </si>
  <si>
    <t>Castillo, JA; Michael, EA</t>
  </si>
  <si>
    <t>Holland, WS; Zmuidzinas, J</t>
  </si>
  <si>
    <t>Castillo, J. A.; Michael, E. A.</t>
  </si>
  <si>
    <t>Practical implementation and on-the-field test results of an enhanced algorithm for polarization optimization of the line length corrector of ALMA central local oscillator</t>
  </si>
  <si>
    <t>MILLIMETER, SUBMILLIMETER, AND FAR-INFRARED DETECTORS AND INSTRUMENTATION FOR ASTRONOMY VI</t>
  </si>
  <si>
    <t>Proceedings of SPIE</t>
  </si>
  <si>
    <t>Conference on Millimeter, Submillimeter, and Far-Infrared Detectors and Instrumentation for Astronomy VI</t>
  </si>
  <si>
    <t>JUL 03-06, 2012</t>
  </si>
  <si>
    <t>Amsterdam, NETHERLANDS</t>
  </si>
  <si>
    <t>SPIE</t>
  </si>
  <si>
    <t>This paper describes the practical implementation and on the field test results of an Enhanced algorithm, based on Jones matrix Eigen analysis, to find the minimal polarization change points for the ALMA's line length corrector fiber stretcher. These points are complicated to find because they can be located at any point of the Poincare sphere and they also change after manipulation of fibers and with time, so the optimization of the fibers stretcher needs to be systematically checked and redone. The execution time of the original algorithm takes up to 20 minutes depending on the starting polarization state. This enhanced algorithm reduces this time in most of cases to less than a minute, with no intrinsic dependency on the starting point.</t>
  </si>
  <si>
    <t>Castillo, Jorge/C-1042-2008; Michael, Ernest/A-4650-2012</t>
  </si>
  <si>
    <t>0277-786X</t>
  </si>
  <si>
    <t>1996-756X</t>
  </si>
  <si>
    <t>978-0-8194-9153-4</t>
  </si>
  <si>
    <t>84522N</t>
  </si>
  <si>
    <t>10.1117/12.925253</t>
  </si>
  <si>
    <t>WOS:000312884000078</t>
  </si>
  <si>
    <t>Pérez, E; Cardemil, E</t>
  </si>
  <si>
    <t>Perez, Estela; Cardemil, Emilio</t>
  </si>
  <si>
    <t>Saccharomyces cerevisiae Phosphoenolpyruvate Carboxykinase: The Relevance of Glu299 and Leu460 for Nucleotide Binding</t>
  </si>
  <si>
    <t>A homology model of Saccharomyces cerevisiae phosphoenolpyruvate (PEP) carboxykinase (ATP + oxaloacetate a double dagger ADP + PEP + CO2) in complex with its substrates shows that the isobutyl group of Leu460 is in close proximity to the adenine ring of the nucleotide, while the carboxyl group of Glu299 is within hydrogen-bonding distance of the ribose 2'OH. The Leu460Ala mutation caused three-fold and seven-fold increases in the K (m) for ADPMn(-) and ATPMn(2-), respectively, while the Glu299Ala mutation had no effect. Binding studies showed losses of approximately 2 kcal mol(-1) in the nucleotide binding affinity due to the Leu460Ala mutation and no effect for the Glu299Ala mutation. PEP carboxykinase utilized 2'deoxyADP and 2'deoxyATP as substrates with kinetic and equilibrium dissociation constants very similar to those of ADP and ATP, respectively. These results show that the hydrophobic interaction between Leu460 and the adenine ring of the nucleotide significantly contributed to the nucleotide affinity of the enzyme. The 2'deoxy nucleotide studies and the lack of an effect of the Glu299Ala mutation in nucleotide binding suggest that the possible hydrogen bond contributed by Glu299 and the ribose 2'OH group may not be relevant for nucleotide binding.</t>
  </si>
  <si>
    <t>Perez, Estela/0000-0001-6320-5976</t>
  </si>
  <si>
    <t>10.1007/s10930-010-9252-6</t>
  </si>
  <si>
    <t>WOS:000279317000001</t>
  </si>
  <si>
    <t>Rezende, MC; Oñate, R; Núñez, G; Domínguez, M; Mascayano, C</t>
  </si>
  <si>
    <t>Caroli Rezende, Marcos; Onate, Ruben; Nunez, Gabriel; Dominguez, Moises; Mascayano, Carolina</t>
  </si>
  <si>
    <t>Lipophilic contributions to the solvatochromism of analogous betaines</t>
  </si>
  <si>
    <t>A pair of solvatochromic phenolate betaines that differed only in their lipophilicity was synthesized. Their solvatochromic responses in pure solvents, in a DMSO-MeOH solvent mixture as well as in micellar solutions were different, an observation which confirmed the fact that sensor lipophilicity contributes to the interpretation of solvatochromism. Quantum mechanical calculations reproduced the observed spectral differences. Molecular dynamics simulations shed light on the solute-solvent interactions responsible for their differences in solvent mixtures. (C) 2009 Elsevier Ltd. All rights reserved.</t>
  </si>
  <si>
    <t>Domínguez, Moisés/M-3457-2014; Caroli, Marcos/H-3570-2019; Nuñez, Gabriel/IAN-2843-2023</t>
  </si>
  <si>
    <t>Dominguez, Moises/0000-0002-8444-3065; Nunez Vivanco, Gabriel/0000-0002-2858-1789; Mascayano Collado, Carolina Lorena/0000-0002-3488-9309; Rezende, Marcos/0000-0003-2040-9009</t>
  </si>
  <si>
    <t>10.1016/j.dyepig.2009.06.011</t>
  </si>
  <si>
    <t>WOS:000269280500019</t>
  </si>
  <si>
    <t>Urzúa, A; Echeverría, J; Rezende, MC; Wilkens, M</t>
  </si>
  <si>
    <t>Urzua, Alejandro; Echeverria, Javier; Rezende, Marcos C.; Wilkens, Marcela</t>
  </si>
  <si>
    <t>Antibacterial Properties of 3 H-Spiro[1-benzofuran-2,1′-cyclohexane] Derivatives from Heliotropium filifolium</t>
  </si>
  <si>
    <t>A re-examination of cuticular components of Heliotropium filifolium allowed the isolation of four new compounds: 3'-hydroxy-2',2',6'-trimethyl-3H-spiro[1-benzofuran-2,1'- cyclohexane]-5-carboxylic acid (2), methyl 3'-acetyloxy-2', 2', 6'-trimethyl-3H-spiro[1-benzofuran-2,1'-cyclohexane]-5-carboxylate (3), methyl 3'-isopentanoyloxy2', 2', 6'-trimethyl-3H-spiro[1-benzofuran-2,1'-cyclohexane]-5-carboxylate (4) and methyl 3'-benzoyloxy-2', 2', 6'-trimethyl-3H-spiro[1-benzofuran-2,1'-cyclohexane]-5-carboxylate (5). Compounds 2-5 were identified by their spectroscopic analogies with filifolinol (1), and their structures confirmed by chemical correlation with 1. The antimicrobial properties of the compounds were tested against Gram positive and Gram negative bacteria. Some of them proved to be active against Gram positive, but inactive against Gram negative bacteria. In searching for structure-activity relationships from the obtained MIC values, lipophilicity was shown to be an important variable.</t>
  </si>
  <si>
    <t>Caroli, Marcos/H-3570-2019; Echeverría, Javier/AAK-3323-2020; Wilkens, Marcela/G-5928-2019</t>
  </si>
  <si>
    <t>Echeverria, Javier/0000-0002-1688-968X; Urzua, Alejandro/0000-0003-2638-0921; Rezende, Marcos/0000-0003-2040-9009</t>
  </si>
  <si>
    <t>10.3390/molecules13102385</t>
  </si>
  <si>
    <t>WOS:000260505100003</t>
  </si>
  <si>
    <t>Current distortion reduction in six-pulse parallel-connected ac/dc rectifiers</t>
  </si>
  <si>
    <t>IEEE TRANSACTIONS ON POWER DELIVERY</t>
  </si>
  <si>
    <t>This paper presents an innovative method for reducing current distortion on the ac side of six-pulse parallel-connected ac/dc rectifiers. The principle of the method is to modify the current waveforms on the do side of the rectifier by using two self-commutated switches (insulated-gate bipolar transistors). It is demonstrated that accurate shaping of currents on the do side achieves low distortion levels in currents I-A, I-B, and I-C on the ac side. The effectiveness of the method is confirmed by laboratory recordings, which are related to steady-state and transient studies.</t>
  </si>
  <si>
    <t>0885-8977</t>
  </si>
  <si>
    <t>1937-4208</t>
  </si>
  <si>
    <t>10.1109/TPWRD.2008.917895</t>
  </si>
  <si>
    <t>WOS:000254851700054</t>
  </si>
  <si>
    <t>Gramsch, E; Catalán, L; Ormeño, I; Palma, G; Oyola, P</t>
  </si>
  <si>
    <t>Monitoring of the light absorption coefficient in Santiago de Chile and comparison with aerosol and elemental carbon mass</t>
  </si>
  <si>
    <t>A compact, automated system has been built to measure the optical absorption coefficient of the air. It has been used to monitor the absorption coefficient for a period of more than a year in a central area of Santiago. Our results show a strong correlation with the daily traffic pattern, with the highest value during the morning rush hour (7.00 - 8.00 Hrs,), We have also measured PM-10, and elemental carbon mass simultaneously with the absorption coefficient. The Pearson correlation factor was calculated between these variables, The highest values were obtained between the absorption coefficient and elemental carbon (up to 0.95). A proportional factor between the absorption coefficient and mass was also obtained for the period studied</t>
  </si>
  <si>
    <t>WOS:000180065500046</t>
  </si>
  <si>
    <t>Villablanca, M; del Valle, J; Rojas, J; Abarca, J; Rojas, W</t>
  </si>
  <si>
    <t>A modified back-to-back HVdc system for 36-pulse operation</t>
  </si>
  <si>
    <t>Recently back-to-back HVdc systems have greatly increased. They interconnect large power systems offering numerous technical and economic benefits. The design of AC system filters, however, is not an easy task. Also, filters do not remove all the harmonics for which they are tuned, are costly and have a complicated transient behavior. In this paper a 36-pulse filterless configuration for back-to-back HVde systems is proposed, whereby harmonics are eliminated within the converter, thus opening the possibility of advantages in aspects of design, reliability and capital savings.</t>
  </si>
  <si>
    <t>10.1109/61.852998</t>
  </si>
  <si>
    <t>WOS:000088393600031</t>
  </si>
  <si>
    <t>Trier, A; Cabrini, N; Ferrer, J; Olaeta, I</t>
  </si>
  <si>
    <t>Correlations between urban atmospheric light extinction coefficients and fine particle mass concentrations</t>
  </si>
  <si>
    <t>ATMOSFERA</t>
  </si>
  <si>
    <t>Total horizontal atmospheric light extinction coefficients as well as particle mass concentrations have been measured in downtown areas of Santiago de Chile, a heavily polluted city. Measurement campaigns were carried out in 1994 and in 1995. Extinction measurements were made by a telephotometric technique in four wavelength bands; oscillating mass balance type instruments were used to measure PM2.5 and PM10 mass concentrations. The latter type instrument had not been available heretofore. The extensive continuous PM2.5 measurements are the first for this city. Strong and highly significant statistical correlations were found between extinction coefficients and mass concentrations, especially with the fine respirable or PM2.5 mass concentrations. Angstrom exponents and, in one case, mass extinction coefficients have been estimated.</t>
  </si>
  <si>
    <t>Joaquina, Ferrer/ABE-2832-2021</t>
  </si>
  <si>
    <t>0187-6236</t>
  </si>
  <si>
    <t>JUL 1</t>
  </si>
  <si>
    <t>WOS:A1997XU90500004</t>
  </si>
  <si>
    <t>Matsuhiro, B</t>
  </si>
  <si>
    <t>Vibrational spectroscopy of seaweed galactans</t>
  </si>
  <si>
    <t>HYDROBIOLOGIA</t>
  </si>
  <si>
    <t>15th International Seaweed Symposium</t>
  </si>
  <si>
    <t>JAN, 1995</t>
  </si>
  <si>
    <t>VALDIVIA, CHILE</t>
  </si>
  <si>
    <t>Int Seaweed Assoc</t>
  </si>
  <si>
    <t>Information from classical infrared spectroscopy studies has been of significance for characterizing seaweed galactans. The development of Fourier transform infrared spectroscopy and of Fourier transform laser Raman spectroscopy has produced great advances in the application of vibrational spectroscopy to the structural study of polysaccharides. Computational facilities in the spectrometers allow the arithmetic manipulations of the spectra. The second-derivative mode in the FT-IR spectrocopy provided more information by increasing the number and resolution of the bands in the spectra as compared to the parent ones. A review of literature data on vibrational spectroscopy of sulfated polysaccharides and new results are presented. Agar-type polymers showed two diagnostic bands in the second-derivative mode in the region 800-700 cm(-1). Carrageenans exhibited a number of bands in the region 1600-1000 cm(-1). Fourier transform laser Raman spectroscopy in the solid state gave well-defined characteristic spectra of agar and carrageenans. Both techniques can be applied to small samples in the solid state and allow differentiation in a few minutes between agar and carrageenan-type seaweed galactans. The second-derivative mode of the FT-IR spectra can be applied to distinguish agar-producing from carrageenan-producing seaweeds. The spectra on KBr pellets of dried, ground agarophyte and carrageenophyte seaweed samples showed the same bands as the corresponding polysaccharides.</t>
  </si>
  <si>
    <t>0018-8158</t>
  </si>
  <si>
    <t>1573-5117</t>
  </si>
  <si>
    <t>JUL 26</t>
  </si>
  <si>
    <t>WOS:A1996VG10200073</t>
  </si>
  <si>
    <t>BRIONES, REL</t>
  </si>
  <si>
    <t>STABILITY OF PARAMETRIZED FAMILIES OF VECTOR-FIELDS</t>
  </si>
  <si>
    <t>ANAIS DA ACADEMIA BRASILEIRA DE CIENCIAS</t>
  </si>
  <si>
    <t>0001-3765</t>
  </si>
  <si>
    <t>WOS:A1985ATH5200003</t>
  </si>
  <si>
    <t>Núñez-Contreras, P; Granado-Rocha, D; Carvajal-Game, M; Torres-Perez, AM</t>
  </si>
  <si>
    <t>Nunez-Contreras, Paola; Granado-Rocha, Daniela; Carvajal-Game, Maritza; Torres-Perez, Ana M.</t>
  </si>
  <si>
    <t>Aspects of neurodevelopment between autism spectrum disorders and epilepsy</t>
  </si>
  <si>
    <t>REVISTA MEXICANA DE NEUROCIENCIA</t>
  </si>
  <si>
    <t>There are high incidences of epilepsy and autism in the preschool and school ages. in which the synaptic plasticity and synaptogenesis are more active, a primary interruption of the synaptic function due to injury or genetic mutation may result in the appearance of both pathologies as in Lennox Gastaut S., De Aircadi S, epilepsy with continuous slow waves during sleep and Landau Kleffner S. There is evidence of abnormal brain maturation in autism spectrum disorders (ASD). Normal pruning eliminates faulty connections and optimizes neuronal functioning. In autism, this pruning would result in degrees of anatomical over-connectivity that increases or decreases the efficiency of communication between cortical regions. The same occurs with axonal myelination that affects integrated interregional cortical communication and synchronization. Critical and vulnerable mechanisms are appreciated during the peri-neonatal period, with subsequent stabilization of the synapses to form pre-designed neural networks through genetic mechanisms and modified by environmental factors. There are anomalies in different proteins that modulate the first phase of synaptogenesis, mutations in protocadherins, cadherins, and abnormalities in glutamatergic and GABAergic systems that affect the brain. All these aspects are critical for learning, language, and memory in both autism and epilepsy.</t>
  </si>
  <si>
    <t>1665-5044</t>
  </si>
  <si>
    <t>SEP-OCT</t>
  </si>
  <si>
    <t>10.24875/RMN.20000055</t>
  </si>
  <si>
    <t>WOS:000898561900006</t>
  </si>
  <si>
    <t>Singer, N; Poblete, JL; Velozo, C</t>
  </si>
  <si>
    <t>Singer, Nestor; Poblete, Jose Luis; Velozo, Carlos</t>
  </si>
  <si>
    <t>English grammar teaching in translation programmes: a data-driven learning, task-based approach (DDL-TB)</t>
  </si>
  <si>
    <t>ONOMAZEIN</t>
  </si>
  <si>
    <t>Translator education in monolingual contexts presupposes that students should develop their translation and linguistic competence concurrently, which presents a series of peda-gogical challenges. This evaluative descriptive study examines the use of data-driven learning in a task-based approach (DDL-TB) for teaching grammar in a Chilean translation programme. Such an approach implies the exploration of a corpus to find different patterns or linguistic phenomena. The paper presents the design and graduation of tasks and, later, examines the translation students' and lecturer's perspectives about the suitability of this approach for English grammar teaching. The students' comments suggest that the approach allowed them to 1) reflect on the way they learn languages and 2) develop an active role in their formative process. The lecturer highlights that the approach aligns with the learning objectives of the course unit, allowing the course to be effectively 'descriptive'. It is concluded that the narra-tives examined in this study indicate that an ABD-ET approach would be suitable for English grammar teaching in translation education.</t>
  </si>
  <si>
    <t>Singer, Néstor/I-3200-2019</t>
  </si>
  <si>
    <t>0717-1285</t>
  </si>
  <si>
    <t>0718-5758</t>
  </si>
  <si>
    <t>SI</t>
  </si>
  <si>
    <t>10.7764/onomazein.ne10.06</t>
  </si>
  <si>
    <t>WOS:000861022500006</t>
  </si>
  <si>
    <t>Castillo-Sepúlveda, J; Bywaters-Collado, F; Gálvez-Ramírez, M</t>
  </si>
  <si>
    <t>Castillo-Sepulveda, Jorge; Bywaters-Collado, Fernanda; Galvez-Ramirez, Mariana</t>
  </si>
  <si>
    <t>On the production of certainty in public health: biopolitics and speculative objects</t>
  </si>
  <si>
    <t>This article analyzes the production of certainty in a health policy shaped by the epistemic scheme of evidence-based medicine: the Regime of Explicit Health Guarantees in Chile. Based on studies on science and technology, the analysis of material produced through focused ethnographies in ministry settings, and interviews with experts and professionals, this study exposes how objects linked to the evidence serve for three purposes in these scenarios: to reduce the complexity of global processes, to connect the local with the global, and to generate a new continuum that links truth with uncertainty. These objects are characterized here as speculative objects, highlighting their important role in the articulation of rhetoric that allows the local configuration of biopolitics.</t>
  </si>
  <si>
    <t>10.1590/S0104-12902022200891</t>
  </si>
  <si>
    <t>WOS:000760821800001</t>
  </si>
  <si>
    <t>Medina, LE; Villalobos-Cid, M; Alvarez, A; Chaná-Cuevas, P</t>
  </si>
  <si>
    <t>Medina, Leonel E.; Villalobos-Cid, Manuel; Alvarez, Arturo; Chana-Cuevas, Pedro</t>
  </si>
  <si>
    <t>Design of a low-cost neuromuscular blockade monitoring device</t>
  </si>
  <si>
    <t>2020 5TH INTERNATIONAL CONFERENCE ON INTELLIGENT INFORMATICS AND BIOMEDICAL SCIENCES (ICIIBMS 2020)</t>
  </si>
  <si>
    <t>International Conference on Intelligent Informatics and Biomedical Sciences ICIIBMS</t>
  </si>
  <si>
    <t>5th International Conference on Intelligent Informatics and Biomedical Sciences (ICIIBMS)</t>
  </si>
  <si>
    <t>NOV 18-20, 2020</t>
  </si>
  <si>
    <t>Naha, JAPAN</t>
  </si>
  <si>
    <t>Univ Ryukyus,OIST,ONCT,ACS Publicat,IEEE Fukuoka Sect</t>
  </si>
  <si>
    <t>The increasing number of hospitalizations due to the ongoing pandemic has brought medical devices to the forefront of clinical management. For instance, mechanical ventilation is managed via administration of analgesia in combination with neuromuscular blocking agents, and hence, Neuromuscular Blockade Monitoring (NBM) devices are often needed in intensive care units. However, NBM devices are costly and, consequently, not widely available across low- and middle-income countries. Here, we present a prototype of an acceleromyography-based NBM device that we built using low-cost, over-the-counter, open-source software and hardware. Our prototype includes an accelerometer to record finger movement in response to electrical stimulation delivered by a TENS unit, and is able to detect muscle twitches in real-time to calculate and display metrics of the Train-of-Four (ToF) protocol used in clinics. Experimental measurements in a healthy subject suggest that our prototype can be used to quantify clinical variables in an apparently reliable manner, and so this prototype shows great promise in being able to transition into higher developing stages.</t>
  </si>
  <si>
    <t>Chana-Cuevas, Pedro/AAM-8215-2020; Villalobos-Cid, Manuel/AFK-0866-2022; Medina, Leonel E/AAE-2173-2019</t>
  </si>
  <si>
    <t>Medina, Leonel E/0000-0002-4170-9281</t>
  </si>
  <si>
    <t>2189-8723</t>
  </si>
  <si>
    <t>978-1-7281-8022-9</t>
  </si>
  <si>
    <t>10.1109/CIIBMS50712.2020.9336398</t>
  </si>
  <si>
    <t>WOS:000659932400001</t>
  </si>
  <si>
    <t>Espinoza-Vergara, J; Pavez, J; Gonzalez, E; Ramirez, C; Páez, M; Gulppi, M</t>
  </si>
  <si>
    <t>Espinoza-Vergara, Javier; Pavez, Jorge; Gonzalez, Evelyn; Ramirez, Cristian; Paez, Maritza; Gulppi, Miguel</t>
  </si>
  <si>
    <t>Applying the voltammetry of microparticles to assess the metal ion excess following a precipitation reaction: the determination of arsenic</t>
  </si>
  <si>
    <t>JOURNAL OF SOLID STATE ELECTROCHEMISTRY</t>
  </si>
  <si>
    <t>Here we demonstrate that the metal ion excess after precipitating a sparingly soluble metal salt can be conveniently determined by a secondary precipitation of a metal salt on an electrode surface, followed by measuring the solid-state electrochemical response of that salt. As an example, the analysis of the arsenic content of solutions is presented.</t>
  </si>
  <si>
    <t>Paez, Maritza/M-2010-2014; Gulppi, Miguel/KTA-6210-2024; PAVEZ, JORGE/K-6904-2014</t>
  </si>
  <si>
    <t>Gulppi, Miguel/0000-0001-6099-4463; paez, maritza/0000-0001-5881-884X; PAVEZ, JORGE/0000-0002-5100-6707; Ramirez Farina, Cristian Gino/0000-0001-8548-2448</t>
  </si>
  <si>
    <t>1432-8488</t>
  </si>
  <si>
    <t>1433-0768</t>
  </si>
  <si>
    <t>10.1007/s10008-019-04405-3</t>
  </si>
  <si>
    <t>NOV 2019</t>
  </si>
  <si>
    <t>WOS:000493784000001</t>
  </si>
  <si>
    <t>Maisey, K; Cordero, N; Montero, R; Wong, V; Vergara, C; Morales, J; Sequeida, A; Castillo, A; Imarai, M</t>
  </si>
  <si>
    <t>Maisey, Kevin; Cordero, Natalia; Montero, Ruth; Wong, Valentina; Vergara, Claudio; Morales, Jonathan; Sequeida, Alvaro; Castillo, Andres; Imarai, Monica</t>
  </si>
  <si>
    <t>IL-4/13A and its receptor system in Atlantic salmon (Salmo solar): Upregulation of key genes involved in adaptive immunity</t>
  </si>
  <si>
    <t>Maisey, Kevin/AAP-2886-2021; Castillo-Bonilla, Andres/AHB-4228-2022</t>
  </si>
  <si>
    <t>Maisey, Kevin/0000-0002-7423-6329</t>
  </si>
  <si>
    <t>1095-9947</t>
  </si>
  <si>
    <t>O-081</t>
  </si>
  <si>
    <t>10.1016/j.fsi.2019.04.235</t>
  </si>
  <si>
    <t>WOS:000474676700208</t>
  </si>
  <si>
    <t>Atalah, J; Cáceres-Moreno, P; Espina, G; Blamey, JM</t>
  </si>
  <si>
    <t>Atalah, Joaquin; Caceres-Moreno, Paulina; Espina, Giannina; Blamey, Jenny M.</t>
  </si>
  <si>
    <t>Thermophiles and the applications of their enzymes as new biocatalysts</t>
  </si>
  <si>
    <t>Ecological and efficient alternatives to industrial processes have sparked interest for using microorganisms and enzymes as biocatalysts. One of the difficulties is finding candidates capable of resisting the harsh conditions in which industrial processes usually take place. Extremophiles, microorganisms naturally found in extreme ecological niches, produce robust enzymes for bioprocesses and product development. Thermophiles like Geobacillus, Alyciclobacillus, Anoxybacillus, Pyrococcus and Thermoccocus are some of the extremophiles containing enzymes showing special promise for biocatalysis. Glutamate dehydrogenase used in food processes, laccases and xylanases in pulp and paper processes, nitrilases and transaminases for pharmaceutical drug synthesis and lipases present in detergents, are examples of the increasing use of enzymes for biocatalytic synthesis from thermophilic microorganisms. Some of these enzymes from thermophiles have been expressed as recombinant enzymes and are already in the market. Here we will review recent discoveries of thermophilic enzymes and their current and potential applications in industry.</t>
  </si>
  <si>
    <t>Blamey, Jenny/M-2637-2014; Espina, Giannina/AAD-5275-2020</t>
  </si>
  <si>
    <t>Espina, Giannina/0000-0002-6308-7217</t>
  </si>
  <si>
    <t>10.1016/j.biortech.2019.02.008</t>
  </si>
  <si>
    <t>WOS:000460896800054</t>
  </si>
  <si>
    <t>Bachelet, VC; Goyenechea, M; Carrasco, VA</t>
  </si>
  <si>
    <t>Bachelet, Vivienne C.; Goyenechea, Matias; Carrasco, Victor A.</t>
  </si>
  <si>
    <t>Policy strategies to reduce waiting times for elective surgery: A scoping review and evidence synthesis</t>
  </si>
  <si>
    <t>INTERNATIONAL JOURNAL OF HEALTH PLANNING AND MANAGEMENT</t>
  </si>
  <si>
    <t>Objectives The purpose of this evidence-based review is to identify and describe the interventions that have been implemented to reduce waiting times for major elective surgery. Methods Scoping review and presentation of the results according to the SUPPORT tools. We searched MEDLINE/PubMed, Embase, Cochrane Library, SciELO, DARE-HTA, and Google Scholar. The inclusion criteria for research design were comprehensive. Results We identified 5200 records. After eliminating duplicates and screening by title and abstract, 171 records remained for full-text assessment, of which 12 were ultimately included for this review because they reported specific interventions and 96 records were included for further reference. The included studies show significant variability regarding elective procedures, population, and type of provider, as well as in the characteristics of the interventions and the settings. All the studies had methodological limitations. We graded the certainty of the evidence as very low. Conclusions According to the evidence found for this review, interventions most likely should be multidimensional, with prioritization strategies on the waiting lists to incorporate equity criteria, together with quality management improvements of the surgical pathways and the use of operating rooms, as well as improvements in the planning of the surgical schedule.</t>
  </si>
  <si>
    <t>Goyenechea Hidalgo, Matias/0000-0003-3127-7996; Carrasco, Victor A./0000-0002-6588-7189; Bachelet, Vivienne C./0000-0002-5715-9755</t>
  </si>
  <si>
    <t>0749-6753</t>
  </si>
  <si>
    <t>1099-1751</t>
  </si>
  <si>
    <t>E995</t>
  </si>
  <si>
    <t>E1015</t>
  </si>
  <si>
    <t>10.1002/hpm.2751</t>
  </si>
  <si>
    <t>WOS:000474590200033</t>
  </si>
  <si>
    <t>Córdoba, AG</t>
  </si>
  <si>
    <t>Algado, SS; Cordoba, AG; Oliver, FC; Galheigo, SM; Garcia-Ruiz, S</t>
  </si>
  <si>
    <t>Guajardo Cordoba, Alejandro</t>
  </si>
  <si>
    <t>Inaugural text: Construction of identities, epistemes and practices in Occupational Therapy in Latin America</t>
  </si>
  <si>
    <t>TERAPIAS OCUPACIONALES DESDE EL SUR, 2 EDITION: Derechos Humanos, Ciudadania y Participacion. Human Rights, Citizenship and Participation</t>
  </si>
  <si>
    <t>978-956-303-416-5</t>
  </si>
  <si>
    <t>WOS:000887018400004</t>
  </si>
  <si>
    <t>Oyarzún, A; Fuentes, Y; Escrig, D; Vargas, D; Garcés, A; Reyes-Cerpa, S; Mlynarz, G; Imarai, M; Sandino, AM</t>
  </si>
  <si>
    <t>Oyarzun, Aaron; Fuentes, Yazmin; Escrig, Daniela; Vargas, Deborah; Garces, Andrea; Reyes-Cerpa, Sebastian; Mlynarz, Geraldine; Imarai, Monica; Maria Sandino, Ana</t>
  </si>
  <si>
    <t>Biomarkers to assess the antioxidant response in fish under stress during the salmon production cycle</t>
  </si>
  <si>
    <t>O-011</t>
  </si>
  <si>
    <t>WOS:000377730400122</t>
  </si>
  <si>
    <t>Mallol, J; Aguirre, V; Galtardo, A; Cortez, E; Sánchez, C; Riquelme, C; Córdova, P; Martínez, M; Galindo, A</t>
  </si>
  <si>
    <t>Mallol, J.; Aguirre, V.; Galtardo, A.; Cortez, E.; Sanchez, C.; Riquelme, C.; Cordova, P.; Martinez, M.; Galindo, A.</t>
  </si>
  <si>
    <t>Effect of once-daily generic ciclesonide on exhaled nitric oxide in atopic children with persistent asthma</t>
  </si>
  <si>
    <t>ALLERGOLOGIA ET IMMUNOPATHOLOGIA</t>
  </si>
  <si>
    <t>Background: Ciclesonide (CIC) is an effective inhaled corticosteroid for treating asthmatic children. However, its effect on airway inflammation assessed by the fraction of exhaled nitric oxide (FENO) in children with persistent asthma is virtually unknown. We aimed to assess the effect of once-daily generic CIC, 80 or 160 mu g, on FENO, lung function, asthma control and bronchial hyperresponsiveness, in atopic children with persistent asthma. Methods: This was a 12-week, randomised, double-blind, parallel-group study. Sixty children with mild-to-moderate persistent asthma were recruited. Changes in FENO, asthma control score, lung function (FEV1) and bronchial hyperresponsiveness to methacholine (BHR) were used to assess the effects of both CIC doses. Non-normally distributed variables were log-transformed to approximate normality, and parametric tests were used for comparisons within and between groups at baseline and after 12 weeks of treatment. Results: In the CIC 80 mu g group, FENO decreased from 45.0 ppb (95% CI 37.8-53.7) to 32.7 ppb (95% CI 21.0-47.3) at the end of study (P=0.021), whereas in the CIC 160 mu g group, FENO decreased from 47.3 ppb (95% CI 40.4-55.3) to 30.5 ppb (95% CI 24.1-38.7) (P&lt;0.001). The difference between groups in FENO at the end of study was not significant (P=0.693). There was a significant improvement of asthma control with both CIC doses but there was no significant change in BHR or FEV1 in either group. Conclusion: Once-daily generic ciclesonide (80 mu g or 160 mu g), for 12 weeks, is effective to improve airway inflammation and asthma control in atopic children with persistent asthma. (C) 2014 SEICAP. Published by Elsevier Espana, S.L.U. All rights reserved.</t>
  </si>
  <si>
    <t>Mallol, Javier/0000-0003-2528-8672</t>
  </si>
  <si>
    <t>0301-0546</t>
  </si>
  <si>
    <t>1578-1267</t>
  </si>
  <si>
    <t>MAR-APR</t>
  </si>
  <si>
    <t>10.1016/j.aller.2015.01.011</t>
  </si>
  <si>
    <t>WOS:000372478700003</t>
  </si>
  <si>
    <t>Lisboa, JR; Marin, J; Barrera, ME; Cifuentes, G</t>
  </si>
  <si>
    <t>Schvezov, CE</t>
  </si>
  <si>
    <t>Lisboa, Jaime R.; Marin, Jorge; Barrera, Mario E.; Cifuentes, Gerardo</t>
  </si>
  <si>
    <t>Manufacturing of Annular Targets Made of LEU Foil Coated with Electrodeposited Nickel</t>
  </si>
  <si>
    <t>INTERNATIONAL CONGRESS OF SCIENCE AND TECHNOLOGY OF METALLURGY AND MATERIALS, SAM - CONAMET 2013</t>
  </si>
  <si>
    <t>Procedia Materials Science</t>
  </si>
  <si>
    <t>International Congress of Science and Technology of Metallurgy and Materials (SAM CONAMET)</t>
  </si>
  <si>
    <t>AUG 20-23, 2013</t>
  </si>
  <si>
    <t>Puerto Iguazu, ARGENTINA</t>
  </si>
  <si>
    <t>The results achieved in the development of an annular target manufacturing technology for Mo-99 radioisotope production, with targets containing a low enriched uranium LEU foil, are presented in this paper. The paper describes the annular targets manufacture comprising the uranium foil and a thin layer of nickel obtained by electroplating on the surface of the uranium, resulting in Ni deposits with thickness of 15 to 25 microns. It was necessary to determine the potential to avoid the presence of uranium oxide and also to determine the intensity (amperage) at which its formation begins. The results obtained, showed that the mass of Ni deposited on the uranium foil is proportional to the electroplating time and the current intensity. Ultrasonic Tests and Screen Electronic Microscopy revealed good bonding and homogeneity of the nickel deposit. The Ni layer had a high hardness and a relatively small grain size with an orientation in the direction of the electrical current flow. (C) 2015 Published by Elsevier Ltd.</t>
  </si>
  <si>
    <t>Marin, Jorge/ABF-2972-2021; Barrera, Mario/AAB-7626-2021; Cifuentes, Gerardo/AAS-2148-2021</t>
  </si>
  <si>
    <t>2211-8128</t>
  </si>
  <si>
    <t>10.1016/j.mspro.2015.04.094</t>
  </si>
  <si>
    <t>WOS:000380505600053</t>
  </si>
  <si>
    <t>Campos, AM; Lissi, E; Chavez, M; Modak, B</t>
  </si>
  <si>
    <t>Maria Campos, Ana; Lissi, Eduardo; Chavez, Marjorie; Modak, Brenda</t>
  </si>
  <si>
    <t>Antioxidant activity in heterogeneous and homogeneous system of the resinous exudates from Heliotropium stenophylum and H. sinuatum and of 3-O-methylgalangin their main component</t>
  </si>
  <si>
    <t>The antioxidant activity of resinous extracts obtained from H. stenophylum and H. sinuatum species, was evaluated through ORAC index (Oxygen Radical Absorbance Capacity) in water phase and in presence of Triton X-100 micelles, using as test molecules to pyrogallol red (PGR) and evaluating their reduction by the action of peroxyl radicals obtained from thermolysis of AAPH. The results show that these extracts protect to PGR of the action of the radicals. This protection is reduced drastically in the presence of Triton X-100 micelles. The same effect was observed with the main flavonoid of these extracts (3-O-methylgalangin). These results show the importance of the media of reaction of pure compounds and/or extracts at the time of to take into account their use as antioxidants.</t>
  </si>
  <si>
    <t>WOS:000311421500007</t>
  </si>
  <si>
    <t>Pizarro, J; Rubio, MA; Castillo, X</t>
  </si>
  <si>
    <t>Study of chemical speciation in sediments: An approach to vertical metals distribution in Rapel reservoir (Chile).</t>
  </si>
  <si>
    <t>A sequential chemical extraction method, following a Tessier's protocol has been applied to sample sediment from lake Rapel (34degreesS), an hydroelectric reservoir. This study is a first approach of chemical speciation in this sediment. The four elements determined in the extracts were Cu, Zn, Mn and Fe. Analysis of the extracts was carried out by flame atomic absorption spectrometry (FAAS) and X-Ray fluorescence. The sample sediment was extracted using a core from 1 cm to 40 cm and the level concentration range were: Fe (19850 mg/g - 43 899 mg/g), Mn (752 mg/g - 1269 mg/g), Cu (149 mg/g - 478 mg/g) and Zn (224 mg/g - 596 mg/g). Cu was associated to organic matter and carbonate fraction, Zn was associated to oxides Fe-Mn and Fe and Mn were bonding to oxides. All the metals show significant concentration in residual fraction except Cu.</t>
  </si>
  <si>
    <t>WOS:000185071000009</t>
  </si>
  <si>
    <t>Ríos, E; Chen, YY; Gracia, M; Marco, JF; Gancedo, JR; Gautier, JL</t>
  </si>
  <si>
    <t>Influence of the partial replacement of Fe by Mn on the electrocatalytic activity for oxygen evolution in the Li(1-0.5x)Fe(1.5x+1)Mn(1-x)O4 spinel system</t>
  </si>
  <si>
    <t>ELECTROCHIMICA ACTA</t>
  </si>
  <si>
    <t>Oxides of compositions Li(1 - 0.5x)Fe(1.5x + 1)Mn(1 - x)O4 (0 less than or equal to 1 - x less than or equal to 1) with a spinel structure have been characterized by XRD analysis and Mossbauer spectroscopy. The surface properties of the materials have been studied by OCP, pHz and XPS measurements. The influence of the substitution of Fe by Mn on the electrocatalytic activity of the electrodes has been analyzed in terms of Tafel slopes and proposed cationic distribution. The oxygen evolution reaction depends on both OCP and pHz, and it is very sensitive to the iron/manganese ratio in the octahedral sites of the spinel structure. (C) 2001 Elsevier Science Ltd. All rights reserved.</t>
  </si>
  <si>
    <t>Marco, JF/N-3176-2014</t>
  </si>
  <si>
    <t>Marco, JF/0000-0002-5147-1449</t>
  </si>
  <si>
    <t>0013-4686</t>
  </si>
  <si>
    <t>10.1016/S0013-4686(01)00780-0</t>
  </si>
  <si>
    <t>WOS:000172385400004</t>
  </si>
  <si>
    <t>Degenerate dynamical systems</t>
  </si>
  <si>
    <t>JOURNAL OF MATHEMATICAL PHYSICS</t>
  </si>
  <si>
    <t>Dynamical systems, whose symplectic structure degenerates, becoming noninvertible at some points along the orbits, are analyzed. It is shown that for systems with a finite number of degrees of freedom, like in classical mechanics, the degeneracy occurs on domain walls that divide phase space into nonoverlapping regions, each one describing a nondegenerate system, causally disconnected from each other. These surfaces are characterized by the sign of the Liouville flux density on them, behaving as sources or sinks of orbits. In this latter case, once the system reaches the domain wall, it acquires a new gauge invariance and one degree of freedom is dynamically frozen, while the remaining degrees of freedom evolve regularly thereafter. (C) 2001 American Institute of Physics.</t>
  </si>
  <si>
    <t>Troncoso, Ricardo/0000-0003-3659-1140; saavedra, joel/0000-0002-1430-3008</t>
  </si>
  <si>
    <t>0022-2488</t>
  </si>
  <si>
    <t>10.1063/1.1389088</t>
  </si>
  <si>
    <t>WOS:000170590300021</t>
  </si>
  <si>
    <t>Aguirre-Camposano, V; Mallol, J</t>
  </si>
  <si>
    <t>Aguirre-Camposano, Viviana; Mallol, Javier</t>
  </si>
  <si>
    <t>Differences in percentage predicted spirometric values obtained with thirteen reference equations applied to healthy children</t>
  </si>
  <si>
    <t>JOURNAL OF ASTHMA</t>
  </si>
  <si>
    <t>Background: There is limited information on the discrepancy between the spirometric values calculated with diverse spirometric prediction equations in normal children. Objective: To determine the differences in percentage predicted (PP) values calculated through thirteen prediction equations (PEs) in healthy Chilean children. Methods: We compared the PP values for FVC, FEV1, FEF25-75% and FEV1/FVC obtained by applying thirteen PEs, using GLI-2012 as a gold standard reference equation and including race neutral GLI-2022 in the analysis; PP values are from a group of 208 healthy Chilean children aged 7 to 17 years. Results: In boys, the range of differences for FVC between PEs compared to the reference group went from -5.47% to 20.82% and from -6.4% to 19.74% in girls. For FEV1, in girls, the range of differences went from -5.96% to 18.01% and from -5,04% to 20.67% in boys. Significant differences between GLI-2012 PPs and the other PEs were observed more frequently in girls than in boys (p &lt; 0.001). Conclusions: There is a wide difference between the spirometric PPs values by different PEs, including race neutral GLI-2022. Our findings, especially given the potential interpretative and clinical implications, might suggest the need for conducting standardized, multicenter studies in Latin America to determine which PEs would better fit pediatric populations in this region.</t>
  </si>
  <si>
    <t>de Oliveira, Ivone/C-3590-2013; Prado, Renata/G-5066-2011; Campos, Tiago/G-1540-2016</t>
  </si>
  <si>
    <t>Regina de Oliveira, Ivone/0000-0002-9747-7651; Mallol, Javier/0000-0003-2528-8672; do Nascimento Bezerra, Rayssa/0000-0003-1982-3771; Campos, Tiago/0000-0001-8486-2510</t>
  </si>
  <si>
    <t>0277-0903</t>
  </si>
  <si>
    <t>1532-4303</t>
  </si>
  <si>
    <t>MAR 4</t>
  </si>
  <si>
    <t>10.1080/02770903.2024.2411702</t>
  </si>
  <si>
    <t>WOS:001330447700001</t>
  </si>
  <si>
    <t>El Aiss, H; Zoulagh, T; El Haiek, B; Barbosa, KA; Hmamed, A</t>
  </si>
  <si>
    <t>El Aiss, Hicham.; Zoulagh, Taha.; El Haiek, Badreddine.; Barbosa, Karina. A.; Hmamed, Abdelaziz</t>
  </si>
  <si>
    <t>Delay-Dependent Stability Condition in Finite Frequency Domain: Input-Output Approach</t>
  </si>
  <si>
    <t>IFAC PAPERSONLINE</t>
  </si>
  <si>
    <t>22nd World Congress of the International Federation of Automatic Control (IFAC)</t>
  </si>
  <si>
    <t>JUL 09-14, 2023</t>
  </si>
  <si>
    <t>Yokohama, JAPAN</t>
  </si>
  <si>
    <t>Over finite frequency ranges, this study analyzes delay-dependent stability criteria for time-varying delay systems. To develop new delay-dependent stability conditions in finite frequency domains for the continuous time-varying delay systems, we construct an input-output technique for delay-dependent systems utilizing the two-term transformation model paired with Scaled-Small Gain (SSG) approach. Sufficient conditions are obtained and described in terms of linear matrix inequalities (LMIs) constraints based on a novel delay-dependent finite frequency inequality. As an illustration, a numerical example has been supplied to test the correctness of the current approach.</t>
  </si>
  <si>
    <t>El Aiss, Hicham/AAD-6510-2022; Barbosa, Karina/A-2236-2014</t>
  </si>
  <si>
    <t>2405-8963</t>
  </si>
  <si>
    <t>10.1016/j.ifacol.2023.10.536</t>
  </si>
  <si>
    <t>NOV 2023</t>
  </si>
  <si>
    <t>WOS:001122557300117</t>
  </si>
  <si>
    <t>Torrealba, J; Campos, L; Alvarez, MF; Ocaña, W</t>
  </si>
  <si>
    <t>Torrealba, Jose; Campos, Lautaro; Alvarez, Maria Fernanda; Ocana, Willian</t>
  </si>
  <si>
    <t>Use of 3D printing in pre-operative planning in osteotomy for metatarsal coalition: A case report</t>
  </si>
  <si>
    <t>REVISTA MEDICA CLINICA LAS CONDES</t>
  </si>
  <si>
    <t>Three-dimensional printing is emerging as a promising technology that permits us to personalize anatomical models, allowing us to visualize the anatomy of our patients in a much more concrete way than traditional radiological images. Likewise, it promotes pre-surgical planning and procedural simulation, improving outcomes and benefiting both health professionals and patients. The clinical case of a pediatric patient with a metatarsal coalition who underwent a 3D model prior to surgery is presented.</t>
  </si>
  <si>
    <t>Torrealba, Jose/IAO-8244-2023</t>
  </si>
  <si>
    <t>0716-8640</t>
  </si>
  <si>
    <t>10.1016/j.rmclc.2023.08.004</t>
  </si>
  <si>
    <t>WOS:001084083400001</t>
  </si>
  <si>
    <t>Singh, DP; Vivas, L; Jara, A; Serafini, D; Garcia-Garfido, JM</t>
  </si>
  <si>
    <t>Singh, Dinesh Pratap; Vivas, Leonardo; Jara, Adrian; Serafini, Daniel; Garcia-Garfido, Juan M.</t>
  </si>
  <si>
    <t>Facile Synthesis and Optimization of CrOOH/rGO-Based Electrode Material for a Highly Efficient Supercapacitor Device</t>
  </si>
  <si>
    <t>New electrode materials for supercapacitor devices are the primary focus of current research into energy-storage devices. Besides, exact control of the proportions of these new materials while forming electrodes for coin cell supercapacitor devices is very important for the large-scale manufacturing or at industrial scale. Here we report a facile synthesis of CrOOH with ascorbic acid and explore an exact composition with reduced graphene oxide to achieve a highly efficient electrode material for supercapacitor devices. The rGO is synthesized by modified Hummer's method followed by reduction with ascorbic acid, whereas ultrasmall CrOOH nanoparticles result via hydrothermal treatment of the reactants Cr(NO3)3, NaOH, and ascorbic acid at 120 degrees C for 12 h. The ultrasmall CrOOH nanoparticles show an amorphous phase with particle size range 3-10 nm and a calculated band gap of 3.28 eV. Six different composites are prepared by varying the proportion of CrOOH and rGO materials and further utilized as active electrode materials for fabrication of the coin cell supercapacitor devices. We report the highest specific capacitance for the 70% CrOOH and 30% rGO composite that exhibits a capacitance of 199.8 mF cm-2 with a long cyclic stability up to the tested 10,000 charge/discharge cycles. The proposed supercapacitor device exhibits a high energy and power density of 8.26 Wh kg-1 and 3756.9 W kg-1, respectively, at Ragone Plot, showing the commercial viability of the device.</t>
  </si>
  <si>
    <t>Vivas, Leonardo/S-1584-2019; SINGH, DINESH/A-2509-2011</t>
  </si>
  <si>
    <t>Serafini, Daniel/0000-0002-1764-5900; SINGH, DINESH/0000-0002-2893-7749; Vivas, Leonardo/0000-0001-5044-9680</t>
  </si>
  <si>
    <t>NOV 22</t>
  </si>
  <si>
    <t>10.1021/acsomega.2c05670</t>
  </si>
  <si>
    <t>NOV 2022</t>
  </si>
  <si>
    <t>WOS:000884426100001</t>
  </si>
  <si>
    <t>Troncoso, JAJ; Perez, S; Hurtado, JP; Cifuentes, C</t>
  </si>
  <si>
    <t>Troncoso, Juan Andres Jarufe; Perez, Sebastian; Hurtado, Juan Pablo; Cifuentes, Carlos</t>
  </si>
  <si>
    <t>Seismic hazard calculation using the equivalent magnitude obtained from numerical modelling</t>
  </si>
  <si>
    <t>Numerical modelling is widely used to estimate seismic potential in mines. Several numerical methods, along with different interpretation techniques, allow estimating the seismic potential at different stages of a mine or tunnel construction. However, none of the existing methods considers the magnitude of seismic events as a distribution of values, rather all methods focus on obtaining a single value representative of the seismic conditions for each excavation stage. The objective of this study was to develop a method based on the implicit generation of a synthetic distribution of seismic data and on the results of numerical modelling, providing a means to decompose the modelling results into a statistical distribution of maximum magnitudes. The results of this method provide a statistical distribution of the maximum magnitudes, based on existing plastic modelling results and assumptions about the failure mechanism. This work provides an engineering tool to evaluate the probability of the maximum seismic event.</t>
  </si>
  <si>
    <t>; Hurtado Cruz, Juan Pablo/K-2568-2013</t>
  </si>
  <si>
    <t>Perez Cortes, Sebastian Alexander/0000-0003-0366-1747; Hurtado Cruz, Juan Pablo/0000-0001-7602-8278; Jarufe Troncoso, juan Andres/0000-0003-2373-785X</t>
  </si>
  <si>
    <t>1873-4545</t>
  </si>
  <si>
    <t>10.1016/j.ijrmms.2022.105081</t>
  </si>
  <si>
    <t>MAR 2022</t>
  </si>
  <si>
    <t>WOS:000793263000001</t>
  </si>
  <si>
    <t>Plaza-Garrido, A; Limaico, M; Villamar-Ayala, CA</t>
  </si>
  <si>
    <t>Plaza-Garrido, Angela; Limaico, Mishell; Alejandra Villamar-Ayala, Cristina</t>
  </si>
  <si>
    <t>Influence of wastewater treatment technologies on virus removal under a bibliometric-statistical analysis</t>
  </si>
  <si>
    <t>JOURNAL OF WATER PROCESS ENGINEERING</t>
  </si>
  <si>
    <t>Viruses (e.g., SARS-CoV-2) are discharged into surface water bodies or agricultural irrigation from treated municipal/domestic wastewater. Therefore, this study aimed to evaluate the viral removal from wastewater treatment technologies, also considering wastewater physicochemical properties based on a bibliometric-statistical review. A preliminary bibliometric analysis (keywords co-occurrence) using VOS viewer (n = 698 scientific publications) was established. Moreover, systematic constraining criteria (1983-2021) limiting the statistical study to 93 scientific publications were carried out. Variance Analysis (ANOVA-2 ways) and Principal Component Analysis (PCA) were used to identify the most influential wastewater treatment typology and parameters affecting viral removal. Bibliometric results showed that at least 25% of the studies on viral removal from wastewater corresponded to the last 2 years. Therefore, SARS-CoV-2 was approached in a particular way. Thus, more than 15 viruses and/or genotypes and more than 20 specific/non-specific technologies for viral removal were statistically analyzed. Results did not report significant differences (p &lt; 0.05) of Log Removal Virus (LRV) between specific (e.g., MBR, chlorination) and non-specific (e.g., activated sludge, anaerobic digestion) technologies. However, MBR (specific) and anaerobic digestion (non-specific) reported the highest viral removal efficiencies. SARS-CoV-2 has been reported to be removed by specific and non-specific technologies, but it is not conclusive. Preliminary statistical approximations establish that the physicochemical parameters (COD, TSS, pH) from wastewater could influence the viral removal. Future challenges should focus on operational improvements, new technology development, and regulation (recycling, discharge) assuming potential risks (human, environment).</t>
  </si>
  <si>
    <t>Villamar, Cristina-Alejandra/AAB-4154-2019</t>
  </si>
  <si>
    <t>Villamar, Cristina Alejandra/0000-0003-4654-0670</t>
  </si>
  <si>
    <t>2214-7144</t>
  </si>
  <si>
    <t>10.1016/j.jwpe.2022.102642</t>
  </si>
  <si>
    <t>WOS:000819961200002</t>
  </si>
  <si>
    <t>Díaz, HA; Díaz, D; Córdova, F</t>
  </si>
  <si>
    <t>Diaz M, Hernan A.; Diaz, Diego; Cordova, Felisa</t>
  </si>
  <si>
    <t>Visualization of EEG brain entropy dynamic maps in basal resting state conditions</t>
  </si>
  <si>
    <t>In this report we explore the use of a method to generate dynamic brain images that represent the variation of the entropic organization of the cerebral cortex during a particular state or condition. The work uses the derivation of nonlinear estimators of the order/chaos balance obtained by calculating the Hurst exponent from the EEG signal captured by an electrocephalograph. The procedure generates entropic estimators of the EEG time series oscillation, for each electrode, being able to obtain consecutive images of individual maps, which represent the nonlinear average of the EEG order/chaos balance for each 125ms of recording. For the investigation, a database of EEG recordings from a sample of thirteen subjects (N=13) was used to construct a sequence of consecutive entropic brain maps from which a video was finally obtained showing the dynamic variation of the order/chaos structure of the cerebral cortex, for the low beta (13-21Hz) and high beta (22-30Hz) sub-bands, during 3 minutes of EEG recording in basal resting conditions, with eyes closed. The results allow us to appreciate the diversity of states of variable entropy through which people's brains pass from moment to moment. As well as the diversity of different entropic patterns found at the intra- and inter-individual level. A first approximation to the wide variety of entropic quasi-equilibrium patterns shows that, within the wide variability, there are some patterns that are repeated at the sample level, with a variable presence of these, at the individual level. The percentage distribution of the order/chaos balance on the brain surface can be quantified in its relative specific magnitude by calculating the percentage representation of the different color codes that correlate with the order/chaos topography drawn from nonlinear estimators applied to EEG segments of 1/8s duration. (C) 2021 The Authors. Published by Elsevier B.V.</t>
  </si>
  <si>
    <t>Córdova, Felisa/AAK-4280-2020; Arciniegas, Hugo Armando/GSN-3657-2022</t>
  </si>
  <si>
    <t>CORDOVA, FELISA/0000-0002-5557-8569</t>
  </si>
  <si>
    <t>10.1016/j.procs.2022.01.176</t>
  </si>
  <si>
    <t>WOS:000765802100179</t>
  </si>
  <si>
    <t>Madrid, JCC</t>
  </si>
  <si>
    <t>Cea Madrid, Juan Carlos</t>
  </si>
  <si>
    <t>Mad Cooperativism: Work, community, and labor inclusion in mental health</t>
  </si>
  <si>
    <t>CUADERNOS DE RELACIONES LABORALES</t>
  </si>
  <si>
    <t>This article addresses the meanings of work management and labor relations in the Locooperativa work community, a solidarity entrepreneurship that brings together people labeled with psychiatric diagnoses and people who have not had this experience through horizontal relationships, with the objective of generating economic income, guaranteeing the right to work and promoting labor inclusion in mental health. From a qualitative methodological approach and case study, the organizational characteristics and particularities of this self-managed work initiative are analyzed. In accordance with this experience, the contributions of Mad Cooperativism as a model of work management and the constitution of new labor relations for diversity and inclusion in contemporary Chile are described.</t>
  </si>
  <si>
    <t>1131-8635</t>
  </si>
  <si>
    <t>1988-2572</t>
  </si>
  <si>
    <t>10.5209/crla.76228</t>
  </si>
  <si>
    <t>WOS:000661884100007</t>
  </si>
  <si>
    <t>Córdova, C; Vivanco, JP; Quintero, J; Mahn, A</t>
  </si>
  <si>
    <t>Cordova, Constanza; Vivanco, Juan P.; Quintero, Julian; Mahn, Andrea</t>
  </si>
  <si>
    <t>Effect of Drum-Drying Conditions on the Content of Bioactive Compounds of Broccoli Pulp</t>
  </si>
  <si>
    <t>FOODS</t>
  </si>
  <si>
    <t>This work studied the effect of drum-rotation frequency, drum temperature, and water-to-pulp ratio in a double-drum drier on the content of sulforaphane, glucoraphanin, total phenolic compounds, ascorbic acid, and antioxidant activity of broccoli pulp through a multilevel factorial design with one replicate. Drum-drying conditions did not significantly affect sulforaphane content, unlike glucoraphanin, however the poor adherence of broccoli pulp resulted in a final product with undefined shape and heterogeneous color. On the other hand, antioxidant activity was unevenly affected by drying conditions; however, drum-rotation frequency affected it in the same way that phenolic compounds and ascorbic acid, showing a concordant behavior. The ascorbic acid content decreased significantly after drying, and it was highly dependent on the experimental factors, resulting in a regression model that explained 90% of its variability. Drum-rotation frequency of 5 Hz, drum temperature of 125 degrees C, and water-to-pulp ratio of 0.25 resulted in an apparent increase of sulforaphane and phenolic compounds content of 13.7% and 47.6%, respectively. Drum drying has great potential to fabricate dehydrated broccoli-based foods with functional properties. Besides, since drum drying has low investment and operation costs, it represents a very attractive option for the industrialization of broccoli derivatives.</t>
  </si>
  <si>
    <t>Quintero, Julian/KHY-7891-2024</t>
  </si>
  <si>
    <t>Vivanco, Juan P./0000-0002-9475-1432; Mahn, Andrea/0000-0001-6082-0279</t>
  </si>
  <si>
    <t>2304-8158</t>
  </si>
  <si>
    <t>10.3390/foods9091224</t>
  </si>
  <si>
    <t>WOS:000580129800001</t>
  </si>
  <si>
    <t>Kazemi, MS; Dominguez, MJ</t>
  </si>
  <si>
    <t>Kazemi, Mir Syavash; Jamett Dominguez, Marcela</t>
  </si>
  <si>
    <t>Simulation and Evaluation of Neuro-Controllers Applied in a SCORBOT</t>
  </si>
  <si>
    <t>2016 IEEE INTERNATIONAL CONFERENCE ON AUTOMATICA (ICA-ACCA)</t>
  </si>
  <si>
    <t>IEEE International Conference on Automatica (ICA-ACCA)</t>
  </si>
  <si>
    <t>OCT 19-21, 2016</t>
  </si>
  <si>
    <t>Univ Talca, Curico, CHILE</t>
  </si>
  <si>
    <t>Univ Talca</t>
  </si>
  <si>
    <t>This work presents different types of neuronal structures to evaluate their performance as a controller, using a robotic arm for that purpose. To study the performance of the controllers, the first step is to study the system in which the controllers will be applied. After that, different strategies of control need to be studied, in this case based on neural networks. Then the entire system can be simulated, in this case with MatLab/Simulink. Finally, the performance is evaluated according to the results.</t>
  </si>
  <si>
    <t>Jamett, Marcela/HLH-3427-2023</t>
  </si>
  <si>
    <t>978-1-5090-1147-6</t>
  </si>
  <si>
    <t>WOS:000390556300107</t>
  </si>
  <si>
    <t>Hutchinson, M; Raff, U</t>
  </si>
  <si>
    <t>Hutchinson, Michael; Raff, Ulrich</t>
  </si>
  <si>
    <t>Is the Fastest MRI a Hologram?</t>
  </si>
  <si>
    <t>JOURNAL OF NEUROIMAGING</t>
  </si>
  <si>
    <t>Real-time MR imaging might exert a profound influence on neuroscience in the future by enabling the direct visualization of neuronal interactions. At this time, however, all practical embodiments of MRI require at least some degree of gradient encoding, and this in turn sets a lower limit of about 100 ms for volume acquisition. A novel formulation of MRI is proposed here which is given the acronym ULTRA (Unlimited Trains of Radio Acquisitions). In the preferred embodiment ULTRA is completely free of gradient reversals, which allows for signal acquisition from the entire object volume simultaneously. This permits a rate of signal acquisition that is increased hundreds of times compared with existing techniques, with full 3-D imaging in as little as one millisecond. The proposed detector now resembles a holographic recording.</t>
  </si>
  <si>
    <t>1051-2284</t>
  </si>
  <si>
    <t>1552-6569</t>
  </si>
  <si>
    <t>10.1111/jon.12141</t>
  </si>
  <si>
    <t>WOS:000344354600001</t>
  </si>
  <si>
    <t>Modak, B; Sandino, AM; Arata, L; Cárdenas-Jirón, G; Torres, R</t>
  </si>
  <si>
    <t>Modak, Brenda; Maria Sandino, Ana; Arata, Loredana; Cardenas-Jiron, Gloria; Torres, Rene</t>
  </si>
  <si>
    <t>Inhibitory effect of aromatic geranyl derivatives isolated from Heliotropium filifolium on infectious pancreatic necrosis virus replication</t>
  </si>
  <si>
    <t>VETERINARY MICROBIOLOGY</t>
  </si>
  <si>
    <t>Infectious pancreatic necrosis is a disease caused by a birnavirus affecting several wild and commercial aquatic organisms. This infectious disease results in significant losses in the farming industry and therefore effective therapeutic agents are needed to control outbreaks caused by this pathogen. Our goal was to evaluate in vitro antiviral effect of a group of natural compounds (geranyl aromatic derivatives) isolated from the resinous exudate of the plant Heliotropium filifolium (Heliotropiaceae), semi-synthetics compounds obtained from them, and the resinous exudate, on CHSE-214 cell line infected with infectious pancreatic necrosis virus (IPNV) using a virus plaque inhibition assay at various concentrations. The compound ester filifolinyl senecionate was the best antiviral with EC(50) 160 mu g/mL and a cytotoxic concentration required to reduce cell viability by 50% up to 400 mu g/mL. In order to obtain information about the mechanism of the antiviral action, was evaluated the influence of ester filifolinyl senecionate on the viral RNA synthesis. This compound produced inhibition of the synthesis of viral genomic RNA, suggesting that the ester could be interacting with the viral RNA during the viral cycle. Additionally, a preliminary study of the interaction between ester and a sample of single-stranded RNA was studied at the level of theory Restricted Hartree Fock PM3 method. The results showed that the ester formed hydrogen bonds mainly with nitrogenous bases but not with ribose and phosphate. These results allow propose that the ester filifolinyl senecionate is a good candidate for used as antiviral therapy for IPN virus in salmon fry. (C) 2009 Elsevier B.V. All rights reserved.</t>
  </si>
  <si>
    <t>Cardenas-Jiron, Gloria/H-9508-2012</t>
  </si>
  <si>
    <t>Cardenas-Jiron, Gloria/0000-0003-4305-8088; SANDINO, ANA MARIA/0000-0002-3862-3743</t>
  </si>
  <si>
    <t>0378-1135</t>
  </si>
  <si>
    <t>FEB 24</t>
  </si>
  <si>
    <t>10.1016/j.vetmic.2009.09.005</t>
  </si>
  <si>
    <t>WOS:000275610200008</t>
  </si>
  <si>
    <t>Nakagawa, M; Luding, S</t>
  </si>
  <si>
    <t>Melo, Francisco; Vivanco, Francisco; Fuentes, Claudio</t>
  </si>
  <si>
    <t>Isolated movement zone for interacting draw points in underground mining: dilation effects</t>
  </si>
  <si>
    <t>POWDERS AND GRAINS 2009</t>
  </si>
  <si>
    <t>AIP Conference Proceedings</t>
  </si>
  <si>
    <t>6th International Conference on the Micromechanics of Granular Media</t>
  </si>
  <si>
    <t>JUL 13-17, 2009</t>
  </si>
  <si>
    <t>Golden, CO</t>
  </si>
  <si>
    <t>Assoc Study Micromech Granular Media,Univ Twente,Colorado Sch Mines</t>
  </si>
  <si>
    <t>The success of the underground mining procedure is based on a good characterization of the rock flow inside the cave. The Kinematic model, used in the granular flow description in hoppers, has been applied to describe experimental situations aimed at sketching the mine operation. The local packing changes occurring at early stages of rock motion that affect the loosening zone is taken into account by introducing a dilation front propagating upward. The dynamics of the dilation front limits the extent of the flow generated by the drawing process allowing the assessment of the loosening zone. Based on the linear character of the kinematic model, it is shown that loosening zone resulting from simultaneous and alternating extractions differ significantly depending on the separation distance between the drawpoints as has been observed experimentally. Based on these finding a brief discussion on optimization of drawpoints distance is given.</t>
  </si>
  <si>
    <t>0094-243X</t>
  </si>
  <si>
    <t>978-0-7354-0682-7</t>
  </si>
  <si>
    <t>WOS:000270602900004</t>
  </si>
  <si>
    <t>Urzúa, A; Iturra, B; Sebastián, B; Muñoz, M</t>
  </si>
  <si>
    <t>Urzua, Alejandro; Iturra, Breezy; Sebastian, Betania; Munoz, Melica</t>
  </si>
  <si>
    <t>Chemical components from the surface of Haplopappus bustillosianus</t>
  </si>
  <si>
    <t>BIOCHEMICAL SYSTEMATICS AND ECOLOGY</t>
  </si>
  <si>
    <t>Urzua, Alejandro/0000-0003-2638-0921</t>
  </si>
  <si>
    <t>0305-1978</t>
  </si>
  <si>
    <t>1873-2925</t>
  </si>
  <si>
    <t>10.1016/j.bse.2007.03.020</t>
  </si>
  <si>
    <t>WOS:000250615000012</t>
  </si>
  <si>
    <t>Castillo, OA; Pinto, I; Rossi, R; Urena, RD</t>
  </si>
  <si>
    <t>Castillo, Octavio A.; Pinto, Ivan; Rossi, Ricardo; Urena, Ruben D.</t>
  </si>
  <si>
    <t>Case report: Laparoscopy-assisted urinary undiversion: Transforming an ileal conduit into an orthotopic continent neobladder</t>
  </si>
  <si>
    <t>JOURNAL OF ENDOUROLOGY</t>
  </si>
  <si>
    <t>Purpose: To describe the technique of laparoscopy-assisted undiversion of an ileal conduit into a continent orthotopic ileal neobladder performed on a patient with a previous radical cystoprostatectomy and ileal conduit. Case Report: A 57-year-old man presented with a prolapsed stoma and a history of a right radical nephroureterectomy for grade 3 ureteral transitional-cell carcinoma and a radical cystoprostatectomy and ileal conduit urinary diversion for in-situ bladder carcinoma, performed 12 and 8 years ago, respectively. After the ileal stoma was resected, five trocars were placed transperitoneally. Partial resection of the distal ileal conduit was performed, leaving in place the proximal segment with its left ureteroileal anastomosis. Flexible urethroscopy revealed a contracting external sphincter, and random urethral frozen-section biopsies ruled out tumor. A 45-cm segment of ileum was isolated and exteriorized through the stoma site, and an ileal neobladder was created extracorporeally, suturing the proximal ileal-conduit segment, with its ureteroileal anastomosis, to it. The ileal neobladder was reintroduced into the abdomen and anastomosed laparoscopically to the urethral stump with six 2-0 polyglactin sutures. The total operative time was 7 hours with a blood loss of 100 mL. There were no intraoperative complications. The hospital stay was 7 days. At a follow-up of 24 months, the patient had total daytime continence and normal renal function, and intravenous urography revealed an unobstructed urinary tract. Conclusion: Laparoscopy-assisted ileal-conduit undiversion into an orthotopic ileal neobladder is technically feasible. It can be considered an alternative to open surgery for patients who have undergone urinary diversion.</t>
  </si>
  <si>
    <t>0892-7790</t>
  </si>
  <si>
    <t>10.1089/end.2006.20.899</t>
  </si>
  <si>
    <t>WOS:000242637100011</t>
  </si>
  <si>
    <t>Aliaga, C; Lissi, EA</t>
  </si>
  <si>
    <t>Comparison of the free radical scavenger activities of quercetin and rutin - An experimental and theoretical study</t>
  </si>
  <si>
    <t>CANADIAN JOURNAL OF CHEMISTRY</t>
  </si>
  <si>
    <t>Natural radical scavengers have recently received considerable interest owing to the role of free radicals in causing oxidative stress in living organisms. Flavonoids constitute one of the most important families of molecules with antioxidant activities, a characteristic associated with the presence in their structure of hydroxyl groups bound to aromatic rings. Quercetin is a potent antioxidant whose high reactivity could be associated with the presence of the OH group in the C ring. To address the role of this group in quercetin's free radical scavenging capacity, we have carried out experimental determinations and theoretical calculations regarding the reactivity of quercetin and rutin. The reactivity of both compounds towards free radicals was assessed employing the radical anion 2,2'-azinobis(3-ethylbenzothiazoline-6-sulfonate) and peroxyl radicals. These measurements indicate that quercetin is more reactive and has more reactive centers than rutin, suggesting that the extra OH group located in the C ring could directly contribute to reactivity of quercetin. This conclusion is in agreement with the evaluation of local reactivity indexes, such as the Fukui function.</t>
  </si>
  <si>
    <t>0008-4042</t>
  </si>
  <si>
    <t>1480-3291</t>
  </si>
  <si>
    <t>10.1139/V04-151</t>
  </si>
  <si>
    <t>WOS:000227072600002</t>
  </si>
  <si>
    <t>Bueno, C; Guerrero, J; Encinas, MV</t>
  </si>
  <si>
    <t>Spectroscopic properties of 4-pyridoxic acid as a function of pH and solvent</t>
  </si>
  <si>
    <t>HELVETICA CHIMICA ACTA</t>
  </si>
  <si>
    <t>The photophysical properties and acid/base equilibria of 4-pyridoxic acid (= 3-hydroxy-5-(hydroxymethyl)-2-methylpyridine-4-carboxylic acid), the final product of the catabolism of vitamin B-6, have been studied in aqueous solutions. The ground state of 4-pyridoxic acid exhibits the different protonated forms A-D in the range of H-0 = -6 to pH 11.5. HMQC- and HMBC-NMR Studies allowed the pH-dependent assignment of the different C-atoms, and the evaluation of the deprotonation sequence. The 3-OH group in the ground state has a 'pK(a)' of H-0 = -0.64, which is much lower than that found for other vitamin B-6 related compounds. The pK(a) value of the 4-COOH group is 5.4. Fluorescence studies showed that the same species exist at the lowest excited singlet state, but in different pH ranges. The 3-OH group is four pH units more acidic in the lowest excited singlet state than in the ground state. Excitation spectra and emission decays in the pH range of 8 to 11.5 indicate that the pyridine N-atom is more basic in the excited singlet state than in the ground state. The emission spectra are red-shifted in protic solvents, in agreement with an intramolecular H-bond between the ionized 3-OH group and the nonionized 4-COOH group.</t>
  </si>
  <si>
    <t>0018-019X</t>
  </si>
  <si>
    <t>1522-2675</t>
  </si>
  <si>
    <t>10.1002/hlca.200490087</t>
  </si>
  <si>
    <t>WOS:000221292600013</t>
  </si>
  <si>
    <t>Abuin, E; Lissi, E; Cerón, A; Rubio, MA</t>
  </si>
  <si>
    <t>Spectroscopic probing of the effect of alkanols on the properties of the head group region in reverse micelles of AOT-heptane-water</t>
  </si>
  <si>
    <t>The effects of addition of alkanols (ethanol, n-hexanol, and 3-ethyl-3-pentanol) on the micropolarity and microviscosity of the head group region in reverse micelles of AOT-heptane-water have been investigated by fluorescence probing methods (ANS fluorescence yield and TMADPH fluorescence anisotropy), complemented by the use of the solvatochromic probe E-T(30) in absorption spectroscopy. For all the alkanols considered, ANS fluorescence in AOT reverse micelles (at W = 3) is quenched by additive incorporation, being the effect elicited almost independent of the alkanol chain length and topology. As sensed by the ET(30) parameter, the micropolarity of the micelle surface increases, remains unmodified, and decreases upon addition of ethanol, 3-ethyl-3-pentanol, and hexanol, respectively. While ethanol barely modifies the fluorescence anisotropy of TMADPH, 3-ethyl-3-pentanol and n-hexanol addition strongly decrease it. The similarity of the tendencies of ANS data to TMADPH anisotropies and the differences between ANS data and ET(30) values would indicate that, at least for 3-ethyl-3-pentanol and n-hexanol, microviscosity, rather than micropolarity, must be considered to interpret the effect of the alkanols upon the fluorescent behavior of ANS. (C) 2003 Elsevier Science (USA). All rights reserved.</t>
  </si>
  <si>
    <t>FEB 15</t>
  </si>
  <si>
    <t>10.1016/S0021-9797(02)00102-9</t>
  </si>
  <si>
    <t>WOS:000181558900018</t>
  </si>
  <si>
    <t>Abuin, E; Lissi, E; Ortiz, P; Henriquez, C</t>
  </si>
  <si>
    <t>Uric acid reaction with DPPH radicals at the micellar interface</t>
  </si>
  <si>
    <t>Uric acid, a water soluble antioxidant, is able to react with micelle incorporated diphenylpicrylhydracyl radicals. This indicates that uric acid can react at the lipid/water interface. The rate of the process follows the order cationic micelles &gt;buffer/etanol &gt; neutral micelles. anionic micelles These results can be explained in terms of the compartmentalization of the reactants in different environments and the effect of electrostatic interactions in modulating the access of the urate anion to the micellar interface. Experiments aimed to determine if urate is able to react with a-tocopheroxyl radicals regenerating alpha-tocopherol were uncesessful, indicating that urate is not able to delay vitamin E consumption in the presence of lipid - soluble free radicals.</t>
  </si>
  <si>
    <t>WOS:000176814300009</t>
  </si>
  <si>
    <t>Zagal, JH; Gulppi, MA; Caro, CA; Cárdenas-Jirón, GI</t>
  </si>
  <si>
    <t>Paradoxical effect of the redox potential of adsorbed metallophthalocyanines on their activity for the oxidation of 2-mercaptoethanol.: Inner versus outer sphere electrocatalysis</t>
  </si>
  <si>
    <t>ELECTROCHEMISTRY COMMUNICATIONS</t>
  </si>
  <si>
    <t>We have studied the effect of the redox potential of metallophthalocyanines (M-Pcs) adsorbed on graphite on their electrocatalytic activity for the oxidation of 2-mercaptoethanol (ME). This was achieved by: (i) changing the metal in the phthalocyanine (M-Pc where M = Cr, Mn, Fe, Co, Ni and Cu) and (ii) using cobalt phthalocyanines with electron-donor and electron-withdrawing substituents on the macrocyclic ligand. For phthalocyanines of different metals a pilot of log k versus the redox potential of the catalyst gives a straight line of slope 0.10 V decade(-1) which is close to the value obtained (0.12 V decade(-1)) from Tafel plots for all M-Pcs investigated. In contrast, when different substituted cobalt phthalocyanines are compared, a plot of log k versus redox potential gives a straight line of negative slope ( - 0.240 V decade(-1)) and the rate decreases with driving force. Since ME electrooxidation in aqueous media most likely proceeds via an inner-sphere mechanism and the rate-determining step is the same for all cobalt phthalocyanines investigated, the decrease in rate constant with driving force may be due to a decrease in the electronic coupling between the cobalt center and the sulfur in ME. Preliminary PM3 semi-empirical theoretical calculations of the electronic coupling associated with the interaction of the metal in the phthalocyanine and the ME molecule support this explanation. (C) 1999 Elsevier Science S.A.. All rights reserved.</t>
  </si>
  <si>
    <t>Gulppi, Miguel/KTA-6210-2024; zagal, jose/L-9648-2014; Cardenas-Jiron, Gloria/H-9508-2012</t>
  </si>
  <si>
    <t>Cardenas-Jiron, Gloria/0000-0003-4305-8088; Gulppi, Miguel/0000-0001-6099-4463</t>
  </si>
  <si>
    <t>1388-2481</t>
  </si>
  <si>
    <t>10.1016/S1388-2481(99)00076-4</t>
  </si>
  <si>
    <t>WOS:000083064200006</t>
  </si>
  <si>
    <t>Salas-Bruggink, DIJ; Martin, JSS; Leiva, G; Blamey, JM</t>
  </si>
  <si>
    <t>Salas-Bruggink, Diego I. J.; Martin, Jorge Sanchez-San; Leiva, Gabriel; Blamey, Jenny M.</t>
  </si>
  <si>
    <t>Extremozymes: Challenges and opportunities on the road to novel enzymes production</t>
  </si>
  <si>
    <t>PROCESS BIOCHEMISTRY</t>
  </si>
  <si>
    <t>Extremozymes, enzymes derived from extremophilic organisms, have gained significant attention in industrial applications due to their remarkable resistance to extreme conditions. Their unique properties offer advantages over traditional mesophilic enzymes, making them valuable for applications in biocatalysis, bioremediation, and biotransformations. However, the discovery and downstream processing of them still presents challenges. Native microorganisms that produce extremozymes often exhibit slow growth, resulting in low quantities of specific enzymes. On the other hand, the heterologous expression of extremozymes can be complex, involving challenges such as rare codon usage, formation of secondary mRNA structures, misfolding, aggregation, and inactivation of the enzymes in several cases when they are expressed in conventional mesophilic hosts. In this review, we address the challenges associated to the discovery and production of novel extremozymes. Furthermore, we explore current approaches to overcome these challenges, including use of alternative expression systems through next generation industrial biotechnology (NGIB), cell-free protein synthesis (CFPS), culturomics, new metagenomic approaches, artificial intelligence (AI), among others.</t>
  </si>
  <si>
    <t>Salas Bruggink, Diego Ignacio Jesus/0009-0004-1498-6509</t>
  </si>
  <si>
    <t>1359-5113</t>
  </si>
  <si>
    <t>1873-3298</t>
  </si>
  <si>
    <t>10.1016/j.procbio.2024.04.035</t>
  </si>
  <si>
    <t>MAY 2024</t>
  </si>
  <si>
    <t>WOS:001325384400001</t>
  </si>
  <si>
    <t>Fierro, A; Vergara, PM; Carvajal, MA; Zúñiga, AH; Alaniz, AJ</t>
  </si>
  <si>
    <t>Fierro, Andres; Vergara, Pablo M.; Carvajal, Mario A.; Zuniga, Alfredo H.; Alaniz, Alberto J.</t>
  </si>
  <si>
    <t>Understanding how habitat conditions modulate the impact of ecosystem engineers on tree-hollow-dwelling organisms</t>
  </si>
  <si>
    <t>ECOLOGICAL ENGINEERING</t>
  </si>
  <si>
    <t>Saproxylophagous beetles usually are considered ecosystem engineers (EEs) by providing microhabitats for a great variety of organisms in tree hollows. However, there is still little clarity on the contribution of EEs to hollow -dwelling biodiversity since environmental conditions can exert control over the ecological function of EEs. We hypothesized that saproxylophages act as ecosystem engineers with community effects that are mediated by environmental forces over different spatiotemporal scales. Structural Equation Models (SEMs) were used to test this hypothesis against alternative hypotheses explaining the community structure of vertebrates and invertebrates occupying hollows in South American temperate forests. SEMs provided evidence for the interactive effects of saproxylophages and landscape -scale variables on invertebrates (fungivores, non -beetle predators, parasitoids, and detritivores) while predatory beetles were additively affected by saproxylophages. The abundance and richness of fungivores were positively affected by the richness of saproxylophages in landscapes with low cover of forests, while the abundance of saproxylophages affected positively the abundance of both parasitoids and non -beetle predators when secondary forests covered &gt;30% of landscapes. The abundance and richness of vertebrates and invertebrates was also affected by habitat variables over different spatial scales. The small -sized saproxylophages played a more important role as EEs when compared to large -sized species while the most frequent species had effects comparable to those of the saproxylophagous assemblage. Our results suggest that the richness/abundance of EEs and landscape properties have compensatory and synergistic effects that lead to landscape -scale thresholds, thus providing insights into ecological conditions needed to conserve hollowdwelling organisms.</t>
  </si>
  <si>
    <t>Vergara, Pablo/F-2519-2010; Carvajal, Mario/GYU-2659-2022; Alaniz, Alberto/J-3104-2019</t>
  </si>
  <si>
    <t>0925-8574</t>
  </si>
  <si>
    <t>1872-6992</t>
  </si>
  <si>
    <t>10.1016/j.ecoleng.2024.107207</t>
  </si>
  <si>
    <t>FEB 2024</t>
  </si>
  <si>
    <t>WOS:001186919000001</t>
  </si>
  <si>
    <t>Beltramin, JB; Candia, LC</t>
  </si>
  <si>
    <t>Beltramin, Jorge Brower; Candia, Leticia Contreras</t>
  </si>
  <si>
    <t>The Immigration Law 1.094 of 1975 as a discursive device in the context of the civil- military dictatorship</t>
  </si>
  <si>
    <t>REVISTA GESTION DE LAS PERSONAS Y TECNOLOGIA</t>
  </si>
  <si>
    <t>In our times, migration has become a priority issue on the international agenda. The need to have appropriate legislation on this matter is unavoidable, ensuring protection for those who move, seeking a better quality of life. In this work, we analyze the immigration law 1,094 promulgated by the Chilean civic-military dictatorship in 1975. Considering its discursive/legal status, we are interested in its analysis as a legal reference in relation to subsequent projects and the current Immigration Law, in force since the year 2021. For its reading, analysis and understanding, we have resorted to the concept of knowledge/power device, developed by Foucault, particularly in its discursive dimension. This allows us to characterize the semantic and ideological construction that is made of migrant subjects, in the context of a dictatorship, regulated by conditions of normative of a totalitarian</t>
  </si>
  <si>
    <t>0718-5693</t>
  </si>
  <si>
    <t>AUG-NOV</t>
  </si>
  <si>
    <t>10.35588/gpt.v14i45.5898</t>
  </si>
  <si>
    <t>WOS:000893256200001</t>
  </si>
  <si>
    <t>Rivera, M; Rivas, S; Urbina, D; Guerrero, N; Bartolucci, C</t>
  </si>
  <si>
    <t>Rivera, Magdalena; Rivas, Sergio; Urbina, Danilo; Guerrero, Natalia; Bartolucci, Constanza</t>
  </si>
  <si>
    <t>Experience of Online Training in Sexuality in the Context of a Pandemic</t>
  </si>
  <si>
    <t>INTERNATIONAL JOURNAL OF SEXUAL HEALTH</t>
  </si>
  <si>
    <t>1931-7611</t>
  </si>
  <si>
    <t>1931-762X</t>
  </si>
  <si>
    <t>JAN 28</t>
  </si>
  <si>
    <t>WOS:000783334400324</t>
  </si>
  <si>
    <t>Cruz, N; González, E; Jovel, J</t>
  </si>
  <si>
    <t>Cruz, Norman; Gonzalez, Esteban; Jovel, Jose</t>
  </si>
  <si>
    <t>Singularities and soft-Big Bang in a viscous ?CDM model</t>
  </si>
  <si>
    <t>PHYSICAL REVIEW D</t>
  </si>
  <si>
    <t>In this paper we explore the different types of singularities that arise in the ?CDM model when dissipative processes are considered, in the framework of the Eckart's theory. In particular, we study the late-time behavior of ?CDM model with viscous cold dark matter (CDM) and an early-time viscous radiation domination era with cosmological constant (CC). The fluids are described by the barotropic equation of state (EoS) p = (gamma - 1)p, where p is the equilibrium pressure of the fluid, p their energy density, and gamma is the barotropic index. We explore two particular cases for the bulk viscosity xi, a constant bulk viscosity xi = xi 0, and a bulk viscosity proportional to the energy density of the fluid xi = xi 0p. Due to some previous investigations that have explored how to describe the behavior of the Universe with a negative CC, we extend our analysis to this case. We found that future singularities like Big Rip are allowed but without having a phantom EoS associated with the DE fluid. Big Crunch singularities also appears when a negative CC is present, but also de Sitter and even Big Rip types are allowed due to the negative pressure of the viscosity, which opens the possibility of an accelerated expansion in anti-de Sitter (AdS) cosmologies. We also discuss a very particular solution without Big Bang singularity that arises in the early-time radiation dominant era of our model known as soft-Big Bang.</t>
  </si>
  <si>
    <t>González, Esteban/AGF-1575-2022</t>
  </si>
  <si>
    <t>Cruz, Norman/0000-0002-0737-3497</t>
  </si>
  <si>
    <t>2470-0010</t>
  </si>
  <si>
    <t>2470-0029</t>
  </si>
  <si>
    <t>JAN 20</t>
  </si>
  <si>
    <t>10.1103/PhysRevD.105.024047</t>
  </si>
  <si>
    <t>WOS:000747807800004</t>
  </si>
  <si>
    <t>Molinet, J; Cubillos, FA</t>
  </si>
  <si>
    <t>Molinet, Jennifer; Cubillos, Francisco A.</t>
  </si>
  <si>
    <t>Wild Yeast for the Future: Exploring the Use of Wild Strains for Wine and Beer Fermentation</t>
  </si>
  <si>
    <t>FRONTIERS IN GENETICS</t>
  </si>
  <si>
    <t>The continuous usage of single Saccharomyces cerevisiae strains as starter cultures in fermentation led to the domestication and propagation of highly specialized strains in fermentation, resulting in the standardization of wines and beers. In this way, hundreds of commercial strains have been developed to satisfy producers' and consumers' demands, including beverages with high/low ethanol content, nutrient deprivation tolerance, diverse aromatic profiles, and fast fermentations. However, studies in the last 20 years have demonstrated that the genetic and phenotypic diversity in commercial S. cerevisiae strains is low. This lack of diversity limits alternative wines and beers, stressing the need to explore new genetic resources to differentiate each fermentation product. In this sense, wild strains harbor a higher than thought genetic and phenotypic diversity, representing a feasible option to generate new fermentative beverages. Numerous recent studies have identified alleles in wild strains that could favor phenotypes of interest, such as nitrogen consumption, tolerance to cold or high temperatures, and the production of metabolites, such as glycerol and aroma compounds. Here, we review the recent literature on the use of commercial and wild S. cerevisiae strains in wine and beer fermentation, providing molecular evidence of the advantages of using wild strains for the generation of improved genetic stocks for the industry according to the product style.</t>
  </si>
  <si>
    <t>Cubillos, Francisco/MIT-2389-2025; Molinet, Jennifer/AAI-3636-2020; Cubillos, Francisco/G-5195-2019</t>
  </si>
  <si>
    <t>Cubillos, Francisco/0000-0003-3022-469X; Molinet, Jennifer/0000-0001-9716-4455</t>
  </si>
  <si>
    <t>1664-8021</t>
  </si>
  <si>
    <t>NOV 2</t>
  </si>
  <si>
    <t>10.3389/fgene.2020.589350</t>
  </si>
  <si>
    <t>WOS:000589334700001</t>
  </si>
  <si>
    <t>Martínez, P; Contreras, D</t>
  </si>
  <si>
    <t>Martinez, Pablo; Contreras, Daniela</t>
  </si>
  <si>
    <t>The effects of Chile's 2005 traffic law reform and in-country socioeconomic differences on road traffic deaths among children aged 0-14 years: A 12-year interrupted time series analysis</t>
  </si>
  <si>
    <t>ACCIDENT ANALYSIS AND PREVENTION</t>
  </si>
  <si>
    <t>Objectives: This study assessed the effect of Chile's 2005 traffic law reform (TLR) on the rates of road traffic deaths (RTD) in children aged 0-14 years, adjusting for socioeconomic differences among the regions of the country. Methods: Free-access sources of official and national information provided the data for every year of the study period (2002-2013) and for each of the country's 13 upper administrative divisions with respect to RTD in child pedestrians and RTD in child passengers (dependent variables), and the following control variables: the number of road traffic tickets processed, investment in road infrastructure, poverty, income inequality, insufficient education, unemployment, population aged 0-14 years, and prevalence of alcohol consumption in the general population. Interrupted time series analyses (level and slope change impact model), using generalized estimating equation methods, were conducted to assess the impact of the TLR (independent variable) on the dependents variables. Results: There was a significant interaction between time and Chile's 2005 TLR for a reduction in child pedestrians (incidence rate ratio [IRR] 0.87, 95% confidence interval [CI] 0.79-0.96) and passengers RID (IRR for interaction 0.80, 95% CI 0.67-0.96) trends. In addition, in child pedestrians, RID rates were affected by poverty (IRR 1.04, 95% CI 1.02-1.05), income inequality (IRR 1.02, 95% CI 1.00-1.04), and unemployment (IRR 0.94, 95% CI 0.90-0.98), whereas in the case of child passengers, poverty (IRR 1.05, 95% CI 1.01-1.08) and income inequality (IRR 0.93, 95% CI 0.91-0.95) were significant. Conclusions: Large-scale legislative actions can be effective road safety measures if they are aimed at promoting behavioral change in developing countries, improving the safety of children on the road. Additionally, regional socioeconomic differences are associated with higher RTD rates in this population, making this an argument in favor of road safety policies that consider these inequalities. The number of road traffic tickets processed and the investment in road infrastructure were not significant.</t>
  </si>
  <si>
    <t>Martínez, Pablo/LZF-5853-2025</t>
  </si>
  <si>
    <t>Martinez, Pablo/0000-0003-4482-7993</t>
  </si>
  <si>
    <t>0001-4575</t>
  </si>
  <si>
    <t>1879-2057</t>
  </si>
  <si>
    <t>10.1016/j.aap.2019.105335</t>
  </si>
  <si>
    <t>WOS:000514253000018</t>
  </si>
  <si>
    <t>Ross, C</t>
  </si>
  <si>
    <t>BernalMeza, R; Xing, L</t>
  </si>
  <si>
    <t>Ross, Cesar</t>
  </si>
  <si>
    <t>Chile and China, 2000-2016: The Humming Bird and the Panda</t>
  </si>
  <si>
    <t>CHINA-LATIN AMERICA RELATIONS IN THE 21ST CENTURY: THE DUAL COMPLEXITIES OF OPPORTUNITIES AND CHALLENGES</t>
  </si>
  <si>
    <t>International Political Economy Series</t>
  </si>
  <si>
    <t>978-3-030-35614-9; 978-3-030-35613-2</t>
  </si>
  <si>
    <t>10.1007/978-3-030-35614-9_7</t>
  </si>
  <si>
    <t>10.1007/978-3-030-35614-9</t>
  </si>
  <si>
    <t>WOS:000668693500007</t>
  </si>
  <si>
    <t>Laroze, D</t>
  </si>
  <si>
    <t>Laroze, Denise</t>
  </si>
  <si>
    <t>Party collapse and new party entry</t>
  </si>
  <si>
    <t>PARTY POLITICS</t>
  </si>
  <si>
    <t>The entry and success of new parties has become a regular event in modern democracies. From the emergence of green to protest parties, new movements have entered the electoral arena. This article addresses one of the less studied aspects of new parties: the dynamic process of party exit and entry into politics. The article argues that changes to the party system, produced by the collapse of a political party, can lead to the successful entrance of new parties in the next election. The premise is that one party's loss is a future one's gain. The empirical results provide strong evidence that the size of the policy space created by a party collapse has a substantial impact on the level of new party's success.</t>
  </si>
  <si>
    <t>1354-0688</t>
  </si>
  <si>
    <t>1460-3683</t>
  </si>
  <si>
    <t>10.1177/1354068817741286</t>
  </si>
  <si>
    <t>WOS:000485296100007</t>
  </si>
  <si>
    <t>Quiroz, M; Céspedes, C</t>
  </si>
  <si>
    <t>Quiroz, Madelaine; Cespedes, Cecilia</t>
  </si>
  <si>
    <t>Bokashi as an Amendment and Source of Nitrogen in Sustainable Agricultural Systems: a Review</t>
  </si>
  <si>
    <t>JOURNAL OF SOIL SCIENCE AND PLANT NUTRITION</t>
  </si>
  <si>
    <t>Integral soil fertility is managed by practices that contribute to organic matter, which improves its properties. Bokashi is an organic amendment that can be part of the tools used in sustainable soil management. This review systematizes existing information regarding the production and use of bokashi. In addition to discussing guidelines for the production and use of good-quality bokashi, it also focuses on the availability of N and microbial aspects, using compost as a reference amendment. Through this review, it was also found that (1) in order to obtain bokashi with a high N content, raw materials with a high N content must be used and, the dose of the initial C source of easy microbial assimilation should be increased. (2) Regarding the acceleration of the mineralization of the organic matter produced by the microbial inoculum, contradictory results have been obtained. Therefore, a better understanding of the interactions between the microorganisms that constitute the inoculum and the principle native microbial groups is required. (3) Few studies have evaluated the relationships between the N availability of bokashi, yield, and crop characteristics, as well as how bokashi could contribute to the fertility and availability of N when included in combination with other cultural practices.</t>
  </si>
  <si>
    <t>Quiroz, Madelaine/ACG-9162-2022</t>
  </si>
  <si>
    <t>0718-9508</t>
  </si>
  <si>
    <t>0718-9516</t>
  </si>
  <si>
    <t>10.1007/s42729-019-0009-9</t>
  </si>
  <si>
    <t>WOS:000471078200023</t>
  </si>
  <si>
    <t>Gaete-Garretón, L; Briceño-Gutiérrez, D; Vargas-Hernández, Y; Zanelli, CI</t>
  </si>
  <si>
    <t>Gaete-Garreton, L.; Briceno-Gutierrez, D.; Vargas-Hernandez, Y.; Zanelli, C. I.</t>
  </si>
  <si>
    <t>Ultrasonic atomization of distilled water</t>
  </si>
  <si>
    <t>JOURNAL OF THE ACOUSTICAL SOCIETY OF AMERICA</t>
  </si>
  <si>
    <t>Experimental data on ultrasonic atomization of distilled water in a frequency range from 5 to 50 kHz are presented. A good agreement was found with the predictions of Raj an and Pandit [Ultrasonics 39, 235-255 (2001)] for the atomized primary drop size as a function of frequency. The correlation of atomization drop size for different frequencies is useful when producing nanoparticles, spray drying of suspensions, and covering of surfaces using different liquid products. Determining the displacement amplitude threshold for atomization at different frequencies is valuable in designing ultrasonic atomization systems. It is essential to measure the displacement amplitude of the atomizing surface rather that power applied to the transducer because the former is absolute while the latter depends on the efficiency of the transducer and other design parameters. As previous predictions for atomization threshold proved inaccurate, an empirical expression is proposed (based on the authors' measurements) to predict the amplitude atomization threshold for the studied frequency range. (C) 2018 Acoustical Society of America.</t>
  </si>
  <si>
    <t>Gaete-Garreton, Luis/0000-0002-2234-8783</t>
  </si>
  <si>
    <t>0001-4966</t>
  </si>
  <si>
    <t>1520-8524</t>
  </si>
  <si>
    <t>10.1121/1.5045558</t>
  </si>
  <si>
    <t>WOS:000440810900034</t>
  </si>
  <si>
    <t>Selection of reference genes for microRNA analysis associated to early stress response to handling and confinement in Salmo salar (vol 7, 1756, 2017)</t>
  </si>
  <si>
    <t>APR 16</t>
  </si>
  <si>
    <t>10.1038/s41598-018-24595-6</t>
  </si>
  <si>
    <t>WOS:000430054200003</t>
  </si>
  <si>
    <t>Vijayakumar, V; Henríquez, HR</t>
  </si>
  <si>
    <t>Vijayakumar, V.; Henriquez, Hernan R.</t>
  </si>
  <si>
    <t>Existence of Global Solutions for a Class of Abstract Second-Order Nonlocal Cauchy Problem with Impulsive Conditions in Banach Spaces</t>
  </si>
  <si>
    <t>NUMERICAL FUNCTIONAL ANALYSIS AND OPTIMIZATION</t>
  </si>
  <si>
    <t>In this paper, we are concerned with a class of abstract second-order nonlocal Cauchy problem with impulsive conditions in Banach spaces. First, we study the existence of mild solutions for a class of second-order nonlocal Cauchy problem with impulsive conditions in Banach spaces on an interval [0,a]. Later, we study a couple of cases where we can establish the existence of global solutions for a class of abstract second-order nonlocal Cauchy problem with impulsive conditions in Banach spaces. We apply our theory to study the existence of solutions for impulsive partial differential equations.</t>
  </si>
  <si>
    <t>VIJAYAKUMAR, Dr. VELUSAMY/A-7860-2015</t>
  </si>
  <si>
    <t>VIJAYAKUMAR, Dr. VELUSAMY/0000-0001-5976-5794</t>
  </si>
  <si>
    <t>0163-0563</t>
  </si>
  <si>
    <t>1532-2467</t>
  </si>
  <si>
    <t>10.1080/01630563.2017.1414060</t>
  </si>
  <si>
    <t>WOS:000427950100005</t>
  </si>
  <si>
    <t>Alburquenque, D; Pérez-Erices, L; Pereira, A; Escrig, J</t>
  </si>
  <si>
    <t>Alburquenque, Daniela; Perez-Erices, Lizardo; Pereira, Alejandro; Escrig, Juan</t>
  </si>
  <si>
    <t>Tailoring the magnetic properties of Ni81Fe19 thin films by varying their thickness</t>
  </si>
  <si>
    <t>Ni81Fe19Oy thin films with different thicknesses were obtained by atomic layer deposition. After a thermal reduction process, Ni81Fe19Oy films were converted to their strong Ni81Fe19 ferromagnetic phase, usually known as Permalloy. The different thicknesses were obtained by considering 500, 1000, 1500 and 2000 supercycles, which are defined as a cycle of NiCp2/O-3 followed by another cycle of FeCp2/O-3. The samples were characterized before and after the thermal reduction process with respect to their crystallinity, morphology and magnetism. In particular, the thermally reduced samples exhibit holes whose sizes increase significantly as the thickness of the samples also increases, affecting their magnetic behaviour. As Permalloy is widely used in many applications, its synthesis through atomic layer deposition is expected to introduce comparative advantages over other synthesis processes, opening up new possibilities for nanoelectronic devices. (C) 2017 Elsevier B.V. All rights reserved.</t>
  </si>
  <si>
    <t>Pereira Abarca, Alejandro/0000-0002-4473-0852; Alburquenque, Daniela/0000-0001-9236-3308; Escrig, Juan/0000-0002-3958-8185</t>
  </si>
  <si>
    <t>10.1016/j.jmmm.2017.06.066</t>
  </si>
  <si>
    <t>WOS:000408015500093</t>
  </si>
  <si>
    <t>Rando, EA; Allende, S</t>
  </si>
  <si>
    <t>Rando, E. A.; Allende, S.</t>
  </si>
  <si>
    <t>Magnetic reversal modes in multisegmented nanowire arrays with long aspect ratio</t>
  </si>
  <si>
    <t>A detailed numerical analysis of the magnetization reversal processes in multisegmented nanowire arrays was developed. The nanowires have a long aspect ratio and are formed by magnetic and non-magnetic sections alternately arranged in such a way that the array resembles magnetic layers separated by non-magnetic layers. Attention has been focused on the influence of magnetostatic interaction in the magnetic pattern formation of these magnetic nanostructures. Results from a magnetic correlation function among layers show that three different reversal modes can be detected depending on the number and distance between the magnetic segments. As a consequence of the different reversal modes, a non-monotonic behavior of the annihilation field in function of the distance between the layers is evidenced. Thus, these results are important for the production of magnetic devices with multisegmented nanowire arrays. (C) 2015 AIP Publishing LLC.</t>
  </si>
  <si>
    <t>JUL 7</t>
  </si>
  <si>
    <t>10.1063/1.4926377</t>
  </si>
  <si>
    <t>WOS:000357873100013</t>
  </si>
  <si>
    <t>Cottet, L; Rivas-Aravena, A; Cortez-San Martin, M; Sandino, AM; Spencer, E</t>
  </si>
  <si>
    <t>Cottet, Luis; Rivas-Aravena, Andrea; Cortez-San Martin, Marcelo; Maria Sandino, Ana; Spencer, Eugenio</t>
  </si>
  <si>
    <t>Infectious salmon anemia virus-Genetics and pathogenesis</t>
  </si>
  <si>
    <t>VIRUS RESEARCH</t>
  </si>
  <si>
    <t>The infectious salmon anemia virus (ISAV) is the causative agent of the ISA syndrome that affects mainly Atlantic salmon (Salmo solar) and has caused high mortality epidemics in Norway, Scotland, Canada, the United States and Chile. It is classified as an Orthomyxoviridae, its genome is composed of 8 single-strand RNA segments with negative polarity that code for 11 polypeptides. Through functional studies of the coded proteins it has been established that RNA segments 5 and 6 code for a fusion protein and hemagglutinin, respectively, while two polypeptides coded by segments 7 and 8 inhibit interferon induction. The functions of the rest of the possible proteins coded by the viral genome have been assigned by comparison with the corresponding ones of the influenza virus genome. As to its pathogenicity, some growth parameters such as incubation period, resistance to chemical and physical factors, establishment of the infection in other marine species, and dissemination ability among the different organs have been evaluated in several salmonids. Genomic analysis has shown (i) the existence of a high polymorphism region (HPR) in segment 6, and (ii) sequence insertion in segment 5. More than 20 HPR variants have been determined, all originating from HPR0, which is associated with low pathogenicity, while 4 different sequence insertions in segment 5 have not been related with some characteristic of the virus infection. Much progress has been made in the characterization of the virus in 20 years of study, but more detailed knowledge of the specific function of the proteins coded by all the viral genes is still missing, including the pathogenicity mechanism at the molecular level. (C) 2010 Elsevier B.V. All rights reserved.</t>
  </si>
  <si>
    <t>SANDINO, ANA MARIA/0000-0002-3862-3743; Spencer, Eugenio/0000-0001-6109-140X</t>
  </si>
  <si>
    <t>0168-1702</t>
  </si>
  <si>
    <t>1872-7492</t>
  </si>
  <si>
    <t>10.1016/j.virusres.2010.10.021</t>
  </si>
  <si>
    <t>WOS:000287010300002</t>
  </si>
  <si>
    <t>Abuin, E; Lissi, E; León, L</t>
  </si>
  <si>
    <t>Abuin, Elsa; Lissi, Eduardo; Leon, Luis</t>
  </si>
  <si>
    <t>Kinetics of ethanol oxidation catalyzed by yeast alcohol dehydrogenase in aqueous solutions of sodium dodecylsulfate</t>
  </si>
  <si>
    <t>A study has been made of the effect of sodium dodecylsufate (SDS) addition on the oxidation of ethanol catalyzed by yeast alcohol dehydrogenase. Experiments were performed at pH = 8.1 and SDS concentrations employed were below and above the surfactant critical micelle concentration (CMC). The double reciprocal plots obtained in the absence and in the presence of the surfactant were compatible with a sequential bi-bi ordered mechanism. In the presence of the surfactant the initial reaction rates were consistently lower than in pure buffer at all the surfactant concentrations considered (0.5-50 mM). This effect is mainly due to an increase in the dissociation constant of beta-NAD(+) which reaches its maximum value (7,100 +/- 1,700 mu M) at the CMC. Above the CMC the effect of the surfactant is mainly due to an increase in the Michaels constants of the alcohol, with values of 41 +/- 1 mM for 15 mM SDS and 50 +/- 1 mM for 50 mM SDS. The catalytic rate constant was found to be practically independent of the presence of the surfactant in the range of concentrations considered (up to 50 mM).</t>
  </si>
  <si>
    <t>10.1007/s10930-008-9131-6</t>
  </si>
  <si>
    <t>WOS:000255868000006</t>
  </si>
  <si>
    <t>Abuin, E; Lissi, E; Solar, C</t>
  </si>
  <si>
    <t>Effect of urea on the enzymatic activity of a lipase entrapped in AOT-heptane-water reverse micellar solutions</t>
  </si>
  <si>
    <t>A study has been made of the effect of urea upon the hydrolysis of 2-naphthyl acetate (2-NA) catalyzed by lipase from Rhizopus arrhizus in AOT-heptane-water reverse micellar solutions at pH 7. The partition constants, K, of 2-NA between n-heptane and aqueous urea solutions in the absence of micelles were also determined. It was found that K decreases when the concentration of urea increases. In aqueous solution the rate of hydrolysis of 2-NA catalyzed by lipase is dependent on the concentration of urea (at a given 2-NA concentration). This result can be due to a decrease in the magnitude of the association of lipase with 2-NA and/or to changes in the reaction rate of the lipase-2-NA complex. The modifications of the enzymatic activities elicited by addition of urea show a lineal correlation with K, emphasizing the relevance of hydrophobic effects in the loss of activity. Nevertheless, the slope of the line is higher than one, suggesting that changes in the conformation of the enzyme would be also important. Addition of urea to the micellar solutions provokes a decrease of the enzyme activity. From the dependence of the reaction rate with AOT concentration, the partition constant of 2-NA between n-heptane and the micelles, K-p, was obtained. In the presence of 2 M urea a value of K-p = 0.33 M-1 was derived. This value is lower than that measured in the absence of urea (Aguilar et al., Arch. Biochem. Biophys. 388 (2001) 231), indicating that incorporation of urea to the micellar interface produces a decrease of the association of 2-NA with the micelles. From a comparison of the results obtained in the micellar solution and in aqueous solution, it is concluded that the enzyme is more resistant to denaturation by urea in the micellar solution than in aqueous solution. Furthermore, at intermediate urea concentrations (2 M), the additive produces an increase in the Michaelis constant (K-M) without a significant decrease (or even a small increase) in the catalytic rate constant (k(cat)). (C) 2004 Elsevier Inc. All rights reserved.</t>
  </si>
  <si>
    <t>MAR 1</t>
  </si>
  <si>
    <t>10.1016/j.jcis.2004.08.176</t>
  </si>
  <si>
    <t>WOS:000227114700010</t>
  </si>
  <si>
    <t>Vivanco, F; Melo, F</t>
  </si>
  <si>
    <t>Experimental study of surface waves scattering by a single vortex and a vortex dipole</t>
  </si>
  <si>
    <t>Surface waves interacting with filamentary vortex offer an interesting tool to characterize static and dynamics of surface vorticity. An experimental study of the scattered wave by a single vortex as well as by a vortex dipole is reported. On a plane wave front, the vortex circulation introduces a spatial phase shift that gives rise to dislocated waves. Dislocations can be explained by the effect of the differential advection due to the vortex flow, on the propagating wave front. Both the Burgers vector of dislocations and the scattering cross section are measured in the deep water regime. The analogy between the wave-vortex interaction and the Aharonov-Bohm effect in quantum mechanics is explored by contrasting the Burgers vectors of dislocations as well as the form of the scattered wave in both cases. For the case of the hard core vortex, spiral waves are observed in agreement with theoretical works on both the Aharanov-Bohm effect and classical surface wave mechanics.</t>
  </si>
  <si>
    <t>10.1103/PhysRevE.69.026307</t>
  </si>
  <si>
    <t>WOS:000220255500052</t>
  </si>
  <si>
    <t>Development and performance of a deep-diffused, planar-construction avalanche photodiode</t>
  </si>
  <si>
    <t>A deep-diffused, large-area avalanche photodiode (APD) without bevel has been designed and built for use in low-light level applications. 2 and 3 mm diameter active area APDs have been built using standard planar technology for silicon devices, and a gain of 6 is obtained at 1300 V. The dark current is dependent on external voltage and it is only 50 to 80 nA below breakdown, which is much lower than standard bevel edge devices. The energy resolution of a (CS)-C-137 source with an APD coupled to a CI(TI) scintillator was 14.5%. We have also performed simulations of the gain and breakdown voltage that correlate well with the results.</t>
  </si>
  <si>
    <t>WOS:000180065500045</t>
  </si>
  <si>
    <t>Barrueto, L; Mallol, J; Figueroa, L</t>
  </si>
  <si>
    <t>Beclomethasone dipropionate and salbutamol by metered dose inhaler in infants and small children with recurrent wheezing</t>
  </si>
  <si>
    <t>PEDIATRIC PULMONOLOGY</t>
  </si>
  <si>
    <t>The efficacy of beclomethasone dipropionate (BDP) to control respiratory symptoms was evaluated in 31 children under age 2 years with recurrent wheezing. The study was conducted in a double-blind, parallel, and placebo-controlled fashion. The two study groups received either salbutamol plus BDP 200 mug bid by metered dose inhaler (MDI) with a spacer, or salbutamol MDI plus a placebo. Inhaled corticosteroid (IC) and placebo were administered for 8 weeks. Patients were seen every 2 weeks as outpatients, and their progress was evaluated by clinical examination and a daily symptom score card. At the end of the study, patients in both groups had significantly decreased symptoms. No significant difference was found between BDP and placebo groups regarding clinical score, number of salbutamol doses, sleep disturbances, number of symptom-free days, feelings of insecurity of mothers regarding the infants' life due to wheezing, and mothers' perceptions of progress in their infants' respiratory symptoms. We conclude that salbutamol plus 200 mug bid of BDP inhaled from an MDI with a spacer for 8 weeks is no better than salbutamol alone for decreasing recurrent wheezing in small children under age 24 months. (C) 2002 Wiley-Liss, Inc.</t>
  </si>
  <si>
    <t>8755-6863</t>
  </si>
  <si>
    <t>10.1002/ppul.10115</t>
  </si>
  <si>
    <t>WOS:000176338700011</t>
  </si>
  <si>
    <t>Lissi, EA; Abuin, EB</t>
  </si>
  <si>
    <t>A general treatment for meaningful comparison of rate parameters of enzyme-catalyzed reactions in aqueous and reverse micellar solutions</t>
  </si>
  <si>
    <t>A relevant question concerning the kinetics of reactions catalyzed by water-soluble enzymes in reverse micellar solutions is whether the efficiency of the enzyme is different from that in bulk aqueous solution. The comparison can be carried out only if the rates of the processes are compared under conditions of equal substrate activity. In the present work, it is proposed that this comparison can be carried out by employing the activity of the substrate in bulk water solution as a thermodynamic concentration scale. In order to carry out this comparison, the kinetic results obtained in the reverse micellar solution employing the analytical substrate concentration must be corrected by the solute distribution between the micellar pseudophase and the external solvent and by the partitioning of the substrate between the external solvent and an aqueous solution. The proposed methodology is applied to data previously reported for the oxidation of aliphatic alcohols catalyzed by alcohol dehydrogenase in a sodium 1,4-bis(2-ethylhexyl) sulfosuccinate/isooctane/water microemulsion. It is shown that when properly treated, the data indicate that the efficiency and selectivity of the enzyme is very similar in bulk aqueous solution and in the reverse microemulsion.</t>
  </si>
  <si>
    <t>DEC 26</t>
  </si>
  <si>
    <t>10.1021/la000788z</t>
  </si>
  <si>
    <t>WOS:000166161700021</t>
  </si>
  <si>
    <t>Higher-dimensional gravity, propagating torsion and AdS gauge invariance</t>
  </si>
  <si>
    <t>CLASSICAL AND QUANTUM GRAVITY</t>
  </si>
  <si>
    <t>The most general theory of gravity in d dimensions which leads to second-order field equations for the metric has [(d - 1)/2] free parameters. It is shown that requiring the theory to have the maximum possible number of degrees of freedom, fixes these parameters in terms of the gravitational and the cosmological constants. In odd dimensions, the Lagrangian is a Chem-Simons form for the (A)dS or Poincare groups. In even dimensions, the action has a Born-Infeld-like form. Torsion may occur explicitly in the Lagrangian in the odd-parity sector and the torsional pieces respect local (A)dS symmetry for d = 4k - 1 only. These torsional Lagrangians are related to the Chern-Pontryagin characters for the (A)dS group. The additional coefficients in front of these new terms in the Lagrangian are shown to be quantized.</t>
  </si>
  <si>
    <t>0264-9381</t>
  </si>
  <si>
    <t>1361-6382</t>
  </si>
  <si>
    <t>NOV 7</t>
  </si>
  <si>
    <t>10.1088/0264-9381/17/21/307</t>
  </si>
  <si>
    <t>WOS:000165514700007</t>
  </si>
  <si>
    <t>Terruzzi, P; Saavedra, E; Escrig, J</t>
  </si>
  <si>
    <t>Terruzzi, Piero; Saavedra, Eduardo; Escrig, Juan</t>
  </si>
  <si>
    <t>Impact of the helicoidal geometry on the magnetic properties of permalloy nanowires for spintronic applications</t>
  </si>
  <si>
    <t>COMPUTATIONAL MATERIALS SCIENCE</t>
  </si>
  <si>
    <t>This study investigates the static and dynamic magnetic properties of helically shaped permalloy nanowires through micromagnetic simulations. We performed comprehensive numerical analyses to simulate hysteresis curves under an externally applied magnetic field aligned along the z-axis, focusing on the impact of the helicoidal geometry on the magnetic reversal mechanism. Our results reveal that, under specific geometric conditions, magnetization reverses through three distinct mechanisms. In Region I, vortex-type domain walls with varying chirality propagate at the top and bottom of the nanowire. In Region II, these walls exhibit uniform chirality at both ends, while in Region III, vertical vortices dominate. Additionally, we examined the dynamic susceptibility of the nanowires in the frequency range of 0-20 GHz. We found that varying the degree of helicoidal geometry influences both the position and the number of resonance peaks. Beyond these fundamental insights, our study highlights the potential applications of helically shaped nanowires in advanced magnetic sensing, data storage, and nanoscale spintronic devices.</t>
  </si>
  <si>
    <t>Saavedra, Eduardo/IQS-4264-2023; Escrig, Juan/N-4304-2015</t>
  </si>
  <si>
    <t>Escrig, Juan/0000-0002-3958-8185; Saavedra Diaz, Eduardo Andres/0000-0002-2842-2526</t>
  </si>
  <si>
    <t>0927-0256</t>
  </si>
  <si>
    <t>1879-0801</t>
  </si>
  <si>
    <t>FEB 5</t>
  </si>
  <si>
    <t>10.1016/j.commatsci.2024.113628</t>
  </si>
  <si>
    <t>WOS:001397385600001</t>
  </si>
  <si>
    <t>Sandoval, P; Mancilla, C; Tasso, N; Saavedra, E; Escrig, J</t>
  </si>
  <si>
    <t>Sandoval, Pedro; Mancilla, Cristian; Tasso, Nicolas; Saavedra, Eduardo; Escrig, Juan</t>
  </si>
  <si>
    <t>Geometric parameter control for tunable resonance frequencies in asymmetric nanodots: equilibrium states and dynamic response</t>
  </si>
  <si>
    <t>PHYSICA SCRIPTA</t>
  </si>
  <si>
    <t>Through numerical simulations, we delve into the examination of the equilibrium state and dynamic response of asymmetric nanodots. Within these nanodots, we identify two distinct equilibrium states-single domain and vortex. Our findings reveal a direct correlation between the number and frequencies of peaks and the minimum energy configuration, which is contingent upon the physical parameters of the system. This observation implies the potential to intentionally manipulate a desired set of frequencies by precisely controlling the geometric parameters of the system.</t>
  </si>
  <si>
    <t>Mancilla, Cristian/GRF-6067-2022; Sandoval Cortés, Pedro J./ABG-8365-2020; Saavedra, Eduardo/IQS-4264-2023; Escrig, Juan/N-4304-2015</t>
  </si>
  <si>
    <t>Saavedra Diaz, Eduardo Andres/0000-0002-2842-2526; Escrig, Juan/0000-0002-3958-8185</t>
  </si>
  <si>
    <t>0031-8949</t>
  </si>
  <si>
    <t>1402-4896</t>
  </si>
  <si>
    <t>10.1088/1402-4896/ad81bc</t>
  </si>
  <si>
    <t>WOS:001330143900001</t>
  </si>
  <si>
    <t>Singer, N; Velozo, C; Poblete, JL</t>
  </si>
  <si>
    <t>Seel, OI; Roiss, S; Gonzlez, PZ</t>
  </si>
  <si>
    <t>Singer, Nestor; Velozo, Carlos; Luis Poblete, Jose</t>
  </si>
  <si>
    <t>Developing translation sub-competences by implementing Content and Language Integrated Learning (CLIL)</t>
  </si>
  <si>
    <t>INSTRUMENTALISING FOREIGN LANGUAGE PEDAGOGY IN TRANSLATOR AND INTERPRETER TRAINING: Methods, goals and perspectives</t>
  </si>
  <si>
    <t>Benjamins Translation Library</t>
  </si>
  <si>
    <t>Translator training in Chile faces the challenge of developing the students' linguistic competence and translator competence (TC). This chapter explores the use of Content and Language Integrated Learning (CLIL) as a means to thematically articulate a language and a translation course in an undergraduate translation program. Three CLIL-based thematic units are delivered in an English language course. The academic results of the fifteen students suggest an academic improvement in the translation course in comparison to previous cohorts. Nine of those participants and the translation lecturer engage in semi-structured interviews to explore their perceptions of the approach. The findings indicate that CLIL performs an enabling function in fostering the development of TC in the translation course.</t>
  </si>
  <si>
    <t>Poblete Bravo, Jose Luis/0000-0003-1132-7693; Singer, Nestor/0000-0001-7772-9906</t>
  </si>
  <si>
    <t>0929-7316</t>
  </si>
  <si>
    <t>978-90-272-5290-6; 978-90-272-1364-8</t>
  </si>
  <si>
    <t>10.1075/btl.161.14sin</t>
  </si>
  <si>
    <t>10.1075/btl.161</t>
  </si>
  <si>
    <t>WOS:001198182100015</t>
  </si>
  <si>
    <t>Basaure, R; Ahumada, M</t>
  </si>
  <si>
    <t>Basaure, Rosa; Ahumada, Monica</t>
  </si>
  <si>
    <t>International current affairs in Chilean Translation and Interpreting programs: current scenario and post-pandemic curricular challenges</t>
  </si>
  <si>
    <t>Due to the global crisis caused by the COVID-19 pandemic, translation and interpretation education faces an uncertain future, reinforcing the idea of a discipline immersed in an inter-connected world and aware of international context issues. On this basis, the article explores translation training and international context relation. In addition, it suggests mechanisms to adapt the educational approach to a post-pandemic scenario in which future professionals will develop their professional paths.From a methodological point of view, the article analyzes the relevance of thematic knowl-edge regarding international relations within translation competence training and the prac-tical experience of Chilean institutions up to the outbreak of the pandemic. Subsequently, the article supports curricular redesign regarding this area, considering new national and international scenarios in which the post-pandemic translation practice will be developed. Finally, it presents a pedagogical proposal that considers the integration of international the-matic contents related to theory, concepts, and international scenarios, and also the use of technology given current possibilities. This curricular proposal introduces pandemic context in translation and interpretation-related research in Chile.The paper concludes by calling attention to promoting initiatives in this area through virtu-alized education processes, reinforcing this aspect of translation competence for a changing global scenario, based on the collaborative work among national and international programs for translation and interpreting education.</t>
  </si>
  <si>
    <t>10.7764/onomazein.ne10.5</t>
  </si>
  <si>
    <t>WOS:000861022500009</t>
  </si>
  <si>
    <t>Toledo-Ordonez, I; Oneto, N; Concha, M; Sanhueza, S; Osses, M; Padilla-Meza, J; Godoy-Guzmán, C</t>
  </si>
  <si>
    <t>Toledo-Ordonez, I; Oneto, N.; Concha, M.; Sanhueza, S.; Osses, M.; Padilla-Meza, J.; Godoy-Guzman, C.</t>
  </si>
  <si>
    <t>Design and Manufacturing of 3D Printed Models as a Complement for Medical Histology Practical Classes</t>
  </si>
  <si>
    <t>INTERNATIONAL JOURNAL OF MORPHOLOGY</t>
  </si>
  <si>
    <t>Traditionally, Histology has relied on the analysis of histological slides through the microscope for its teaching. In this sense, one of the main obstacles faced by students when analyzing tissues is to extrapolate a two-dimensional image to a three-dimensional (3D) structure. 3D printing makes it possible to overcome this limitation, making it possible to manufacture teaching material with the required characteristics with a high degree of detail and low cost. The objective of this work was to design and manufacture 3D printed models as a complement for the practical classes of Medical Histology. 3D printed models of the ultrastructure of the glomerular filtration barrier (GFB) in its normal state and nephrotic syndrome were fabricated. In addition, a model of the muscular layer of the human esophagus was fabricated emphasizing the helical arrangement of its muscle fibers. The epidermis models allowed the identification of its different layers: stratum corneum, stratum granulosum, stratum spinosum, and stratum basale. Among the benefits derived from 3D printing of models, we can highlight the low economic cost of manufacturing, biosafety and potential to favor the learning and teaching of Histology. However, it is necessary to analyze the perception and benefit on student learning derived from the application of the models by means of quantitative and qualitative evaluation techniques.</t>
  </si>
  <si>
    <t>Godoy-Guzman, Carlos Ignacio/IUO-1065-2023</t>
  </si>
  <si>
    <t>Godoy-Guzman, Carlos/0000-0001-8451-7047</t>
  </si>
  <si>
    <t>0717-9502</t>
  </si>
  <si>
    <t>0717-9367</t>
  </si>
  <si>
    <t>WOS:000800856600012</t>
  </si>
  <si>
    <t>Ansaldo, D; Vergara, PM; Carvajal, MA; Alaniz, AJ; Fierro, A; Vargas-Castillo, R; Quiroz, M; Moreira-Arce, D; Pizarro, J</t>
  </si>
  <si>
    <t>Ansaldo, Diego; Vergara, Pablo M.; Carvajal, Mario A.; Alaniz, Alberto J.; Fierro, Andres; ReinaldoVargas-Castillo; Quiroz, Madelaine; Moreira-Arce, Dario; Pizarro, Jaime</t>
  </si>
  <si>
    <t>Tree decay modulates the functional response of lichen communities in Patagonian temperate forests</t>
  </si>
  <si>
    <t>SCIENCE OF THE TOTAL ENVIRONMENT</t>
  </si>
  <si>
    <t>Epiphytic and epixylic lichens respond negatively to forest degradation, climate change and pollution, but those effects may depend on functional traits or interact with the stage of tree decay. Disentangling the main drivers of lichen communities remains a challenge in regions where lichens are diverse and poorly known, as the case of Patagonian temperate forests. We used a multi-scale approach to evaluate the relationship between environmental variables, tree decay stage and lichens. We sampled lichens across three increasing scales (tree &lt;&lt; site &lt;&lt; ( landscape) by selecting 19 landscape units, where trees in four decay stages (snags, logs, cavity trees and healthy trees) were selected within sampling plots. A total of 35 predictors were measured over different scales, including 25 remote sensing indices of forest conditions, climate and air pollutants. Structural Equation Models were used to test the causal linkages of predictors with lichens, distinguishing functional categories (size, growth and reproductive strategy). A total of 69 lichen species were recorded. Cavity trees and logs supported the largest diversity, while snags and healthy trees had the lowest diversity. Functional lichen groups responded differently to fine-scale variables, including the diameter, height, density and pH of trees. Air pollutants affected species with sexual and mixed strategies. Lichens were sensitive to precipitation, temperature and wind speed, with foliose and sexual species responding positively to the latter. The abundance of all species and macrolichens increased with tree senescence and decreased with canopy continuity. Lichens occupying snags and logs responded negatively to primary productivity and tree senescence, but positively to soil organic matter. Our findings suggest: i) the functional structure of lichen communities varies non-linearly with the wood decay process; ii) the reproductive strategy influences the sensitivity to air pollutants, iii) climate variables influence dispersal and colonization of woody substrates; and iv) forest structure/succession interacts with tree decay. (C) 2021 Elsevier B.V. All rights reserved.</t>
  </si>
  <si>
    <t>Moreira-Arce, Dario/ABG-2898-2021; Alaniz, Alberto/J-3104-2019; Carvajal, Mario/GYU-2659-2022; Vergara, Pablo/F-2519-2010; Quiroz, Madelaine/ACG-9162-2022</t>
  </si>
  <si>
    <t>Vergara, Pablo/0000-0002-0024-1678; Alaniz, Alberto J./0000-0003-4878-8848; Vargas Castillo, Reinaldo/0000-0003-0064-831X; Moreira Arce, Dario/0000-0002-1188-496X</t>
  </si>
  <si>
    <t>0048-9697</t>
  </si>
  <si>
    <t>1879-1026</t>
  </si>
  <si>
    <t>10.1016/j.scitotenv.2021.145360</t>
  </si>
  <si>
    <t>FEB 2021</t>
  </si>
  <si>
    <t>WOS:000627895900095</t>
  </si>
  <si>
    <t>Parraguez, CH</t>
  </si>
  <si>
    <t>Hernandez Parraguez, Carolina</t>
  </si>
  <si>
    <t>Sensitive logic in Campo Minado y Teatro de Guerra de Lola Aria.</t>
  </si>
  <si>
    <t>ALPHA-REVISTA DE ARTES LETRAS Y FILOSOFIA</t>
  </si>
  <si>
    <t>Into the postdramatic theater the mimetic funtion of the body tends to be displaced towards transmedial resources thus favoring the producction of a metatheatre. The Lola Arias's work stands out precisely because of putting in tension the role of the acting body on stage producing, through transmedial resources, a representational crisis that questions traditional forms of drama. The present article aims to establish the aesthetic strategies used by this playwright and director to problematize the place of the body in her theatral work Campo Minado (2016) and her documentary Teatro de Guerra (2018).</t>
  </si>
  <si>
    <t>0716-4254</t>
  </si>
  <si>
    <t>0718-2201</t>
  </si>
  <si>
    <t>10.32735/S0718-2201202000051847</t>
  </si>
  <si>
    <t>WOS:000608937300017</t>
  </si>
  <si>
    <t>Arriagada, CEL; Montero, KAB</t>
  </si>
  <si>
    <t>Llanos Arriagada, Carolina Eugenia; Bravo Montero, Karina Alejandra</t>
  </si>
  <si>
    <t>Inmigrants as messenger of our time: sacrifice and fracture as causes of homeless situation</t>
  </si>
  <si>
    <t>REVISTA COLOMBIANA DE SOCIOLOGIA</t>
  </si>
  <si>
    <t>The following text constitutes a critical reflection arises from the experience of the Bienvenidos program at the Fundacion Gente de la Calle en Chile, especially from the connection, part of the program since 2016 until these days, with migrants who are homeless or about to become homeless. The thesis stands for identifying elements of an identity's operation such as sacrifice and fracture, in the situation of homeless migrants, creating a scenario of severe violations that increase the odds of ending in this social status. To support this statement; first, we will discuss the migration context in Chile, emphasizing on the social construction of the subject; second, the subjective configuration that occurs in the migrant when trying to materialize his migratory project. Sacrifice and other factors such as uprooting and the lack of intimate, non-institutional, networks are elements that worsen the identity fracture, constituting the identity of the migrant from the horizon of bare life, revealing structural violence where everybody will eventually become part of, being radicalized in such cases. The migrant embodies the accentuation of human fragility, being considered a messenger of our time. Finally, this paper will draw attention to the importance of knowing the difference between vulnerability and complexity to deal with the problem of this social reality.</t>
  </si>
  <si>
    <t>0120-159X</t>
  </si>
  <si>
    <t>2256-5485</t>
  </si>
  <si>
    <t>10.15446/RCS.V43N2.82574</t>
  </si>
  <si>
    <t>WOS:000566768500005</t>
  </si>
  <si>
    <t>Mera-Adasme, R; Rezende, MC; Domínguez, M</t>
  </si>
  <si>
    <t>Mera-Adasme, Raul; Caroli Rezende, Marcos; Dominguez, Moises</t>
  </si>
  <si>
    <t>On the physical-chemical nature of solvent polarizability and dipolarity</t>
  </si>
  <si>
    <t>The positive solvatochromism of three dyes, with a spectral behavior strongly dependents on the medium dipolarity/polarizability, was studied theoretically. Both a polarizable continuum-solvent model (CSM) and explicit solvent molecules were employed to model solvent effects. The CSM approach, coupled with ten different TDDFT methods, yielded unsatisfactory results in eleven solvents. The explicit-solvation calculations, thought of much higher computational cost, yielded excellent results. As CSM schemes are known correctly model nonspecific electrostatic effects, our results indicate that the traditionally considered non-specific nature of solvent dipolarity needs to be reconsidered, requiring the explicit consideration of the solute-solvent interactions for their accurate theoretical description. (c) 2018 Elsevier B.V. All rights reserved.</t>
  </si>
  <si>
    <t>10.1016/j.saa.2019.118008</t>
  </si>
  <si>
    <t>WOS:000513007800127</t>
  </si>
  <si>
    <t>Riveros, A; Vidal-Silva, N; Tejo, F; Escrig, J</t>
  </si>
  <si>
    <t>Riveros, A.; Vidal-Silva, N.; Tejo, F.; Escrig, J.</t>
  </si>
  <si>
    <t>Analytical and numerical Ku - B phase diagrams for cobalt nanostructures: Stability region for a Bloch skyrmion</t>
  </si>
  <si>
    <t>In this paper we calculate the energies corresponding to the different magnetic phases present in a ferromagnetic cylinder by means of analytical calculations. From the comparison of these energies, it is possible to construct magnetic phase diagrams as a function of the uniaxial anisotropy of the sample and the applied external magnetic field. As proof of concept, we analyzed the magnetic phase diagrams for a cobalt dot of 240 nm in diameter and 70 nm in length, with an easy axis parallel to the dot axis, and with a magnetic field applied towards or perpendicular to this axis. From these diagrams we have obtained the stability regions for a Bloch skyrmion (Sk), a vortex core (VC) and a ferromagnetic (F) configuration, which can point in any psi direction. Our results provide a pathway to engineer the formation and controllability of a skyrmion in a ferromagnetic dot to different anisotropy constants and magnetic fields. (C) 2018 Elsevier B.V. All rights reserved.</t>
  </si>
  <si>
    <t>Rodríguez, Alejandro/R-4062-2019; Tejo, Felipe/IUQ-0578-2023; Vidal Silva, Nicolas/IAN-0226-2023; Escrig, Juan/N-4304-2015</t>
  </si>
  <si>
    <t>Riveros, Alejandro/0000-0002-4924-663X; Vidal Silva, Nicolas/0000-0002-3717-3816; Tejo Lazo, Felipe Tejo/0000-0001-7457-7281; Escrig, Juan/0000-0002-3958-8185</t>
  </si>
  <si>
    <t>AUG 15</t>
  </si>
  <si>
    <t>10.1016/j.jmmm.2018.04.018</t>
  </si>
  <si>
    <t>WOS:000434253700041</t>
  </si>
  <si>
    <t>Varzakas, T; Mahn, A; Pérez, C; Miranda, M; Barrientos, H</t>
  </si>
  <si>
    <t>Varzakas, T; Tzia, C</t>
  </si>
  <si>
    <t>Varzakas, Theodoros; Mahn, Andrea; Perez, Carmen; Miranda, Mariela; Barrientos, Herna</t>
  </si>
  <si>
    <t>Blanching</t>
  </si>
  <si>
    <t>HANDBOOK OF FOOD PROCESSING: FOOD PRESERVATION</t>
  </si>
  <si>
    <t>Contemporary Food Engineering</t>
  </si>
  <si>
    <t>VARZAKAS, THEODOROS/AAB-2114-2021</t>
  </si>
  <si>
    <t>2155-336X</t>
  </si>
  <si>
    <t>978-1-4987-2176-9; 978-1-4987-2175-2</t>
  </si>
  <si>
    <t>WOS:000379151600003</t>
  </si>
  <si>
    <t>Salazar-Aravena, Diego; Palma, Juan Luis; Escrig, Juan</t>
  </si>
  <si>
    <t>Angular dependence of the magnetic properties of cylindrical nanostructures with wire-tube morphology</t>
  </si>
  <si>
    <t>MATERIALS RESEARCH EXPRESS</t>
  </si>
  <si>
    <t>We have investigated the angular dependence of the magnetic properties of cylindrical nanostructures comprised of a pair of nanotube and nanowire segments. We compared the magnetic behavior of these structures with the properties observed in an isolated nanowire and nanotube. Thus, we observed that the hysteresis curves of the cylindrical nanostructure with wire-tube morphology exhibits a step or plateau corresponding to a partial pinning of the domain wall at the interface between wire and tube sections. However, this step gradually disappears as we change the angle at which the external magnetic field is applied, thus enabling control of nucleation and release of a domain wall. Moreover, for small angles the nucleation and propagation of domain walls is observed, while for large angles is observed a quasi-coherent rotation. Finally, the possibility to alter the magnetization reversal mode in such nanostructures provides an attractive way to control the motion of magnetic domain walls.</t>
  </si>
  <si>
    <t>Escrig, Juan/0000-0002-3958-8185; Palma, JuanLuis/0000-0003-2068-174X; Salazar-Aravena, Diego/0000-0002-6250-8358</t>
  </si>
  <si>
    <t>2053-1591</t>
  </si>
  <si>
    <t>10.1088/2053-1591/1/2/026112</t>
  </si>
  <si>
    <t>WOS:000209665000095</t>
  </si>
  <si>
    <t>Tejo, F; Vidal-Silva, N; Espejo, AP; Escrig, J</t>
  </si>
  <si>
    <t>Tejo, F.; Vidal-Silva, N.; Espejo, A. P.; Escrig, J.</t>
  </si>
  <si>
    <t>Angular dependence of the magnetic properties of cylindrical diameter modulated Ni80Fe20 nanowires</t>
  </si>
  <si>
    <t>58th Annual Conference on Magnetism and Magnetic Materials</t>
  </si>
  <si>
    <t>NOV 04-08, 2013</t>
  </si>
  <si>
    <t>Denver, CO</t>
  </si>
  <si>
    <t>We have investigated numerically the angular dependence of the coercivity and remanence of cylindrical diameter modulated Ni80Fe20 nanowires. We observed that the system always starts reversing its magnetization through the thickest segment by means of a quite complex reversal process, considering the propagation of two vortex domain walls. Furthermore, we observed a transition from vortex domain walls to coherent-mode rotation for the thinnest segment as a function of the angle in which the external magnetic field is applied. In addition, we obtained a non-monotonic behavior for the coercivity and saturation field as a function of the angle at which the external magnetic field is applied. Finally, diameter modulation is an attractive way to handle over the motion of magnetic domain walls, a phenomenon proposed as a future data storage platform. (C) 2014 AIP Publishing LLC.</t>
  </si>
  <si>
    <t>Tejo, Felipe/IUQ-0578-2023; Escrig, Juan/N-4304-2015; Vidal Silva, Nicolas/IAN-0226-2023</t>
  </si>
  <si>
    <t>Escrig, Juan/0000-0002-3958-8185; Tejo Lazo, Felipe Tejo/0000-0001-7457-7281; Vidal Silva, Nicolas/0000-0002-3717-3816</t>
  </si>
  <si>
    <t>MAY 7</t>
  </si>
  <si>
    <t>17D136</t>
  </si>
  <si>
    <t>10.1063/1.4865777</t>
  </si>
  <si>
    <t>WOS:000335643700414</t>
  </si>
  <si>
    <t>Marinoff, MA; Martínez, JL</t>
  </si>
  <si>
    <t>Rai, M; Cordell, GA; Martinez, JL; Marinoff, M; Rastrelli, L</t>
  </si>
  <si>
    <t>Alejandra Marinoff, Mariela; Luis Martinez, Jose</t>
  </si>
  <si>
    <t>Usnea sulcata Motyka: An Ethnomycological Review of its Use in Traditional Medicine</t>
  </si>
  <si>
    <t>MEDICINAL PLANTS: BIODIVERSITY AND DRUGS</t>
  </si>
  <si>
    <t>Martinez, Jose/AAA-1725-2020</t>
  </si>
  <si>
    <t>Martinez, Jose/0000-0002-0177-4847</t>
  </si>
  <si>
    <t>978-1-4665-0795-1; 978-1-57808-793-8</t>
  </si>
  <si>
    <t>WOS:000361894300012</t>
  </si>
  <si>
    <t>Muñoz, PA; Flores, PA; Boehmwald, FA; Blamey, JM</t>
  </si>
  <si>
    <t>Munoz, Patricio A.; Flores, Patricio A.; Boehmwald, Freddy A.; Blamey, Jenny M.</t>
  </si>
  <si>
    <t>Thermophilic bacteria present in a sample from Fumarole Bay, Deception Island</t>
  </si>
  <si>
    <t>ANTARCTIC SCIENCE</t>
  </si>
  <si>
    <t>Deception Island, an active stratovolcano located in the South Shetland Islands, Antarctica, provides excellent conditions for the thermophilic bacteria growth because of high ground temperatures in specific areas, such as Fumarole Bay where the temperatures are above the mesophilic range. Denaturing Gradient Gel Electrophoresis (DGGE) was used with the 16S ribosomal gene to analyse cultures of thermophilic bacteria from a soil sample taken from Fumarole Bay. Nine bands were sequenced and analysed from DGGE and they indicated the presence of bacteria from the genera Geobacillus, Bacillus, Brevibacillus, Thermus and uncultured sulphate reducing bacteria. Some of which have been reported in other Antarctic geothermal sites. Geobacillus, Bacillus and Brevibacillus genera were successfully cultivated in an enriched medium. A pure culture of one thermophilic Geobacillus bacterium was obtained closely related to Geobacillus jurassicus.</t>
  </si>
  <si>
    <t>Flores, Patricio/0009-0004-2489-187X</t>
  </si>
  <si>
    <t>0954-1020</t>
  </si>
  <si>
    <t>1365-2079</t>
  </si>
  <si>
    <t>10.1017/S0954102011000393</t>
  </si>
  <si>
    <t>WOS:000298286200005</t>
  </si>
  <si>
    <t>Vergara, PM</t>
  </si>
  <si>
    <t>Vergara, Pablo M.</t>
  </si>
  <si>
    <t>Matrix-dependent corridor effectiveness and the abundance of forest birds in fragmented landscapes</t>
  </si>
  <si>
    <t>LANDSCAPE ECOLOGY</t>
  </si>
  <si>
    <t>Corridor function for wildlife movement constitutes an important and desirable ecological characteristic of linear landscape structures. Changes in the matrix conditions, however, may result in substantial changes in the mechanisms responsible for the use of corridors by animals. I developed a model that describes the influence of matrix quality on the effectiveness of corridors for wildlife movement and the abundance of animals in the corridors. The model predicts that corridor effectiveness is maximized at intermediate matrix quality levels, while the abundance in the corridor increases asymptotically with matrix quality. I tested predictions of this model by comparing the expected and observed relative abundance of forest bird species in two landscape types of southern Chile. In nine out of 12 cases the model correctly predicted the relative abundance of forest birds. Riparian forest strips were expected to be effective functioning as corridors for five out of six studied species, although corridor effectiveness for each species varied between landscape types. A reasonable strategy to improve connectivity is to maintain ( or to increase, if necessary) the matrix quality at a level such that corridors can function efficiently as both drift fences and movement conduits.</t>
  </si>
  <si>
    <t>Vergara, Pablo/F-2519-2010</t>
  </si>
  <si>
    <t>Vergara, Pablo/0000-0002-0024-1678</t>
  </si>
  <si>
    <t>0921-2973</t>
  </si>
  <si>
    <t>1572-9761</t>
  </si>
  <si>
    <t>10.1007/s10980-011-9641-z</t>
  </si>
  <si>
    <t>WOS:000297145000003</t>
  </si>
  <si>
    <t>Domínguez, M; Rezende, MC</t>
  </si>
  <si>
    <t>Dominguez, M.; Rezende, M. Caroli</t>
  </si>
  <si>
    <t>The Cationic Halochromism of Phenolate Betaines: Molecular Dynamics and Quantum Mechanics Studies</t>
  </si>
  <si>
    <t>JOURNAL OF THE IRANIAN CHEMICAL SOCIETY</t>
  </si>
  <si>
    <t>The cationic halochromism of phenolate betaines was reproduced with the aid of a simple theoretical model, by calculation of the longest wavelength transition energies of supermolecules obtained by positioning a cation Mn+ at a variable distance from the oxygen atom of the dye. The theoretical results were compared with experimental data for three systems, Reichardt's betaine 1, Brooker's merocyanine 2 and the N-methyl-8-oxyquinolinium dye 3. The model was validated by molecular dynamics simulations of solutions of dye 3, in methanol and DMSO, in the presence of variable concentrations of Na+.</t>
  </si>
  <si>
    <t>Domínguez, Moisés/M-3457-2014; Caroli, Marcos/H-3570-2019</t>
  </si>
  <si>
    <t>1735-207X</t>
  </si>
  <si>
    <t>1735-2428</t>
  </si>
  <si>
    <t>10.1007/BF03246096</t>
  </si>
  <si>
    <t>WOS:000284654600026</t>
  </si>
  <si>
    <t>Imarai, M; Candia, E; Rodriguez-Tirado, C; Tognarelli, J; Pardo, M; Pérez, T; Valdés, D; Reyes-Cerpa, S; Nelson, P; Acuna-Castillo, C; Maisey, K</t>
  </si>
  <si>
    <t>Imarai, Monica; Candia, Enzo; Rodriguez-Tirado, Carolina; Tognarelli, Javier; Pardo, Mirka; Perez, Tomas; Valdes, Daniel; Reyes-Cerpa, Sebastian; Nelson, Pablo; Acuna-Castillo, Claudio; Maisey, Kevin</t>
  </si>
  <si>
    <t>Regulatory T Cells Are Locally Induced during Intravaginal Infection of Mice with Neisseria gonorrhoeae</t>
  </si>
  <si>
    <t>INFECTION AND IMMUNITY</t>
  </si>
  <si>
    <t>Neisseria gonorrhoeae is a gram-negative diplococcus that in human beings produces gonorrhea. Much clinical evidence has led to the conclusion that gonococcus has important mechanisms to evade host immune functions; however, these mechanisms are only now beginning to be elucidated. In this study, we determined that the BALB/c mouse is a good animal model to study gonococcus infection and examined the immune response against the bacteria. We determined that after intravaginal inoculation of mice with Neisseria gonorrhoeae, the bacteria reached and invaded the upper female reproductive tissues and elicited a T-cell-specific immune response associated with a very weak humoral response, altogether resembling gonococcus infection and disease in women. Remarkably, in the draining lymph nodes of the genital tracts of infected mice, we found an increase of regulatory T lymphocytes, namely, transforming growth factor beta 1-positive CD4(+) T cells and CD4(+) CD25(+) Foxp3(+) T cells. Altogether, results indicate that N. gonorrhoeae induces regulatory T cells, which might be related to the local survival of the pathogen and the establishment of a chronic asymptomatic infection.</t>
  </si>
  <si>
    <t>Maisey, Kevin/AAP-2886-2021; Rodriguez Tirado, Carolina/GRF-6133-2022; Zamora Valdes, Daniel/N-1399-2017; Acuña-Castillo, Claudio/AAI-7090-2021</t>
  </si>
  <si>
    <t>Maisey, Kevin/0000-0002-7423-6329; Tognarelli, Javier/0009-0005-4881-9669; Rodriguez-Tirado, Carolina/0000-0002-3853-7909; Nelson Hunt, Pablo/0009-0005-0704-4334; Acuna-Castillo, Claudio/0000-0003-3607-6077; Imarai, Monica/0000-0001-8767-9180; Reyes, Sebastian/0000-0002-7676-1266</t>
  </si>
  <si>
    <t>0019-9567</t>
  </si>
  <si>
    <t>10.1128/IAI.00552-08</t>
  </si>
  <si>
    <t>WOS:000261003900003</t>
  </si>
  <si>
    <t>Sepúlveda, C; Escobar, CA; Cardemil, E</t>
  </si>
  <si>
    <t>Sepulveda, Carolina; Escobar, Cristian A.; Cardemil, Emilio</t>
  </si>
  <si>
    <t>BIOL 33-Electrostatic interactions influence Mn(II) binding to phosphoenolpyruvate carboxykinase from Saccharomyces cerevisiae</t>
  </si>
  <si>
    <t>ABSTRACTS OF PAPERS OF THE AMERICAN CHEMICAL SOCIETY</t>
  </si>
  <si>
    <t>236th National Meeting of the American-Chemical-Society</t>
  </si>
  <si>
    <t>AUG 17-21, 2008</t>
  </si>
  <si>
    <t>Philadelphia, PA</t>
  </si>
  <si>
    <t>Amer Chem Soc</t>
  </si>
  <si>
    <t>0065-7727</t>
  </si>
  <si>
    <t>AUG 17</t>
  </si>
  <si>
    <t>33-BIOL</t>
  </si>
  <si>
    <t>WOS:000270256301417</t>
  </si>
  <si>
    <t>Urzua, A; Rezende, MC; Mascayano, C; Vásquez, L</t>
  </si>
  <si>
    <t>Urzua, Alejandro; Rezende, Marcos C.; Mascayano, Carolina; Vasquez, Loretta</t>
  </si>
  <si>
    <t>A structure-activity study of antibacterial diterpenoids</t>
  </si>
  <si>
    <t>An analysis of the antibacterial activities of 15 terpenoids, eleven of which were previously described by us and four were extracted from the literature, suggested two structural requirements for activity of these and related compounds: a hydrophobic moiety, consisting of a substituted decalin skeleton, and a hydrophilic region possessing one hydrogen-bond-donor group. These structural requirements are responsible for an optimal insertion of these and related compounds into cell membranes, as suggested by the results of docking some of these compounds into a model phospholipid bilayer.</t>
  </si>
  <si>
    <t>Rezende, Marcos/0000-0003-2040-9009; Mascayano Collado, Carolina Lorena/0000-0002-3488-9309; Urzua, Alejandro/0000-0003-2638-0921</t>
  </si>
  <si>
    <t>10.3390/molecules13040822</t>
  </si>
  <si>
    <t>WOS:000255515900019</t>
  </si>
  <si>
    <t>Abuin, E; Aspée, A; Lissi, E; León, L</t>
  </si>
  <si>
    <t>Abuin, E.; Aspee, A.; Lissi, E.; Leon, L.</t>
  </si>
  <si>
    <t>Binding of rose bengal to bovine serum albumin</t>
  </si>
  <si>
    <t>The association of Rose Bengal (RB) with bovine serum albumin (BSA) was investigated by absorbance spectroscopy. The binding constant was determined from the effect observed in the absorbance of RB at 548 nm upon addition of the protein according with the Benesi-Hildebrand treatment. Results were obtained in phosphate buffer at pH = 7.0. The effect of the salinity of the buffer and the sensitivity of the binding constant to the presence of urea were also studied. The results obtained allow to conclude that the binding of RB to BSA is dominated by hydrophobic effects.</t>
  </si>
  <si>
    <t>WOS:000247078800017</t>
  </si>
  <si>
    <t>Alvarez, F; Moraga, N; Cousteix, J</t>
  </si>
  <si>
    <t>An updated interactive boundary layer method for high Reynolds number flows</t>
  </si>
  <si>
    <t>INTERNATIONAL JOURNAL FOR NUMERICAL METHODS IN ENGINEERING</t>
  </si>
  <si>
    <t>The quasi-simultaneous interactive boundary layer (IBL) method is improved with the iterative correction of an inviscid operator. The updated interactive boundary layer method (UIBL) presented in this work, uses the Hess-Smith panel method (HSPM) as an inviscid operator to update the outer flow calculation and the inviscid velocity in the interaction law (IL). The discretization of the Hilbert integral (HI) from the original method is modified to reduce the error introduced by the calculation of the HI in a restricted domain. The method is tested on a flat plate with a small indentation for two-dimensional, steady, incompressible and laminar flow. The UIBL method is capable to predict the flow separation and reattachment with good accuracy. The accuracy of the results is competitive with the numerical solution of the Navier-Stokes equations (NSE). Copyright (c) 2005 John Wiley &amp; Sons, Ltd.</t>
  </si>
  <si>
    <t>0029-5981</t>
  </si>
  <si>
    <t>APR 9</t>
  </si>
  <si>
    <t>10.1002/nme.1542</t>
  </si>
  <si>
    <t>WOS:000236623800001</t>
  </si>
  <si>
    <t>Sandoval, C; Rezende, MC; González-Nilo, F</t>
  </si>
  <si>
    <t>Solute-solvent interactions of flavonoids in organic solvents</t>
  </si>
  <si>
    <t>JOURNAL OF SOLUTION CHEMISTRY</t>
  </si>
  <si>
    <t>The diffusion coefficients of one flavone and five isoflavones in methanol, ethanol, 2-propanol, and acetonitrile were measured at 25degreesC by the Taylor-Aris dispersion method. The observed variations of the D values were interpreted in terms of solute-solvent hydrogen-bond interactions and the interpretation was supported by molecular dynamics simulations of two solutes in methanol.</t>
  </si>
  <si>
    <t>Caroli, Marcos/H-3570-2019; Gonzalez Nilo, Fernando Danilo/M-5671-2016</t>
  </si>
  <si>
    <t>Rezende, Marcos/0000-0003-2040-9009; Gonzalez Nilo, Fernando Danilo/0000-0001-6857-3575</t>
  </si>
  <si>
    <t>0095-9782</t>
  </si>
  <si>
    <t>10.1023/B:JOSL.0000003148.20257.08</t>
  </si>
  <si>
    <t>WOS:000186548700002</t>
  </si>
  <si>
    <t>Zanelli, J</t>
  </si>
  <si>
    <t>Chern-Simons gravity: From 2+1 to 2n+1 dimensions</t>
  </si>
  <si>
    <t>BRAZILIAN JOURNAL OF PHYSICS</t>
  </si>
  <si>
    <t>XXth Brazilian National Meeting on Particles and Fields</t>
  </si>
  <si>
    <t>OCT 25-29, 1999</t>
  </si>
  <si>
    <t>SAO LOURENCO, BRAZIL</t>
  </si>
  <si>
    <t>CAPES,CLAF,CNPq,FAPERJ,FAPESP,FINEP</t>
  </si>
  <si>
    <t>These lectures provide an elementary introduction to Chern Simons Gravity and Supergravity in d = 2n + 1 dimensions.</t>
  </si>
  <si>
    <t>0103-9733</t>
  </si>
  <si>
    <t>WOS:000088014500006</t>
  </si>
  <si>
    <t>Reyes-Hung, L; Soto, I; Majumdar, AK</t>
  </si>
  <si>
    <t>Reyes-Hung, Lidices; Soto, Ismael; Majumdar, Arun K.</t>
  </si>
  <si>
    <t>Neural Network-based Stress Detection in Crop Multispectral Imagery for Precision Agriculture</t>
  </si>
  <si>
    <t>2024 14TH INTERNATIONAL SYMPOSIUM ON COMMUNICATION SYSTEMS, NETWORKS AND DIGITAL SIGNAL PROCESSING, CSNDSP 2024</t>
  </si>
  <si>
    <t>International Symposium on Communication Systems Networks and Digital Signal Processing</t>
  </si>
  <si>
    <t>14th International Symposium on Communication Systems, Networks and Digital Signal Processing (CSNDSP)</t>
  </si>
  <si>
    <t>JUL 17-19, 2024</t>
  </si>
  <si>
    <t>Rome, ITALY</t>
  </si>
  <si>
    <t>This study explores the application of object detection techniques using neural networks, specifically YOLOv7 and YOLOv8, to classify stress in potato crops using multispectral images obtained by drones. The results indicate that YOLOv8 excels in stress detection using RGB images, while YOLOv7 shows higher accuracy with monochrome images, suggesting its suitability for specialized applications. The combination of RGB and monochromatic images significantly improved accuracy values for healthy and stressed plants, with figures of 0.917 and 0.914, respectively, and F1 score values of 0.902 for healthy plants and 0.881 for stressed plants. In addition, the importance of non-visible bands, such as NIR and RED EDGE, is highlighted to achieve complete and accurate evaluations. This work highlights the effectiveness of object detection techniques with neural networks in stress classification in agricultural images. It proposes future research to validate models in various crops and environmental conditions, thus improving precision agriculture practices.</t>
  </si>
  <si>
    <t>2475-6415</t>
  </si>
  <si>
    <t>979-8-3503-4875-0; 979-8-3503-4874-3</t>
  </si>
  <si>
    <t>10.1109/CSNDSP60683.2024.10636640</t>
  </si>
  <si>
    <t>WOS:001324588800104</t>
  </si>
  <si>
    <t>Oyono, R; Thériault, N</t>
  </si>
  <si>
    <t>Oyono, Roger; Theriault, Nicolas</t>
  </si>
  <si>
    <t>Index calculus algorithm for non-planar curves</t>
  </si>
  <si>
    <t>FINITE FIELDS AND THEIR APPLICATIONS</t>
  </si>
  <si>
    <t>In this paper, we develop a variation of the index calculus algorithm using non-planar models of non-hyperelliptic curves of genus g. Using canonical model of degree 2g- 2in the projective space of dimension g- 1, intersections with hyperplanes and following similar ideas to those of Diem (who used intersections with lines on planar models), we obtain an upper bound of O (q(2- 2/g-1+ epsilon)) for the computation of discrete logarithms for all non-hyperelliptic curves of genus gdefined over the finite field F-q. This asymptotic cost is essentially the same as Diem's, but our algorithm offers several advantages over Diem's, including a constant speed-up. (c) 2023 Elsevier Inc. All rights reserved.</t>
  </si>
  <si>
    <t>Theriault, Nicolas/ISB-0405-2023</t>
  </si>
  <si>
    <t>1071-5797</t>
  </si>
  <si>
    <t>1090-2465</t>
  </si>
  <si>
    <t>10.1016/j.ffa.2023.102227</t>
  </si>
  <si>
    <t>WOS:001007178200001</t>
  </si>
  <si>
    <t>Pérez, ATE; Bravo, NJ; Vásquez, OC</t>
  </si>
  <si>
    <t>Espinoza Perez, Andrea Teresa; Jorquera Bravo, Natalia; Vasquez, Oscar C.</t>
  </si>
  <si>
    <t>A multi-objective solution approach for the design of a sustainable and robust system of wastewater treatment plants: The case of Chile?</t>
  </si>
  <si>
    <t>COMPUTERS &amp; INDUSTRIAL ENGINEERING</t>
  </si>
  <si>
    <t>Water use has been growing at more than twice the rate of population increase in the last century. Combined with a more erratic and uncertain supply, this will aggravate the situation of currently water-stressed regions and generate water stress in areas with abundant water resources. It presents a major challenge for climate adaptation and raises the need for new sources of water resources. The research question, then, is whether there are sustainable supply chain configurations for wastewater reuse capable of operating with frequent changes in water demand and wastewater availability. Then, a multi-objective mixed-integer linear programming (MoMILP) model to provide an explicit description of the robustness concept is formulated. To illustrate the proposal's usefulness, the current situation in the center-north zone of Chile, where the availability and demand of water resources continue to fluctuate by natural and economic factors, is considered. The results provide five robust and sustainable supply chain configurations for wastewater reuse alternatives. They guarantee to meet the minimum demand for the resource with the amount available in any scenario. These results could be the basis for governmental policies related to tenders for wastewater reuse plant development, considering water is a common pool resource. Finally, some theoretical and practical contributions, extensions, managerial implications, and future work are discussed to develop a robust and generalized approach for the generation of public plans and policies in the design of robust and sustainable wastewater treatment plant systems.</t>
  </si>
  <si>
    <t>; Espinoza Perez, Andrea Teresa/M-4426-2014</t>
  </si>
  <si>
    <t>Vasquez, Oscar C./0000-0002-1393-4692; Espinoza Perez, Andrea Teresa/0000-0002-6362-9100; Jorquera-Bravo, Natalia/0009-0007-1762-0598</t>
  </si>
  <si>
    <t>0360-8352</t>
  </si>
  <si>
    <t>1879-0550</t>
  </si>
  <si>
    <t>10.1016/j.cie.2023.109192</t>
  </si>
  <si>
    <t>APR 2023</t>
  </si>
  <si>
    <t>WOS:000982838100001</t>
  </si>
  <si>
    <t>Armijo, PEC; Padilha, MDM</t>
  </si>
  <si>
    <t>Armijo, Pablo Eugenio Castillo; Padilha, Maria Do Rosario Montenegro</t>
  </si>
  <si>
    <t>Didactic strategies in Youth and Adult Education in schools in Alagoas, Brazil.</t>
  </si>
  <si>
    <t>SOPHIA-EDUCACION</t>
  </si>
  <si>
    <t>This article aimed to analyze the didactic strategies used by teachers of Youth and Adult Education of three public schools in Alagoas to improve the teaching-learning process. The EJA for many years has been considered an educational subsystem, a poor education for the poor, but there is recognition in recent years of the transformative role it can generate in the lives of people who were excluded from the traditional education system for work reasons, pregnancy, school failure or voluntary dropout. There are also economic reasons that establish the importance of this type of education, being considered as a workforce that must be qualified to enter the increasingly competitive labor market.From a qualitative approach and case study method, research was developed by obtaining data from three focus groups with students and semi-structured interviews with teachers. The data were treated through the content analysis proposed by Bardin (2011). In the speeches arose the dialogic positions of teachers and students object of this research, who demonstrated the importance of the relationship of dialogue and respect between teachers and students of the EJA, highlighting that there are didactic strategies that favor learning, such as practical work and group. However, there is a criticism of the EJA that presents some mechanical processes of nonsense and merely reproductive teaching that do not favor the acquisition of higher thinking skills, such as reflection and analysis of the student's social reality.</t>
  </si>
  <si>
    <t>1794-8932</t>
  </si>
  <si>
    <t>2346-0806</t>
  </si>
  <si>
    <t>10.18634/sophiaj.19v.1i.1146</t>
  </si>
  <si>
    <t>WOS:001024758500002</t>
  </si>
  <si>
    <t>Mosquera, JAT; Silva, MC; Isla, F; Prado, C</t>
  </si>
  <si>
    <t>Tarrio Mosquera, Jose Antonio; Caverlotti Silva, Marcelo; Isla, Fernando; Prado, Carlos</t>
  </si>
  <si>
    <t>Assessment of hybrid geoids in Chile and Spain, combining GGM and GNSS/Leveling observations</t>
  </si>
  <si>
    <t>GEODESY AND GEODYNAMICS</t>
  </si>
  <si>
    <t>This research presents the results for analyses done to five geopotential global models (GGM), comparing them with ground data from GNSS and leveling in heterogenic zones from the geodetic perspective, in Chile and Spain. While the official and complete implementation of the International Height Reference Frame (IHRF) has not yet been established, the vertical geodetic system of many countries is not calculated on a global scale; instead, it is calculated by the variation of relative heights between one or more local tide gauges, such as in the case of Spain and Chile. This aspect creates regional and specific altimetry data, which disables the use of GGM to directly obtain the orthometric height of the vertical reference system (VRS) from the GNSS heights. Global models currently reach centimetric precision due to their high resolution but are directly incompatible for a local level. To solve this, we expose in this article the contrast between geometric geoidal undulation (ellipsoidal heights and orthometric data from the leveling networks in Spain and Chile) with the geoidal undulation in more recent models and higher resolution: Earth Gravitational Model 2008 (EGM08), European Improved Gravity model of the Earth by New techniques (EIGEN6C4), Gravity Observation Combination (GOCO05C), Experimental Gravity Field Model (XGM2016), and Ultra-High Resolution Global Geo-potential Model (SGG-UGM), adjusting the residual between both referential heights by different parametric models and polynomials of determined order. Once evaluated, their geoidal undulations are combined with GNSS/leveling data from the corresponding VRS to generate a correcting surface, which is also known as a hybrid geoid, resulting in a model of optimal adjustment for the combination of five parameters of the EIGEN-6C4 with orthometric heights and ellipsoids of both Chile and Spain. The results show 2-3 cm precisions, which were statistically analyzed to determine the suitability for use. The final products are three grids of independent hybrid geoids, one for northern Spain and two for Chile (central and north), which allow continuous access to the VRS of each country using the GNSS's full potential until the IHRF is available and ready for use. (C) 2021 Editorial office of Geodesy and Geodynamics. Publishing services by Elsevier B.V. on behalf of KeAi Communications Co. Ltd.</t>
  </si>
  <si>
    <t>Clavijo, Carlos/GPT-4631-2022</t>
  </si>
  <si>
    <t>Tarrio Mosquera, Jose Antonio/0000-0002-2128-604X</t>
  </si>
  <si>
    <t>1674-9847</t>
  </si>
  <si>
    <t>10.1016/j.geog.2020.12.003</t>
  </si>
  <si>
    <t>WOS:000653766900001</t>
  </si>
  <si>
    <t>Galan, J; Trilleras, J; Zapata, PA; Arana, VA; Grande-Tovar, CD</t>
  </si>
  <si>
    <t>Galan, Johanna; Trilleras, Jorge; Zapata, Paula A.; Arana, Victoria A.; Grande-Tovar, Carlos David</t>
  </si>
  <si>
    <t>Optimization of Chitosan Glutaraldehyde-Crosslinked Beads for Reactive Blue 4 Anionic Dye Removal Using a Surface Response Methodology</t>
  </si>
  <si>
    <t>LIFE-BASEL</t>
  </si>
  <si>
    <t>The use of dyes at an industrial level has become problematic, since the discharge of dye effluents into water disturbs the photosynthetic activity of numerous aquatic organisms by reducing the penetration of light and oxygen, in addition to causing carcinogenic diseases and mutagenic effects in humans, as well as alterations in different ecosystems. Chitosan (CS) is suitable for removing anionic dyes since it has favorable properties, such as acquiring a positive charge and a typical macromolecular structure of polysaccharides. In this study, the optimization of CS beads crosslinked with glutaraldehyde (GA) for the adsorption of reactive blue dye 4 (RB4) in an aqueous solution was carried out. In this sense, the response surface methodology (RSM) was applied to evaluate the concentration of CS, GA, and sodium hydroxide on the swelling degree in the GA-crosslinked CS beads. In the same way, RSM was applied to optimize the adsorption process of the RB4 dye as a function of the initial pH of the solution, initial concentration of the dye, and adsorbent dose. The crosslinking reaction was investigated by scanning electron microscopy (SEM), Fourier transformed infrared spectroscopy (FTIR), and X-ray diffractometry (XRD). The design described for the swelling degree showed an R-2 (coefficient of determination) adjusted of 0.8634 and optimized concentrations (CS 3.3% w/v, GA 1.7% v/v, and NaOH 1.3 M) that were conveniently applied with a concentration of CS at 3.0% w/v to decrease the viscosity and facilitate the formation of the beads. In the RB4 dye adsorption design, an adjusted R-2 (0.8280) with good correlation was observed, where the optimized conditions were: pH = 2, adsorbent dose 0.6 g, and initial concentration of RB4 dye 5 mg/L. The kinetic behavior and the adsorption isotherm allowed us to conclude that the GA-crosslinked CS beads' adsorption mechanism was controlled mainly by chemisorption interactions, demonstrating its applicability in systems that require the removal of contaminants with similar structures to the model presented.</t>
  </si>
  <si>
    <t>Arana, Victoria/GZH-1927-2022; /CAE-1491-2022; Tovar, Carlos/J-9638-2019</t>
  </si>
  <si>
    <t>Zapata, Paula Andrea/0000-0003-3361-6226; Trilleras, Jorge/0000-0002-4516-213X; Arana, Victoria Andrea/0000-0001-5181-1135; Grande Tovar, Carlos David/0000-0002-6243-4571</t>
  </si>
  <si>
    <t>2075-1729</t>
  </si>
  <si>
    <t>10.3390/life11020085</t>
  </si>
  <si>
    <t>WOS:000622720900001</t>
  </si>
  <si>
    <t>Alarcón, MJ; Barrera, M; Hernández, J; Lisboa, J; Olivares, L; Navarrete, A</t>
  </si>
  <si>
    <t>Alarcon, Maria J.; Barrera, Mario; Hernandez, Jose; Lisboa, Jaime; Olivares, Luis; Navarrete, Alberto</t>
  </si>
  <si>
    <t>Methodology for ultrasonic inspection of dispersion type U-Mo fuel plates</t>
  </si>
  <si>
    <t>PROGRESS IN NUCLEAR ENERGY</t>
  </si>
  <si>
    <t>Nuclear fuel based on uranium-molybdenum alloys (U-Mo) showed a promising performance under irradiation tests, except for an undesirable interaction between the U-Mo fuel particles and the aluminum matrix. This development requires new methods and evaluation criteria for inspection of this fuel. Non-destructive analysis techniques, such as Ultrasonic Test (UT), can play a key role in the characterization and in-pile monitoring of test fuel plates, in particular, for the anisotropic fuel core. This paper proposes the establishment of a relationship between attenuation and transmission effects for U-Mo fuel plates with different uranium loads, based on mathematical processing of UT signals. For this purpose, the Chilean Nuclear Energy Commission (CCHEN) manufactured a set of 8 dispersion type test plates, with uranium loads from 1 to 8 gU/cm(3). The U-Mo fuel plates were evaluated in transmission mode with a Panametrics PR 5800 pulser-receiver ultrasonic system, using frequencies of 20 and 25 MHz. The data set collected for each plate was processed using the Fourier Function transform of the data function in MATLAB (R). The obtained results showed that the attenuation coefficient of the ultrasonic waves increased linearly as a function of the uranium load. From 12.3 dB/mm for 1 gU/cm(3) to 74.2 dB/mm, for 8 gU/cm(3). The transmission percentage of the signal reduces linearly as a function of uranium load and the grain boundaries present in the Al cladding, decreasing from 66.7% for 1 gU/cm(3) to 9.1% for 8 gU/cm(3). In conclusion, the uranium load and the metal forming processes strongly affects the response of the fuel plates subjected to UT scanning. These results established an acceptance criterion for fuel plates based on this response, and the transformations experienced by the fissile U-Mo material.</t>
  </si>
  <si>
    <t>Hernandez, Jose/AAN-8792-2020</t>
  </si>
  <si>
    <t>Navarrete Villegas, Alberto/0009-0000-6189-558X</t>
  </si>
  <si>
    <t>0149-1970</t>
  </si>
  <si>
    <t>10.1016/j.pnucene.2020.103572</t>
  </si>
  <si>
    <t>WOS:000598717500001</t>
  </si>
  <si>
    <t>Saavedra, E; Escrig, J</t>
  </si>
  <si>
    <t>Saavedra, E.; Escrig, J.</t>
  </si>
  <si>
    <t>Dynamic susceptibility of interconnected pentagonal spin ice lattices</t>
  </si>
  <si>
    <t>We investigated the dynamic susceptibility in interconnected artificial spin ice by micromagnetic simulations. The resonance frequencies of five different systems were studied, starting with an interconnected Shakti lattice and introducing deformations to obtain pentagonal tessellations to reach an interconnected square lattice. Both the number of peaks and their frequencies are directly related to the initial magnetization of the system, which depends on the size of the lattice, the morphing parameter, the angle at which a magnetic pulse is applied and the intensity of the external magnetic field. The possibility of controlling frequencies by modifying the magnetic and geometric parameters of the system suggests the possibility of using these lattices in potential magnetic controllable frequency devices.</t>
  </si>
  <si>
    <t>10.1016/j.jmmm.2020.167084</t>
  </si>
  <si>
    <t>WOS:000562015700008</t>
  </si>
  <si>
    <t>González, V; Pelissier, T; Cazanga, V; Hernández, A; Constandil, L</t>
  </si>
  <si>
    <t>Gonzalez, Valeria; Pelissier, Teresa; Cazanga, Victoria; Hernandez, Alejandro; Constandil, Luis</t>
  </si>
  <si>
    <t>Magnesium Salt, a Simple Strategy to Improve Methadone Analgesia in Chronic Pain: An Isobolographic Preclinical Study in Neuropathic Mice</t>
  </si>
  <si>
    <t>Analgesic efficacy of methadone in cancer and chronic non-cancer pains is greater than that of other opioids, probably because of its unique pharmacokinetics properties and also because it targets glutamatergic receptors in addition to mu-opioid receptors. However, methadone has drawbacks which are clearly related to dosing and treatment duration. The authors hypothesized that the antinociceptive efficacy of methadone could be synergistically potentiated by magnesium and copper salts in a preclinical mouse model of chronic pain, using the intraplantar formalin test as algesimetric tool. The spared nerve injury mice model was used to generate mononeuropathy. A low dose (0.25%) formalin was injected in the neuropathic limb in order to give rise only to Phase I response, resulting from direct activation by formalin of nociceptive primary afferents. Licking/biting of the formalin-injected limb was evaluated as nociceptive behavior during a 35-min observation period. Dose-response curves for intraperitoneal magnesium sulfate (10, 30, 100, and 300 mg/kg i.p.), copper sulfate (0.1, 0.3, 1, and 3 mg/kg i.p.) and methadone (0.1, 0.3, 1, and 3 mg/kg i.p.) allowed to combine them in equieffective doses and to determine their interaction by isobolographic analysis. Magnesium sulfate, copper sulfate and methadone dose-dependently decreased the nociceptive response evoked by formalin injection, the respective ED50 being 76.38, 1.18, and 0.50 mg/kg i.p. Isobolographic analysis showed a superadditive interaction for magnesium and methadone. Indeed, despite that both ED50 are obviously equieffective, the ED50 for the MgSO4/methadone combination contained less than one third of the methadone having the ED50 for methadone alone. For the CuSO4/methadone combination, the interaction was only additive. Extrapolated to clinical settings, the results suggest that magnesium salts might be used to improve synergistically the efficacy of methadone in neuropathy, which would allow to reduce the dose of methadone and its associated side effects.</t>
  </si>
  <si>
    <t>Hernandez, Alejandro/M-4796-2019</t>
  </si>
  <si>
    <t>Constandil, Luis/0000-0002-2504-0119; Hernandez, Alejandro/0000-0001-9222-6522</t>
  </si>
  <si>
    <t>MAY 8</t>
  </si>
  <si>
    <t>10.3389/fphar.2020.00566</t>
  </si>
  <si>
    <t>WOS:000536798300001</t>
  </si>
  <si>
    <t>Flores, C</t>
  </si>
  <si>
    <t>Flores, Catherine</t>
  </si>
  <si>
    <t>Beginning teacher induction in Chile: Change over time</t>
  </si>
  <si>
    <t>INTERNATIONAL JOURNAL OF EDUCATIONAL RESEARCH</t>
  </si>
  <si>
    <t>This article examines induction practices of two beginning teachers from a city in northern Chile. It specifically draws on the theory of practice architectures to explore and understand the arrangements and conditions that enable and constrain the practices of these beginning teachers at work. The study draws on individual and follow-up email interviews conducted over a period of fifteen months. Responses revealed a number of enabling and constraining conditions relating to particular cultural-discursive, material-economic and social-political conditions that influenced the practice of these beginning teachers. Results further show that support provided by the external self-created network was the most important form of induction mentioned.</t>
  </si>
  <si>
    <t>0883-0355</t>
  </si>
  <si>
    <t>1873-538X</t>
  </si>
  <si>
    <t>10.1016/j.ijer.2019.06.001</t>
  </si>
  <si>
    <t>WOS:000488997200001</t>
  </si>
  <si>
    <t>Work-related injuries resulting in death in Chile: a cross-sectional study on 2014 and 2015 registries</t>
  </si>
  <si>
    <t>BMJ OPEN</t>
  </si>
  <si>
    <t>Objective To characterise work-related fatal events that occurred in Chile in 2014 and 2015 in workers covered by the Occupational Accidents and Professional Disease No 16.744 Act. Design Cross-sectional on registries of the Chilean Worker's Health and Safety National Information System, specifically focusing on the Fatal Work Accidents Registry of the Social Security Superintendence. Study population Secondary data analysis on all 815 cases of occupational injury-related deaths registered in 2014 and 2015 in Chile and that were accredited by the Social Security Superintendence up to March 2016. Outcome measures Variables relating to employer, workers and the events were analysed. Results The overall mortality rate for all injuries, both at work and during commuting, per 100 000 workers affiliated to the occupational social security system, was 7.2 for 2014 and 7.3 for 2015. For 2014, the highest mortality rates occurred in the transport and communications sectors (20.15) and the mining sector (18.17), while for 2015 the highest rates were found in the fishing industry (11.3) and in mining (12.1). Seventy-two per cent of cases occurred in small and medium-sized enterprises. Half of the companies that had work-related fatal injuries did not have a risk prevention department. Twenty-two per cent (121) of the companies had previous labour law infractions. The four activities most affected by workers' deaths in the two study years were freight land transport, engineering works under construction, minor works under construction and construction of complete buildings or parts of buildings. Half of all fatal injuries occurred in workers who had been employed for less than a year in their company. Conclusions This descriptive study provides valuable insight into the current national registry on occupational deaths in Chile. While containing valuable information, the registry was not designed for epidemiological surveillance. Further efforts are needed to achieve a proper epidemiological integration of surveillance data.</t>
  </si>
  <si>
    <t>2044-6055</t>
  </si>
  <si>
    <t>e020393</t>
  </si>
  <si>
    <t>10.1136/bmjopen-2017-020393</t>
  </si>
  <si>
    <t>WOS:000435567900043</t>
  </si>
  <si>
    <t>Gutiérrez-Tapia, P; Azócar, MI; Castro, SA</t>
  </si>
  <si>
    <t>Gutierrez-Tapia, Pablo; Ignacio Azocar, M.; Castro, Sergio A.</t>
  </si>
  <si>
    <t>A citizen-based platform reveals the distribution of functional groups inside a large city from the Southern Hemisphere: e-Bird and the urban birds of Santiago (Central Chile)</t>
  </si>
  <si>
    <t>REVISTA CHILENA DE HISTORIA NATURAL</t>
  </si>
  <si>
    <t>Background: Current knowledge of urban bird ecology and biodiversity relies on evidence from cities of the Northern Hemisphere, while the Southern Hemisphere is underrepresented. Santiago is a large city from South America, located in central Chile, which is both a biodiversity hotspot and an Endemic Bird Area. This work is a synthesis, which aims to provide a diversity account for Santiago, and to describe the broad geographic distribution and bird functional patterns. Methods: We synthesized a seven-year (2009-2016) bird register from the eBird database (21,865 georeferenced registers at Santiago) into a single avifaunal account, along with the observed number of individuals. We complemented these registers by using available literature about Santiago's avifauna (28 references). We investigated the proportion of native/exotic, migrants/residents, conservation categories, and urban nesting status. We classified Santiago's birds into seven trophic guilds. We plotted species richness and number of individuals for each functional group, by interpolating trough the Inverse Distance Weighted Method. Results: We found that Santiago's avifauna (46 species) is composed mainly by native (41), resident (38), non-threatened species (46) that breed inside the city (31). Some functional groups inhabit a large portion of Santiago's urban surface, reaching high values of richness and abundance. Among these groups are the native, urban-nesters and resident species; even though exotics possess low species richness (5), they are abundant and inhabit the complete urban surface of the city. The dominant trophic guilds are omnivorous (11) and granivorous (10). Insectivorous are the third most abundant trophic guild, and show the highest species richness (13). Conclusion: The functional groups with lower species richness are less abundant and display reduced and patchy distributions in Santiago. This is probably because of the low availability of suitable habitats and/or restricted food supply (migrants, carnivorous, nectarivorous, frugivorous, herbivorous and piscivorous). The high insectivorous richness reported in Santiago, along with similar patterns reported in several cities in the Neotropics, provides evidence to postulate a pattern of high species richness of this guild in cities across this biogeographic realm.</t>
  </si>
  <si>
    <t>Azocar, Manuel/I-1226-2013</t>
  </si>
  <si>
    <t>Azocar Guzman, Manuel/0000-0003-1098-4659</t>
  </si>
  <si>
    <t>0716-078X</t>
  </si>
  <si>
    <t>0717-6317</t>
  </si>
  <si>
    <t>MAR 27</t>
  </si>
  <si>
    <t>10.1186/s40693-018-0073-x</t>
  </si>
  <si>
    <t>WOS:000429967400001</t>
  </si>
  <si>
    <t>Viera, E; Kaschel, H</t>
  </si>
  <si>
    <t>Viera, Eduardo; Kaschel, Hector</t>
  </si>
  <si>
    <t>Identification and Process Control for MISO systems, with Artificial Neural Networks and PID Controller</t>
  </si>
  <si>
    <t>Industrial processes with multiple input and single manipulated variables are very complex systems to control in automatic models. Such is the case with processes related to gases extraction or transport phenomena. The present research is focused on the development of a control algorithm (automatic control strategy), based on artificial neural networks, to identify an industrial process by using process historical records, as well as knowledge from the operation itself. The output of the identification stage feeds a classic PID controller to perform control actions (hybrid controller). Here, an actuator or final control element is modeled, estimating its space-state dynamic equation. With the estimated model, a local control loop is conformed controlling the main process or manipulated variable. For this, the process of gases transport in a copper smelter plant was chosen, where the necessary data and scenarios for the proposed control algorithm testing was obtained. This application attempts to present a solution to problems inherent to manual control, multiple key variables coexisting in a system, mechanical stress in equipment due to manual actions, etc. The control strategy is based on a computer simulation made with real process data, showing improvement of the transient periods in the final actuators due to control signals, as well as establishing that these kinds of technologies could be implemented in both, an existing plant hardware/software or in a conventional control system.</t>
  </si>
  <si>
    <t>WOS:000458417600067</t>
  </si>
  <si>
    <t>Carmona, L; Varela, J; Godoy, L; Ganga, MA</t>
  </si>
  <si>
    <t>Carmona, Lourdes; Varela, Javier; Godoy, Liliana; Angelica Ganga, Maria</t>
  </si>
  <si>
    <t>Comparative proteome analysis of Brettanomyces bruxellensis under hydroxycinnamic acid growth</t>
  </si>
  <si>
    <t>ELECTRONIC JOURNAL OF BIOTECHNOLOGY</t>
  </si>
  <si>
    <t>Background: Brettanomyces bruxellensis is an important spoilage yeast in the winemaking process. The capacity of this yeast to generate an undesired off-flavor constitutes a significant loss in the Chilean wine industry. Results: The proteomic profile of B. bruxellensis in the presence of p-coumaric acid was determined by 2D gel electrophoresis, gel image analysis and differential spot selection. A set of 41 proteins showed a differential accumulation of +/- 2 and a p-value =0.0001. The homology sequence analysis was performed using the databases available. Differential proteins belonged to the categories of 'energy production and conversion' and 'amino acid transport and metabolism'. Conclusions: The proteomic profile of B. bruxellensis cultivated in the presence of p-coumaric acid in synthetic wine, agrees with the hypothesis ofmetabolic flux regulation, allowing a better conditioning to an adverse environment. This study involved the translational level of B. bruxellensis in the production of ethylphenols and corroborated that this yeast presented an advantage in these stress conditions. Thus, this work will allow an understanding of the regulation and processes involved in the production of ethyl-derivate compounds by B. bruxellensis. Furthermore, it allows the development of newer and better techniques for spoilage yeast control. (C) 2016 Pontificia Universidad Catolica de Valparaiso. Production and hosting by Elsevier B.V. All rights reserved.</t>
  </si>
  <si>
    <t>Carmona López, Lourdes/HJH-7958-2023; Olivares, Liliana/AAB-6276-2020; Ganga, Maria/S-8176-2019</t>
  </si>
  <si>
    <t>Godoy Olivares, Liliana/0000-0001-5110-5978</t>
  </si>
  <si>
    <t>0717-3458</t>
  </si>
  <si>
    <t>10.1016/j.ejbt.2016.07.005</t>
  </si>
  <si>
    <t>WOS:000389595000006</t>
  </si>
  <si>
    <t>Lizama, C; Velasco, MP</t>
  </si>
  <si>
    <t>Lizama, Carlos; Velasco, M. Pilar</t>
  </si>
  <si>
    <t>ABSTRACT VOLTERRA EQUATIONS WITH STATE-DEPENDENT DELAY</t>
  </si>
  <si>
    <t>JOURNAL OF INTEGRAL EQUATIONS AND APPLICATIONS</t>
  </si>
  <si>
    <t>By using the theory of resolvent families, fixed point theorems and measures of noncompactness, we prove the existence of mild solutions on a compact interval for a semilinear Volterra equation with state-dependent delay. An example is given.</t>
  </si>
  <si>
    <t>Velasco, M. Pilar/G-6747-2015; Lizama, Carlos/E-5909-2011</t>
  </si>
  <si>
    <t>Velasco, M. Pilar/0000-0002-0988-2527; Lizama, Carlos/0000-0002-9807-1100</t>
  </si>
  <si>
    <t>0897-3962</t>
  </si>
  <si>
    <t>1938-2626</t>
  </si>
  <si>
    <t>10.1216/JIE-2015-27-2-219</t>
  </si>
  <si>
    <t>WOS:000365155700004</t>
  </si>
  <si>
    <t>Alvarez-Pardo, E; Lizama, C</t>
  </si>
  <si>
    <t>Alvarez-Pardo, Edgardo; Lizama, Carlos</t>
  </si>
  <si>
    <t>MILD SOLUTIONS FOR MULTI-TERM TIME-FRACTIONAL DIFFERENTIAL EQUATIONS WITH NONLOCAL INITIAL CONDITIONS</t>
  </si>
  <si>
    <t>ELECTRONIC JOURNAL OF DIFFERENTIAL EQUATIONS</t>
  </si>
  <si>
    <t>We prove the existence of mild solutions for the multi-term time-fractional order abstract differential equation D(t)(alpha+1)u(t) + c(1)D(t)(beta 1)u(t) + ... + c(d)D(t)(beta k)u(t) = Au(t) + D-t(alpha-1) f(t, u(t)), t is an element of [0, 1], with nonlocal initial conditions, where A is the generator of a strongly continuous cosine function, 0 &lt; alpha &lt;= beta(d) &lt;= ... &lt;= beta(1) &lt;= 1 and c(k) &gt;= 0 for k = 1, ..., d.</t>
  </si>
  <si>
    <t>Lizama, Carlos/E-5909-2011</t>
  </si>
  <si>
    <t>Lizama, Carlos/0000-0002-9807-1100; Alvarez, Edgardo/0000-0003-2699-398X</t>
  </si>
  <si>
    <t>1072-6691</t>
  </si>
  <si>
    <t>WOS:000333261400002</t>
  </si>
  <si>
    <t>Henríquez, HR; Cuevas, C</t>
  </si>
  <si>
    <t>Henriquez, Hernan R.; Cuevas, Claudio</t>
  </si>
  <si>
    <t>Almost automorphy for abstract neutral differential equations via control theory</t>
  </si>
  <si>
    <t>ANNALI DI MATEMATICA PURA ED APPLICATA</t>
  </si>
  <si>
    <t>In this paper we study the existence of almost automorphic solutions for a class of linear neutral functional differential equations with finite delay and values in a Banach space. We show that the existence of an almost automorphic mild solution is related to the approximate controllability of a distributed control system. We applied our results to establish the existence of an almost automorphic solution for a neutral wave equation with delay.</t>
  </si>
  <si>
    <t>Cuevas, Claudio/A-5896-2012</t>
  </si>
  <si>
    <t>0373-3114</t>
  </si>
  <si>
    <t>1618-1891</t>
  </si>
  <si>
    <t>10.1007/s10231-011-0229-7</t>
  </si>
  <si>
    <t>WOS:000319609000004</t>
  </si>
  <si>
    <t>Mlynarz, G; Pérez, C; Guajardo, S; Sandino, AM; Imarai, M; Jashés, M</t>
  </si>
  <si>
    <t>Mlynarz, G.; Perez, C.; Guajardo, S.; Sandino, A. M.; Imarai, M.; Jashes, M.</t>
  </si>
  <si>
    <t>ImmuneTrack®I and ImmuneTrack®A, kits for innate and adaptive immune response evaluation in salmonids</t>
  </si>
  <si>
    <t>Guajardo-Leiva, Sergio/GYD-4703-2022</t>
  </si>
  <si>
    <t>Guajardo-Leiva, Sergio/0000-0003-3083-4375</t>
  </si>
  <si>
    <t>10.1016/j.fsi.2013.03.272</t>
  </si>
  <si>
    <t>WOS:000319646100295</t>
  </si>
  <si>
    <t>Muñoz, PA; Correa-Llantén, DN; Blamey, JM</t>
  </si>
  <si>
    <t>Munoz, Patricio A.; Correa-Llanten, Daniela N.; Blamey, Jenny M.</t>
  </si>
  <si>
    <t>Production, Purification and Partial Characterization of Four Lipases from a Thermophile Isolated from Deception Island</t>
  </si>
  <si>
    <t>LIPIDS</t>
  </si>
  <si>
    <t>Four lipases were purified from ID17, a thermophilic bacterium belonging to Geobacillus genus isolated from Deception Island, Antarctica. Lipase activity was detected by opacity test and p-nitrophenyl laurate methods. Lipase production was better in a medium containing tryptone as the carbon and nitrogen source, without non-ionic detergents and pH 7.5. Proteins were ultrafiltered from supernatant and separated using anion exchange and size exclusion chromatography resulting in four distinct fractions with lipase activity (called Lip1-4). Purified lipases showed an optimal pH at 9.0, 9.5, 10.0 and 8.0 and temperature at 65, 70, 75 and 80 A degrees C for Lip1-4, respectively. Lip1 and Lip2 showed higher activity using p-nitrophenol decanoate as substrate, whereas Lip3 and Lip4 prefer p-nitrophenol laurate. Based on their molecular weight Lip1 and Lip2 are trimeric and pentameric proteins, respectively, whereas Lip3 and Lip4 are monomeric proteins. Lip1 was exceptionally thermostable maintaining 70 % of its activity after incubating it at 70 A degrees C for 8 h. Based on their characteristics, the four lipases obtained from ID17 are good candidates to understand the mechanisms of lipase stability and to be used in different types of industrial applications.</t>
  </si>
  <si>
    <t>0024-4201</t>
  </si>
  <si>
    <t>1558-9307</t>
  </si>
  <si>
    <t>10.1007/s11745-013-3771-9</t>
  </si>
  <si>
    <t>WOS:000318304500010</t>
  </si>
  <si>
    <t>Noe, G; Croxatto, HB</t>
  </si>
  <si>
    <t>Noe, Gabriela; Croxatto, Horacio B.</t>
  </si>
  <si>
    <t>Post-ovulatory administration of levonorgestrel: interference with implantation is not excluded Response</t>
  </si>
  <si>
    <t>CONTRACEPTION</t>
  </si>
  <si>
    <t>0010-7824</t>
  </si>
  <si>
    <t>10.1016/j.contraception.2012.03.007</t>
  </si>
  <si>
    <t>WOS:000311195700027</t>
  </si>
  <si>
    <t>Spectral singularities in PT-symmetric periodic finite-gap systems</t>
  </si>
  <si>
    <t>The origin of spectral singularities in finite-gap singly periodic PT-symmetric quantum systems is investigated. We show that they emerge from a limit of band-edge states in a doubly periodic finite gap system when the imaginary period tends to infinity. In this limit, the energy gaps are contracted and disappear, every pair of band states of the same periodicity at the edges of a gap coalesces and transforms into a singlet state in the continuum. As a result, these spectral singularities turn out to be analogous to those in the nonperiodic systems, where they appear as zero-width resonances. Under the change of topology from a noncompact into a compact one, spectral singularities in the class of periodic systems we study are transformed into exceptional points. The specific degeneration related to the presence of finite number of spectral singularities and exceptional points is shown to be coherently reflected by a hidden, bosonized nonlinear supersymmetry.</t>
  </si>
  <si>
    <t>1550-7998</t>
  </si>
  <si>
    <t>1550-2368</t>
  </si>
  <si>
    <t>OCT 16</t>
  </si>
  <si>
    <t>10.1103/PhysRevD.86.085028</t>
  </si>
  <si>
    <t>WOS:000309859300004</t>
  </si>
  <si>
    <t>Ocaranza, M; Rompel, SM; Gutierrez, J; Sepulveda, W</t>
  </si>
  <si>
    <t>Ocaranza, Myrian; Rompel, Shanna M.; Gutierrez, Jorge; Sepulveda, Waldo</t>
  </si>
  <si>
    <t>Forehead Hemangioma: A Rare Location for a Large Vascular Tumor in a Fetus</t>
  </si>
  <si>
    <t>JOURNAL OF ULTRASOUND IN MEDICINE</t>
  </si>
  <si>
    <t>0278-4297</t>
  </si>
  <si>
    <t>WOS:000293603000017</t>
  </si>
  <si>
    <t>Campos, AM; Ponce, E; Lissi, EA</t>
  </si>
  <si>
    <t>Campos, A. M.; Ponce, E.; Lissi, E. A.</t>
  </si>
  <si>
    <t>Effects of alkyl chain lengths of gallates upon their distribution and reactivity towards diphenylpicryl hydracil radicals in Triton X-100 micellar solutions</t>
  </si>
  <si>
    <t>The reactivity of ethyl-, propyl- and octylgallate towards diphenylpicryl hydracil radicals has been measured in homogeneous solution (ethanol) and in Triton X-100 micellar solutions. Similar reactivities were measured in homogeneous solutions, indicating that the length of the alkyl chain does not influence the reactivity of the phenolic groups. On the other hand, different reactivities were measured in micellar solutions, particularly at low (5 mM) surfactant concentrations. Data obtained at different surfactant concentrations allow estimation of partitioning of the gallates and their intramicellar bimolecular rate constant. The values obtained indicate that all the observed differences in reactivity are attributable to differences in substrate partitioning between the micellar and aqueous pseudophases. In fact, similar values of the intramicellar rate constants were obtained, suggesting that the average location of the reactive groups inside the micelles is independent of the solute alkyl chain length. Copyright (C) 2009 John Wiley &amp; Sons, Ltd.</t>
  </si>
  <si>
    <t>10.1002/poc.1580</t>
  </si>
  <si>
    <t>WOS:000272727700011</t>
  </si>
  <si>
    <t>Melo, F; Vivanco, F; Fuentes, C; Apablaza, V</t>
  </si>
  <si>
    <t>Melo, F.; Vivanco, F.; Fuentes, C.; Apablaza, V.</t>
  </si>
  <si>
    <t>Kinematic model for quasi static granular displacements in block caving: Dilatancy effects on drawbody shapes</t>
  </si>
  <si>
    <t>A generalized purely kinematic model is proposed for the description of the displacement field in a granular material slowly discharging from a hopper. In addition to the diffusion constant of the well-known kinematic model, our generalized version includes a new parameter accounting for the dilatancy effect that takes place at early stages of the flow. Experimental measurements of particle tracers displacements were made in a quasi two-dimensional hopper and a promising agreement with the model was found. Applications to quasi static flows occurring in underground mining are discussed. It is shown that the effect of a small dilation on drawbody shapes can be introduced by taking a slightly larger diffusion constant D-P in the kinematic model. As a consequence, the drawbody width W links to the drawbody height H as W-2 proportional to DPH, with D-P, being a linear function of granulate size. This result that is valid in two and three dimensions, captures the main features of independent laboratory measurements as well as observations performed in operating mines. (c) 2007 Published by Elsevier Ltd.</t>
  </si>
  <si>
    <t>Vivanco, Francisco/AAB-8928-2019; Lago-Fuentes, Carlos/J-4361-2019; Melo, Francisco/M-3923-2014</t>
  </si>
  <si>
    <t>10.1016/j.ijrmms.2007.07.005</t>
  </si>
  <si>
    <t>WOS:000253723700011</t>
  </si>
  <si>
    <t>Gaona, RT; Araya, HG; Canobra, BM</t>
  </si>
  <si>
    <t>Gaona, Rene Torres; Araya, Hector Galeno; Canobra, Brenda Modak</t>
  </si>
  <si>
    <t>Effect on Hantavirus replication of resins from Heliotropium species and other selected compounds</t>
  </si>
  <si>
    <t>NATURAL PRODUCT COMMUNICATIONS</t>
  </si>
  <si>
    <t>The present investigation on Heliotropium species was carried out in an attempt to detect possible replication inhibitors of Hantavirus variety Andes. Using the plaque inhibition assay, we have evaluated a group of compounds and resins isolated from Heliotropium species. The antiviral activity was determined between the concentration range 2.5-40.0 mu g/mL. Antiviral activity was detected in all the tested resins, particularly that of H. huascoense, with an EC50 value of 12.5 mu g/mL. Of the pure compounds tested, the aromatic geranyl derivative filifolinone was the most active. The EC50 value of this compound, 11.3 mu g/mL, was similar to that of the control, ribavirin. However, these substances were not selective, but this screening has served to identify those compounds with most promise.</t>
  </si>
  <si>
    <t>1934-578X</t>
  </si>
  <si>
    <t>1555-9475</t>
  </si>
  <si>
    <t>WOS:000254644000012</t>
  </si>
  <si>
    <t>Alvarez, ZC; Riveros, SP; Miranda, TR; Yarur, VO</t>
  </si>
  <si>
    <t>Carlos Alvarez, Z.; Pedro Riveros, S.; Ruben Miranda, T.; Oriana Yarur, V.</t>
  </si>
  <si>
    <t>Mediastinal hydatid cyst. Case report and review</t>
  </si>
  <si>
    <t>REVISTA CHILENA DE INFECTOLOGIA</t>
  </si>
  <si>
    <t>Hydatid disease is caused by the larval stages of a cestodes belonging to the genus Echinococcus. In humans, hydatid larva and cysts are located &gt; 90% in the liver and/or lungs. Primary mediastinal location, with absence of documented lung infection, is extremely rare and has not been previously reported in Chile. We report the first case of a primary mediastinal hydatid cyst in Chile and review the literature. A 38 year old woman was admitted because of a painful right supraclavicular mass, dyspnea on exertion and logical dysphagia. Presurgical evaluation evidenced a mediastinal tumor extending to the cervical region that was successfully removed. The diagnosis of mediastinal hidatyd cyst was confirmed macroscopically and by biopsy.</t>
  </si>
  <si>
    <t>Alvarez Zepeda, Carlos/0000-0001-6966-7936</t>
  </si>
  <si>
    <t>0716-1018</t>
  </si>
  <si>
    <t>0717-6341</t>
  </si>
  <si>
    <t>WOS:000254580900010</t>
  </si>
  <si>
    <t>Mallol, J; Aguirre, V</t>
  </si>
  <si>
    <t>Mallol, Javier; Aguirre, Viviana</t>
  </si>
  <si>
    <t>Advances in the study of infant lung function: forced expiratory maneuvers from an increased lung volume</t>
  </si>
  <si>
    <t>ARCHIVOS DE BRONCONEUMOLOGIA</t>
  </si>
  <si>
    <t>Forced expiratory maneuvers from an increased lung volume in infants date from 1989 and consist of raising the inspiratory volume by applying a specific inflation pressure until a level close to the total lung capacity is reached. The chest and abdomen are then compressed by means of an inflatable jacket in order to obtain a forced expiratory flow-volume curve similar to that obtained for an adult. Forced expiration from an increased lung volume in infants is useful, just as the maneuver is in older patients, for studying airway function, diagnosing obstructive diseases early, and assessing response to treatment. The objective of this review is to provide information on the physiological bases and technical aspects of a lung function test that has proven highly useful for the study of the airways of healthy infants as well as those with respiratory diseases.</t>
  </si>
  <si>
    <t>0300-2896</t>
  </si>
  <si>
    <t>10.1157/13100543</t>
  </si>
  <si>
    <t>WOS:000245378500008</t>
  </si>
  <si>
    <t>Ispolatov, I; Mazo, I; Yuryev, A</t>
  </si>
  <si>
    <t>Ispolatov, I.; Mazo, I.; Yuryev, A.</t>
  </si>
  <si>
    <t>Finding mesoscopic communities in sparse networks</t>
  </si>
  <si>
    <t>JOURNAL OF STATISTICAL MECHANICS-THEORY AND EXPERIMENT</t>
  </si>
  <si>
    <t>We suggest a fast method for finding possibly overlapping network communities of a desired size and link density. Our method is a natural generalization of the finite-T superparamagnetic Potts clustering introduced by Blatt et al (1996 Phys. Rev. Lett. 76 3251) and the annealing of the Potts model with a global antiferromagnetic term recently suggested by Reichard and Bornholdt (2004 Phys. Rev. Lett. 93 21870). Like in both cited works, the proposed generalization is based on ordering of the ferromagnetic Potts model; the novelty of the proposed approach lies in the adjustable dependence of the antiferromagnetic term on the population of each Potts state, which interpolates between the two previously considered cases. This adjustability allows one to empirically tune the algorithm to detect the maximum number of communities of the given size and link density. We illustrate the method by detecting protein complexes in high-throughput protein binding networks.</t>
  </si>
  <si>
    <t>Mazo, Ilya/G-6549-2014; Ispolatov, Iaroslav/E-8544-2010</t>
  </si>
  <si>
    <t>Mazo, Ilya/0000-0002-8587-4895; Yuryev, Anton/0000-0003-1021-4849; Ispolatov, Iaroslav/0000-0002-0201-3396</t>
  </si>
  <si>
    <t>1742-5468</t>
  </si>
  <si>
    <t>P09014</t>
  </si>
  <si>
    <t>10.1088/1742-5468/2006/09/P09014</t>
  </si>
  <si>
    <t>WOS:000241413300014</t>
  </si>
  <si>
    <t>Hamm, E; Roman, B; Melo, F</t>
  </si>
  <si>
    <t>Dynamics of developable cones under shear</t>
  </si>
  <si>
    <t>We identify and study a persistent structure characteristic of the post-buckling regime of a thin cylindrical shell subjected to axial torsion. It consists of a pair of developable cones (d cones) joined by an S-shaped ridge, having a size of the order of the radius of the cylinder. We study its formation by applying a concentrated load at the center of the shell, which creates an isolated pair of d cones, joined by a straight ridge that progressively tilts when a torsion angle is imposed. We interpret this response as the equilibrium state of a pair of interacting d cones in the presence of an in-plane shear field, created by axial torsion, which tends to drive them away from each other. We find that the amplitude of displacement of the d cones for a given torsion angle is amplified by decreasing the thickness of the sheet, therefore concluding that the equilibrium state is the result of a balance between bending and stretching energies. We propose a model where the driving effect is the coupling between the deformation field around the d cones and the imposed shear field, while the stabilizing effect is the increasing bending energy of the system.</t>
  </si>
  <si>
    <t>Hamm, Eugenio/A-7927-2013; Melo, Francisco/M-3923-2014; Roman, Benoit/C-6273-2014</t>
  </si>
  <si>
    <t>Roman, Benoit/0000-0002-1473-2734; Melo, Francisco Esteban/0000-0001-6818-5476</t>
  </si>
  <si>
    <t>10.1103/PhysRevE.70.026607</t>
  </si>
  <si>
    <t>WOS:000223784600081</t>
  </si>
  <si>
    <t>Bubnovich, V; Toledo, M; Gonzalez, H; Salas, R</t>
  </si>
  <si>
    <t>Finite differences study of ignition in a methane-air mixture flow</t>
  </si>
  <si>
    <t>INTERNATIONAL JOURNAL OF SOLIDS AND STRUCTURES</t>
  </si>
  <si>
    <t>7th Pan American Congress of Applies Mechanics (PACAM 7)</t>
  </si>
  <si>
    <t>JAN, 2002</t>
  </si>
  <si>
    <t>UNIV LA FRONTERA, INTEGRADO ANDRES BELLO, TEMUCO, CHILE</t>
  </si>
  <si>
    <t>UNIV LA FRONTERA, INTEGRADO ANDRES BELLO</t>
  </si>
  <si>
    <t>A detailed simulation of the ignition process and premixed flames propagation, taking into account molecular transport, chemical reaction, thermodynamics and convection, is built by making use of the implicit finite difference scheme with the help of the Tridiagonal Matrix Algorithm. The velocity of chemical reaction is expressed by means of Arrhenius form of first order in both fuel and oxygen. The main objective of this work is to define numerically in two cases, it = 0.1 m/s and u = 0.4 m/s, the ignition temperature of the methane-air mixture with different air excess coefficients in the mixture. In addition, the effect of the thickness of the region ignition and of ignition location on the transient behavior of the flame was studied. (C) 2003 Elsevier Ltd. All rights reserved.</t>
  </si>
  <si>
    <t>González Rojas, Hernán A./HTQ-1244-2023; Toledo, Mario/I-1129-2015</t>
  </si>
  <si>
    <t>Toledo, Mario/0000-0001-6443-9256; Gonzalez Rojas, Hernan Alberto/0000-0001-8911-0115</t>
  </si>
  <si>
    <t>0020-7683</t>
  </si>
  <si>
    <t>10.1016/S0020-7683(03)00248-8</t>
  </si>
  <si>
    <t>WOS:000184674700003</t>
  </si>
  <si>
    <t>Pizarro, J; Rubio, MA; Lira, G</t>
  </si>
  <si>
    <t>Optimization of a in situ sampling technique:: Analysis of Cu and Fe in aquatic systems.</t>
  </si>
  <si>
    <t>The improvement of the technique of diffusive gradients in thin layers (DGT) and the sampling have been tested for Cu and Fe ions in two different samples: synthetic (solution) and heterogeneous (sediment-water interface). Both analytical determinations showed low relative error and low standard deviation. Gel preparation, assembly DGT device, thickness diffusive layer (0.45 mm), time sampling (6 h), time elution (18), and elution factor (Fe: 0.79 +/- 0.02; Cu: 0.80 +/- 0.04) were optimized.</t>
  </si>
  <si>
    <t>WOS:000172210200007</t>
  </si>
  <si>
    <t>Carreño, L; Carrasco, N; Rezende, MC</t>
  </si>
  <si>
    <t>Kinetics of methylation of a solvatochromic vinylogous α-pyridone in different solvents</t>
  </si>
  <si>
    <t>The kinetics of the reaction with iodomethane of the solvatochromic dye 4-[2-(N-methyl-4,6-diphenylpyridiniumyl)]phenoxide 2, generated in situ From the corresponding N-methyl-2,4-diphenyl-6-(4-hydroxyphenyl)pyridinium salt 4, was studied in various solvents and solvent mixtures, in search of a possible correlation between its reactivity and solvatochromism in solution. (C) 1999 John Wiley &amp; Sons, Inc.</t>
  </si>
  <si>
    <t>Caroli, Marcos/H-3570-2019; Carreno, Leandro/H-4571-2014</t>
  </si>
  <si>
    <t>1097-4601</t>
  </si>
  <si>
    <t>WOS:000083397500009</t>
  </si>
  <si>
    <t>Chandia, O; Zanelli, J</t>
  </si>
  <si>
    <t>Supersymmetric particle in a spacetime with torsion and the index theorem</t>
  </si>
  <si>
    <t>The supersymmetric Lagrangian compatible with the presence of torsion in the background spacetime requires, in addition to the minimal coupling, an interaction between the spin and the torsion of the form 1/2N (mu nu lambda rho) psi(mu)psi(nu)psi(lambda)psi(rho), where N is the Nieh-Yan 4-form. This gives rise to a coupling between helicity (h) and the Nieh-Yan density of the form hN. The classical Lagrangian allows computing the index for the Dirac operator on a four-dimensional compact manifold with curvature and torsion using the path integral representation for the index. This calculation provides an independent check for the recent result of the chiral anomaly in spaces with torsion.</t>
  </si>
  <si>
    <t>10.1103/PhysRevD.58.045014</t>
  </si>
  <si>
    <t>WOS:000075521600054</t>
  </si>
  <si>
    <t>Gautier, JL; Meza, E; Silva, E; Lamas, C; Silva, C</t>
  </si>
  <si>
    <t>Effect of the ZnNiyMn2-yO4 (0≤y≤1) spinel composition on electrochemical lithium insertion</t>
  </si>
  <si>
    <t>The electrochemical insertion of lithium in the spinel-type manganite with the formula ZnNiyMn2-yO4 has been studied. The galvanostatic discharge curves show that the best performance is obtained for y = 0.25, where a tetragonal to cubic structural transformation occurs. The thermodynamics and kinetics of the process of insertion of the lithium into the tetragonal spinel LixZnNi0.25Mn1.75O4 (x = 0.05-1.3) have been studied. The molar thermodynamic quantities, such as enthalpy, entropy and free energy determined by EMF-T measurements, varied with the lithium concentration in the oxide structure, and a major variation was observed around x = 0.8. The chemical diffusion coefficient of lithium in these spinels was also determined. Structural analysis, degree of oxidation and magnetic susceptibility measurements were carried out for the lithiated oxides in order to obtain the cationic distribution as a function of x. It has been possible to demonstrate that, upon lithium insertion, Mn4+ ions on B sites are reduced to Mn3+ and then to Mn2+. A cooperative Jahn-Teller effect is present in these spinel manganese-nickel oxides.</t>
  </si>
  <si>
    <t>Meza, Erika/S-5934-2017; Lamas, Cristiane/AAV-4157-2020</t>
  </si>
  <si>
    <t>Meza, Erika/0009-0009-0588-1808</t>
  </si>
  <si>
    <t>10.1007/s100080050036</t>
  </si>
  <si>
    <t>WOS:000072091300003</t>
  </si>
  <si>
    <t>MAGNE, L; AMESTICA, R; BARRIA, J; MENACHO, J</t>
  </si>
  <si>
    <t>DYNAMIC MODELING OF SEMIAUTOGENOUS MILLING BASED ON A SIMPLIFIED PHENOMENOLOGICAL MODEL</t>
  </si>
  <si>
    <t>A dynamic simplified model for semiautogenous grinding developed on a phenomenological basis is presented. An equation for the pulp transport through the mill is proposed. Internal classification is described by means of a function sensitive to the pulp density inside the mill. Consistency of the model is shown on the basis of an extensive pilot testing in a 6' x 2' (diameter x length) cascade mill. The effect of the feed rate, feed size distribution and ball filling on the metallurgical response of the mill are shown.</t>
  </si>
  <si>
    <t>10.3989/revmetalm.1995.v31.i2.972</t>
  </si>
  <si>
    <t>WOS:A1995RE29000005</t>
  </si>
  <si>
    <t>Segovia, C</t>
  </si>
  <si>
    <t>Segovia, Carolina</t>
  </si>
  <si>
    <t>Affective polarization in low-partisanship societies. The case of Chile 1990-2021</t>
  </si>
  <si>
    <t>Does the decline in party identification lead to a decrease or an increase in affective polarization? In recent years, research about affective polarization has increased, asking whether contemporary publics polarize in terms of their affective evaluations of the opposite party. Evidence shows that, at least in some cases, there are signs of increased polarization. At the same time, however, there is evidence of a decline in party identification, suggesting that the parties no longer attract people's hearts and minds. These two results might conflict. However, whether and how affective polarization and declining partisanship are related has received little attention. To address this issue, in this article, we investigate how much affective polarization there is in Chile, how it has changed over time. We use survey data from Chile between 1990 and 2021, a country that has shown a profound and constant loss in partisanship. First, we show that affective polarization varies over time and that, at the aggregate level, the decline in partisanship does not impact affective polarization. Second, the groups that show higher polarization also change: if by 1990 the more polarized were people identifying with left-wing parties, by 2021, affective polarization is similar across groups, including those who do not identify with political parties.</t>
  </si>
  <si>
    <t>Segovia, Carolina/AAA-2162-2019</t>
  </si>
  <si>
    <t>Segovia, Carolina/0000-0001-6586-1643</t>
  </si>
  <si>
    <t>NOV 21</t>
  </si>
  <si>
    <t>10.3389/fpos.2022.928586</t>
  </si>
  <si>
    <t>WOS:000994976300001</t>
  </si>
  <si>
    <t>Urzúa, A; Leiva-Gutiérrez, J; Caqueo-Urízar, A; Vera-Villarroel, P</t>
  </si>
  <si>
    <t>Urzua, Alfonso; Leiva-Gutierrez, Jose; Caqueo-Urizar, Alejandra; Vera-Villarroel, Pablo</t>
  </si>
  <si>
    <t>Rooting mediates the effect of stress by acculturation on the psychological well-being of immigrants living in Chile (vol 14, e0219485, 2019)</t>
  </si>
  <si>
    <t>Vera-Villarroel, Pablo/AAQ-8476-2020; Urzúa, Alfonso/A-1208-2012; Caqueo-Urízar, Alejandra/AAW-4045-2021; Leiva-Gutiérrez, Jose/AAP-6813-2020</t>
  </si>
  <si>
    <t>Caqueo-Urizar, Alejandra/0000-0002-4614-8380</t>
  </si>
  <si>
    <t>OCT 29</t>
  </si>
  <si>
    <t>e0241873</t>
  </si>
  <si>
    <t>10.1371/journal.pone.0241873</t>
  </si>
  <si>
    <t>WOS:000600013600064</t>
  </si>
  <si>
    <t>Contreras-Salinas, S; Ramírez-Pavelic, M</t>
  </si>
  <si>
    <t>Contreras-Salinas, Sylvia; Ramirez-Pavelic, Monica</t>
  </si>
  <si>
    <t>Intercultural relations: The circus experience and its uniqueness</t>
  </si>
  <si>
    <t>REVISTA COMUNICACION</t>
  </si>
  <si>
    <t>This article gives an account of some key elements of a research focused on members of a Chilean family circus. The study seeks to appreciate the construction of intercultural relations from a critical perspective. In this regard, the circus serves to clarify issues that often remain in abstraction, thus preventing communicative action and impacting the generation of social worlds. The objective was to describe the communicative actions and citizenship practices that build the members of the Markoning circus. The methodology used corresponds to the qualitative approach, specifically a case study, which was approached utilizing discourse analysis. The main findings illustrate the challenges in the field of social sciences and point to an appropriate scenario to inquire how intercultural relations are constructed at a local, situated, and daily level. We conclude that communicative action allows to recognize the distinctive social capital of the circus, while citizenship practices reaffirm their option of not appearing in the public space.</t>
  </si>
  <si>
    <t>0379-3974</t>
  </si>
  <si>
    <t>1659-3820</t>
  </si>
  <si>
    <t>WOS:000615755700004</t>
  </si>
  <si>
    <t>García, C; Navarro, F; Ruíz-León, D; Beltrán, OG; Aguirre, MJ</t>
  </si>
  <si>
    <t>Garcia, Camilo; Navarro, Freddy; Ruiz-Leon, Domingo; Garcia Beltran, Olimpo; Jesus Aguirre, Maria</t>
  </si>
  <si>
    <t>Impedimetric evaluation of hybrid cationic porphyrin/quantum dot multilayer assemblies: a biocompatible interface for calf thymus DNA immobilization</t>
  </si>
  <si>
    <t>In this work, a cationic porphyrin, ascribed as [Ttolyl(P-(C6H5)(3))(4)](4+), where Ttolyl = 5,10,15,20 tetrakistolylporphyrin, was electrostatically assembled with CdTe quantum dots capped with glutathione (GSH) of diameter similar to 3.28 nm via a layer-by-layer methodology. This multilayer assembly was evaluated as a biocompatible interface with synergic effects for calf thymus double-stranded DNA (CT DNA) immobilization, considering that the hybrid assembly contains a cationic porphyrin with a high binding constant for CT DNA, and quantum dots with polypeptide as a capping agent. The multilayer assembly, ascribed as ITO/{[Ttolyl(P-(C6H5)(3))(4)](4+)/CdTe} (n) (n = 1-5), was characterized by UV-Vis spectroscopy, cyclic voltammetry, and electrochemical impedance spectroscopy (EIS). The last technique was explored in order to check the adsorption of CT DNA onto the multilayer porphyrin/quantum dot assembly. The difference in electron transfer resistance (Delta R (ct)) obtained after CT DNA incubations showed the best result for a specific multilayer assembly, n = 3. {[Ttolyl(P-(C6H5)(3))(4)](4+)/CdTe}(3) showed a good correlation of Delta R (ct) with the logarithmic concentration of CT DNA, in the range 1.0 x 10(-10) to 1.0 x 10(-6) M with a limit of detection (LOD) of 1.5 x 10(-12) M. Conversely, when the {[Ttolyl(P-(C6H5)(3))(4)](4+)/CdTe}(3) system was incubated with calf thymus single-stranded DNA and salmon testes DNA, no significant difference in Delta R (ct) was observed. We conclude that the newly described {[Ttolyl(P-(C6H5)(3))(4)](4+)/CdTe} (n) system is a choice method for the impedimetric determination of CT DNA.</t>
  </si>
  <si>
    <t>Navarro, Freddy/KIA-4345-2024; Aguirre, Maria/A-3935-2013; León, Domingo/AAE-7630-2019; Garcia-Beltran, Olimpo/O-1846-2017</t>
  </si>
  <si>
    <t>Aguirre, Maria/0000-0003-1134-4469; Navarro, Freddy/0000-0003-0056-5266; Ruiz Leon, Domingo/0000-0002-0950-6919; Garcia-Beltran, Olimpo/0000-0003-3312-1776</t>
  </si>
  <si>
    <t>10.1007/s10008-016-3367-4</t>
  </si>
  <si>
    <t>WOS:000391390500025</t>
  </si>
  <si>
    <t>Letelier, MF; Siginer, DA; Gutiérrez, S; Arratia, P; González, A</t>
  </si>
  <si>
    <t>Letelier, Mario F.; Siginer, Dennis A.; Gutierrez, Sebastian; Arratia, Pablo; Gonzalez, Amaru</t>
  </si>
  <si>
    <t>VISCOELASTIC FLOW IN TEARDROP - SHAPED TUBES: TRANSVERSAL FIELD</t>
  </si>
  <si>
    <t>PROCEEDINGS OF THE ASME INTERNATIONAL MECHANICAL ENGINEERING CONGRESS AND EXPOSITION, 2016, VOL. 7</t>
  </si>
  <si>
    <t>ASME International Mechanical Engineering Congress and Exposition (IMECE2016)</t>
  </si>
  <si>
    <t>NOV 11-17, 2016</t>
  </si>
  <si>
    <t>Phoenix, AZ</t>
  </si>
  <si>
    <t>Amer Soc Mech Engineers</t>
  </si>
  <si>
    <t>We present an analytical study of secondary flows in tubes of teardrop shape for a viscoelastic fluid described by the Phan-Thien-Tanner (PPT) model. The analytical development is based on a one-to-one mapping (shape function) to describe the teardrop contour and the expansion of field variables into asymptotic series in terms of the Weissenberg number Wi. Secondary flows and the temperature field are determined solving the hierarchical set of equations resulting from the asymptotic series expansions.</t>
  </si>
  <si>
    <t>978-0-7918-5061-9</t>
  </si>
  <si>
    <t>V007T09A025</t>
  </si>
  <si>
    <t>WOS:000400877800025</t>
  </si>
  <si>
    <t>Riveros, A; Escrig, J</t>
  </si>
  <si>
    <t>Riveros, Alejandro; Escrig, Juan</t>
  </si>
  <si>
    <t>Magnetostatic Interaction Between Two Nanotubes During Magnetization Reversal by Vortex Domain Walls</t>
  </si>
  <si>
    <t>IEEE MAGNETICS LETTERS</t>
  </si>
  <si>
    <t>In this work, an integral expression for the magnetostatic interaction between two nanotubes during magnetization reversal by vortex domain walls has been obtained. This expression allows the calculation of the widths of the domain walls as a function of the position of the walls, the vertical separation between them, and the separation between the nanotubes. The wall width increases with radius and, as the tubes approach each other, the wall width increases more slowly than the wall width of isolated tubes. This expression allows for the study of magnetostatic interactions between magnetic nanotubes that have been proposed as an interesting alternative for applications in spintronics, where the motion of domain walls in nanotubes is expected to occur at very high velocities.</t>
  </si>
  <si>
    <t>1949-307X</t>
  </si>
  <si>
    <t>10.1109/LMAG.2016.2633419</t>
  </si>
  <si>
    <t>WOS:000398701600001</t>
  </si>
  <si>
    <t>Castro, C; Arancibia-Miranda, N; Acuña-Rougier, C; Escudey, M; Tasca, F</t>
  </si>
  <si>
    <t>Castro, Carmen; Arancibia-Miranda, Nicolas; Acuna-Rougier, Cristina; Escudey, Mauricio; Tasca, Federico</t>
  </si>
  <si>
    <t>Spectroscopic and Electrochemical Studies of Imogolite and Fe-Modified Imogolite Nanotubes</t>
  </si>
  <si>
    <t>NANOMATERIALS</t>
  </si>
  <si>
    <t>Carbon nanotubes and other forms of carbon nanoparticles, as well as metal nanoparticles have been widely used in film electrochemistry because they allow for the immobilization of larger amounts of catalyst (either biological or inorganic) on the top of the modified electrodes. Nevertheless, those nanoparticles present high costs of synthesis and of separation and purification that hamper their employment. On the other hand, imogolites (Im), with the general formula (OH)(3)Al2O3SiOH, are naturally-occurring nanomaterials, which can be obtained from glassy volcanic ash soils and can also be synthesized at mild conditions. In this research paper, we characterize through spectroscopic techniques (i.e., fourier transform infrared spectroscopy (FTIR) spectroscopy, powder X-ray diffraction (XRD) and transmission electron microscopy (TEM)) synthetized Im and Fe-modified imogolite (Im(Fe)). Moreover, the Im and Im(Fe) were physically adsorbed on the top of a graphite electrode (GE) and were characterized electrochemically in the potential region ranging from -0.8 to 0.8 V vs. the saturated calomel electrode (SCE). When the film of the Im or of the Im(Fe) was present on the top of the electrode, the intensity of the charging/discharging current increased two-fold, but no redox activity in the absence of O-2 could be appreciated. To show that Im and Im(Fe) could be used as support for catalysts, iron phthalocyanine (FePc) was adsorbed on the top of the Im or Im(Fe) film, and the electrocatalytic activity towards the O-2 reduction was measured. In the presence of the Im, the measured electrocatalytic current for O-2 reduction increased 30%, and the overpotential drastically decreased by almost 100 mV, proving that the Im can act as a good support for the electrocatalysts.</t>
  </si>
  <si>
    <t>CastroCastillo, Carmen/KXQ-9408-2024; Arancibia-Miranda, Nicolás/I-6743-2013; Tasca, Federico/J-4134-2015</t>
  </si>
  <si>
    <t>Castro, Carmen/0000-0002-0103-155X</t>
  </si>
  <si>
    <t>2079-4991</t>
  </si>
  <si>
    <t>10.3390/nano6020028</t>
  </si>
  <si>
    <t>WOS:000371829300003</t>
  </si>
  <si>
    <t>Alvarez, E; Lizama, C</t>
  </si>
  <si>
    <t>Alvarez, Edgardo; Lizama, Carlos</t>
  </si>
  <si>
    <t>Weighted pseudo almost periodic solutions to a class of semilinear integro-differential equations in Banach spaces</t>
  </si>
  <si>
    <t>ADVANCES IN DIFFERENCE EQUATIONS</t>
  </si>
  <si>
    <t>In this paper we prove the existence of weighted pseudo almost periodic mild solutions for the class of integro-differential equations in the form u'(t) = Au(t) + alpha integral(t)(-infinity) e(-beta(t-s)) Au(s) ds + f(t, u(t)) where f (., u(.)) is a Stepanov-like weighted pseudo almost periodic function and A generates an immediately norm continuous C-0-semigroup on a Banach space X. Also, we give a short proof to show that the vector-valued space of Stepanov-like weighted pseudo almost periodic functions is a Banach space.</t>
  </si>
  <si>
    <t>1687-1847</t>
  </si>
  <si>
    <t>JAN 31</t>
  </si>
  <si>
    <t>10.1186/s13662-015-0370-5</t>
  </si>
  <si>
    <t>WOS:000348985200005</t>
  </si>
  <si>
    <t>Martínez, JL; Cabrera, H; Laurido, C</t>
  </si>
  <si>
    <t>Martinez, Jose L.; Cabrera, Hiran; Laurido, Claudio</t>
  </si>
  <si>
    <t>Verapamil Potentiate the Cardiodepressor Effect of Ethanol in Cat Papillary Muscle</t>
  </si>
  <si>
    <t>PAKISTAN VETERINARY JOURNAL</t>
  </si>
  <si>
    <t>The possible additive effect of ethanol (EtOH) on verapamil on isolated papillary muscle of cats weighing 1200-1500g kept in oxygenated Ringer Locke solution was studied. Papillary muscles were dissected from the right ventricle, mounted vertically in an acrylic support and stimulated electrically driven at a constant rate by means of silver at 37 degrees C (pH=7.4). We studied the effect on peak tension development (PTD) of verapamil (5.4 X 10(-4) mM) and two EtOH concentrations (48.6 and 97.2 mM) in cat papillary muscle bathed in a normocalcic medium (2.2 mM) of Ringer-Locke solution. EtOH in both concentrations potentiated the decrease of PTD (inotropic effect), (-53.31 +/- 2.07% and -60.00 +/- 3.50%, respectively) compared to verapamil previously incubated in bath (-38.1 +/- 2.26%). It was concluded that verapamil induces a decrease in myocardial contraction by a posterior consumption of sufficient EtOH enough to put the patient in the risk of a lamentable induction of cardiac failure. (C) 2013 PVJ. All rights reserved</t>
  </si>
  <si>
    <t>0253-8318</t>
  </si>
  <si>
    <t>2074-7764</t>
  </si>
  <si>
    <t>WOS:000321701200025</t>
  </si>
  <si>
    <t>Zúñiga, GE; Junqueira-Gonçalves, MP; Pizarro, M; Contreras, R; Tapia, A; Silva, S</t>
  </si>
  <si>
    <t>Zuniga, G. E.; Junqueira-Goncalves, M. P.; Pizarro, M.; Contreras, R.; Tapia, A.; Silva, S.</t>
  </si>
  <si>
    <t>Effect of ionizing energy on extracts of Quillaja saponaria to be used as an antimicrobial agent on irradiated edible coating for fresh strawberries</t>
  </si>
  <si>
    <t>RADIATION PHYSICS AND CHEMISTRY</t>
  </si>
  <si>
    <t>Incorporating antimicrobial compounds into edible films or coatings provides a novel way to improve the safety and shelf life of ready-to-eat foods. Diverse studies with Quillaja saponaria Mol. (popularly named quillay) extracts have demonstrated their potential as antifungal agents against phytopathogenic fungi. Crosslinking induced by ionizing radiation is an effective method for the improvement of both barrier and mechanical properties of the edible films and coatings based on milk proteins. However there are few reports about the effects of gamma-radiation on plant extracts. The aim of this work was to evaluate the effect of ionizing radiation (0, 5, 10, 15, 20, 25 and 35 kGy) on extracts prepared from in vitro plants of Q. saponaria to be used as antimicrobial agent in irradiated edible coating based on calcium caseinate and whey protein isolated, and also to establish the concentration of Q saponaria extract to be added as an antifungal agent in the coating. Gamma irradiation since 15 kGy affects negatively the antimicrobial activity and metabolites composition of extract of Q. saponaria by reducing compounds of phenolic nature. Otherwise no effect on saponins profile was observed even at higher doses. It was possible to conclude that the antifungal activity of Q. saponaria extract is mainly related to phenolic compounds content. In addition, our work also shows that to obtain an efficient antifungal protection is necessary to add a minimum concentration of 6% of the extract after the coating irradiation. (C) 2011 Elsevier Ltd. All rights reserved.</t>
  </si>
  <si>
    <t>Contreras, Rodrigo/I-1871-2013; Zuñiga, Gustavo/P-8306-2015</t>
  </si>
  <si>
    <t>Contreras, Rodrigo/0000-0001-9970-3125; Zuniga, Gustavo/0000-0002-8286-9468</t>
  </si>
  <si>
    <t>0969-806X</t>
  </si>
  <si>
    <t>1879-0895</t>
  </si>
  <si>
    <t>10.1016/j.radphyschem.2011.08.008</t>
  </si>
  <si>
    <t>WOS:000297454000012</t>
  </si>
  <si>
    <t>Noé, G; Croxatto, HB; Salvatierra, AM; Reyes, V; Villarroel, C; Muñoz, C; Morales, G; Retamales, A</t>
  </si>
  <si>
    <t>Noe, Gabriela; Croxatto, Horacio B.; Maria Salvatierra, Ana; Reyes, Veronica; Villarroel, Claudio; Munoz, Carla; Morales, Gabriela; Retamales, Anita</t>
  </si>
  <si>
    <t>Contraceptive efficacy of emergency contraception with levonorgestrel given before or after ovulation</t>
  </si>
  <si>
    <t>Background: The contraceptive efficacy of emergency contraceptive pills containing levonorgestrel (LNG-EC) has been estimated in most previous studies by judging the day of ovulation from presumptive menstrual cycle data, thus providing poorly reliable estimates. Methods: In the present study, the efficacy of LNG-EC was determined in 393 cycles by dating ovulation on the basis of reliable hormonal and ovarian parameters validated by a database constructed in a separate study. In addition, the efficacy was determined separately for cycles in which LNG-EC was given before or after ovulation. Results: For the 148 women who had sexual intercourse during the fertile days, the overall accumulated probability of pregnancy was 24.7, while altogether 8 pregnancies were observed. Thus, the overall contraceptive efficacy of LNG-EC was 68%. Among the 103 women who took LNG-EC before ovulation (days -5 to -1), 16 pregnancies were expected and no pregnancy occurred (p&lt;.0001). Among the 45 women who took LNG-EC on the day of ovulation (day 0) or thereafter, 8 pregnancies occurred and 8.7 were expected (p=1.00). These findings are incompatible with the inhibition of implantation by LNG-EC in women. The same cases were also analyzed using the presumptive menstrual cycle data, and important discrepancies were detected between the two methods. Conclusion: The efficacy of LNG-EC has been overestimated in studies using presumptive menstrual cycle data. Our results confirm previous similar studies and demonstrate that LNG-EC does not prevent embryo implantation and therefore cannot be labeled as abortifacient. (C) 2011 Elsevier Inc. All rights reserved.</t>
  </si>
  <si>
    <t>Morales, Gabriela/KGK-9457-2024; villarroel, claudio/F-2713-2010; Reyes, Veronica/GSE-4030-2022</t>
  </si>
  <si>
    <t>Villarroel, Claudio/0000-0001-5184-9715</t>
  </si>
  <si>
    <t>10.1016/j.contraception.2011.03.006</t>
  </si>
  <si>
    <t>WOS:000296930700008</t>
  </si>
  <si>
    <t>Amat, S; Busquier, S; Plaza, S</t>
  </si>
  <si>
    <t>Amat, S.; Busquier, S.; Plaza, S.</t>
  </si>
  <si>
    <t>Chaotic dynamics of a third-order Newton-type method</t>
  </si>
  <si>
    <t>JOURNAL OF MATHEMATICAL ANALYSIS AND APPLICATIONS</t>
  </si>
  <si>
    <t>The dynamics of a classical third-order Newton-type iterative method is studied when it is applied to degrees two and three polynomials. The method is free of second derivatives which is the main limitation of the classical third-order iterative schemes for systems. Moreover, each iteration consists only in two steps of Newton's method having the same derivative. With these two properties the scheme becomes a real alternative to the classical Newton method. Affine conjugacy class of the method when is applied to a differentiable function is given. Chaotic dynamics have been investigated in several examples. Applying the root-finding method to a family of degree three polynomials. we have find a bifurcation diagram as those that appear ill the bifurcation of the logistic map ill the interval. (C) 2010 Elsevier Inc. All rights reserved.</t>
  </si>
  <si>
    <t>Sáez, Sonia/AAA-6148-2019; Plata, Sergio/AAA-6144-2019</t>
  </si>
  <si>
    <t>0022-247X</t>
  </si>
  <si>
    <t>1096-0813</t>
  </si>
  <si>
    <t>10.1016/j.jmaa.2010.01.047</t>
  </si>
  <si>
    <t>WOS:000274647400003</t>
  </si>
  <si>
    <t>Bubnovich, V; Villarreal, C; Reyes, A</t>
  </si>
  <si>
    <t>Bubnovich, V.; Villarreal, C.; Reyes, A.</t>
  </si>
  <si>
    <t>Computer simulation of the drying of seeds and vegetables in a discontinuous fluidized bed</t>
  </si>
  <si>
    <t>NUMERICAL HEAT TRANSFER PART A-APPLICATIONS</t>
  </si>
  <si>
    <t>A mathematical model is chosen and a finite-difference algorithm is developed to describe the drying of agro products in a batch fluidized bed. The mathematical model is discretized according to the implicit scheme for two particle geometries: sphere and chip. The system of algebraic equations is solved using the tridiagonal matrix algorithm (TDMA). Stability and convergence of the numerical algorithm are analyzed by variation of the time step and mesh size, finding computer time savings when using nonuniform space steps and boundary conditions are discretized using three nodal positions. Obtained results are compared with numerical results from the literature and experimental data of potato chips drying, concluding that the chosen model describes the phenomena correctly.</t>
  </si>
  <si>
    <t>Villarreal-Olavarrieta, Carlos E./0000-0002-5052-8028</t>
  </si>
  <si>
    <t>1040-7782</t>
  </si>
  <si>
    <t>1521-0634</t>
  </si>
  <si>
    <t>10.1080/10407780802084728</t>
  </si>
  <si>
    <t>WOS:000256881500002</t>
  </si>
  <si>
    <t>Hamm, E; Melo, F</t>
  </si>
  <si>
    <t>Laser speckle correlation applied to flow field measurements in granular media</t>
  </si>
  <si>
    <t>EUROPHYSICS LETTERS</t>
  </si>
  <si>
    <t>A laser speckle correlation method is developed to measure slow macroscopic flow fields in a randomly packed granular medium. The method is useful for planar geometry configurations like the one considered here, namely a sample that is subjected to an indentation type test. The main feature revealed by the method in this system, is the formation of shear bands of well-defined shapes, proper of a Coulomb-like material. We characterize these structures by showing that they concentrate vorticity and shear deformation. In addition, the method provides high-precision measurements of tiny displacements occurring far below shear bands.</t>
  </si>
  <si>
    <t>Hamm, Eugenio/A-7927-2013; Melo, Francisco/M-3923-2014</t>
  </si>
  <si>
    <t>10.1209/epl/i2005-10412-8</t>
  </si>
  <si>
    <t>WOS:000234737800006</t>
  </si>
  <si>
    <t>Rios, A; Villagran, M; Costamagna, J; Ferraudi, G</t>
  </si>
  <si>
    <t>Intermediates in the NiII(2,4,9,11-tetramethyl-napho2[14]-2,4,6,9,11,13-hexaene-N4)-catalyzed photoreduction of CO2 to CO:: A pulse-radiolytic and flash-photochemical study</t>
  </si>
  <si>
    <t>The photoreduction Of CO2 to CO was catalyzed by Ni(II) complexes of the 2,4,9,11-tetramethyl-Napho(2)[14]2,4,6,9,11,13-hexaeneN(4) and 2,4,9,11-tetra(1, 1'-dimethylethyl)-Napho(2)[14]-2,4,6,9,11,13-hexaeneN(4) ligands in methanol. In the experiments, the charge transfer excited state of Ru(bipy)(3)(2+) was used as the reductant of the Ni(II) complexes and 2,2',2-nitrilotriethanol was used as a sacrificial reagent. Intermediates in these reactions were investigated by pulse-radiolytic and flash-photochemical procedures. Flash irradiations of the Ni(II) and Co(III) complexes in methanolic solutions at 350 nm resulted in oxidation of methanol. Transient species with a coordinated macrocyclic radical were observed in the photolysis and when radiolytically generated . CH2OH radicals reacted with the complexes. The pulse-radiolytically and flash-photochemically generated transients of the Ni(II) complex incorporated CO2 and the resulting species could mediate in the formation of CO.</t>
  </si>
  <si>
    <t>SEP 20</t>
  </si>
  <si>
    <t>10.1080/00958970310001629118</t>
  </si>
  <si>
    <t>WOS:000188356200006</t>
  </si>
  <si>
    <t>Villablanca, M; del Valle, J; Urrea, C; Rojas, W</t>
  </si>
  <si>
    <t>36-pulse HVdc transmission for remotely sited generation</t>
  </si>
  <si>
    <t>Remotely sited generators that are connected to load centers may economically use HVdc transmission. The possibility of connecting the generators directly to the HVdc converter station, with both ac and dc filters removed, has been discussed frequently in the past, with significant capital and operating savings argued, but as yet without such a system being realized. It would seem that the removal of filters is not feasible. In this paper a 36-pulse operation for the converter station is proposed, whereby substantial reduction of harmonics is achieved, and thus both ac and de filters may be removed without further implications.</t>
  </si>
  <si>
    <t>10.1109/61.956721</t>
  </si>
  <si>
    <t>WOS:000171542300004</t>
  </si>
  <si>
    <t>Rubio, MA; Lissi, E; Riveros, V; Páez, YMA</t>
  </si>
  <si>
    <t>Pollutans deposition in Santiago City associated to rain and dew events.</t>
  </si>
  <si>
    <t>We have measured the chemical composition (anions and cations) of rain and dew waters collected in Santiago City during the years 1995 to 1999. From these data it was calculated the total amount of contaminants removed by these processes. It is concluded that their relative relevance depends on the total anual rain. Dew deposition is more relevant in dry years, while rain is the predominant removal mechanism in rainy years. The material incorporate to these hydrometeors reflects the composition of the particulate matter in the city atmosphere. The concentrations measured in dew waters are inversely proportional to the volumen of water collected. This indicates that deposition and dew formation are unrelated events. However, a small increase in atmospheric instability resulting from the condensation of water cannot be completely disregarded. The corrosion of material (copper and steel) exposed to dews and rains was also measured at the same localization. It is concluded that the atmosphere is highly corrosive. There is a strong selectivity in the incorporation of elements to the exposed metalic matrix.</t>
  </si>
  <si>
    <t>WOS:000172210200014</t>
  </si>
  <si>
    <t>Firinguetti, L; Rubio, H</t>
  </si>
  <si>
    <t>A note on the moments of stochastic shrinkage parameters in ridge regression</t>
  </si>
  <si>
    <t>COMMUNICATIONS IN STATISTICS-SIMULATION AND COMPUTATION</t>
  </si>
  <si>
    <t>The purpose of this note is to gain insight on the performance of two well known operational Ridge Regression estimators by deriving the moments of their stochastic shrinkage parameters. We also show that, under certain conditions, one of them has bounded moments.</t>
  </si>
  <si>
    <t>0361-0918</t>
  </si>
  <si>
    <t>10.1080/03610910008813648</t>
  </si>
  <si>
    <t>WOS:000088992400014</t>
  </si>
  <si>
    <t>Muñoz, M; Rojas, P; Vidal, M; Aliaga, C; Domínguez, M</t>
  </si>
  <si>
    <t>Munoz, Marcel; Rojas, Pablo; Vidal, Matias; Aliaga, Carolina; Dominguez, Moises</t>
  </si>
  <si>
    <t>Tuning the solvatochromic inversion of Brooker's merocyanine analogs</t>
  </si>
  <si>
    <t>JOURNAL OF MOLECULAR LIQUIDS</t>
  </si>
  <si>
    <t>The synthesis and spectral behavior of three Brooker's merocyanine (BM) analogs are reported. The solvatochromic effect of the binding position of the phenolate donor group to the pyridinium acceptor ring and the degree of annulation of the acceptor moiety were investigated in pure solvents of varying polarity. All the dyes displayed an inverted solvatochromism. The structural modifications examined modulated the spectral shift ranges in both the negative and positive solvatochromic portions of the general inverted behavior by shortening the former and extending the latter. A second observation, and more remarkable result of the evaluated structural modifications, is the consistent displacement of the solvatochromic inversion point of the dyes toward higher solvent polarities compared to the BM, primarily because of the increase in the dyes' sensitivity to the solvent polarizability SP.</t>
  </si>
  <si>
    <t>Vidal, Matias/0000-0003-4888-7926; Munoz, Marcel/0000-0002-8419-2665; Dominguez, Moises/0000-0002-8444-3065</t>
  </si>
  <si>
    <t>0167-7322</t>
  </si>
  <si>
    <t>1873-3166</t>
  </si>
  <si>
    <t>DEC 15</t>
  </si>
  <si>
    <t>10.1016/j.molliq.2023.123446</t>
  </si>
  <si>
    <t>WOS:001109112900001</t>
  </si>
  <si>
    <t>Díaz, HA; Córdova, F</t>
  </si>
  <si>
    <t>Diaz M, Hernan A.; Cordova, Felisa</t>
  </si>
  <si>
    <t>On the meaning of Hurst entropy applied to EEG data series</t>
  </si>
  <si>
    <t>The Hurst exponent estimates the degree of self-similarity and predictability of a time series, which, under this nonlinear statistical model, can adopt two opposing tendencies with respect to the way these data series are mobilized over time. Persistent and anti-persistent series are thus described, depending on whether the Hurst value describing them is greater or less than 0.5 in a range of 0 to 1. Those series that show Hurst effect (persistent series with H&gt;0.5) are potentially predictable in the short or medium term, which makes them especially interesting for any predictive interest in science or economics. In the brain, when the oscillatory electrical activity of an EEG is analyzed, the time series that make up a complete recording include a variable number of sources, electrodes or channels, which detect the electrical activity of millions of pyramidal neurons at the level of the cerebral cortex. When this signal is decomposed into its frequency components, its spectrum ranges from the slowest waves, or Delta (0.1-4Hz), to the fastest, Gamma (&gt;30 Hz). In the intermediate range, the Theta (4-8Hz); Alpha (8-12Hz); and Beta (13-30Hz) oscillations complete the range of the EEG spectrum. When estimating the Hurst exponent by filtered intervals of the total frequency range, only for the Delta band, the H values exceed H=0.5. The Hurst values for Delta were close to H = 0.85 and all the rest of the spectrum falls to values less than 0.5, in a range from 1.5&lt;3.5. In the present work, we extend the interpretation of the Hurst exponent applied to electroencephalographic time series, and we propose to pay special attention to the so-called anti-persistent series (H&lt;0.5) which, overshadowed by the predictive promises of the Hurst effect of persistent series, we believe may hide the very long-term persistence of complex homeostatic processes, stabilized in the human brain over millions of years of evolution. (C) 2021 The Authors. Published by Elsevier B.V.</t>
  </si>
  <si>
    <t>Arciniegas, Hugo Armando/GSN-3657-2022; Córdova, Felisa/AAK-4280-2020</t>
  </si>
  <si>
    <t>10.1016/j.procs.2022.01.175</t>
  </si>
  <si>
    <t>WOS:000765802100178</t>
  </si>
  <si>
    <t>Rojas, A; Torres, A; de Dicastillo, CL; Velásquez, E; Villegas, C; Faba, S; Rivera, P; Guarda, A; Romero, J; Galotto, MJ</t>
  </si>
  <si>
    <t>Rojas, Adrian; Torres, Alejandra; Lopez de Dicastillo, Carol; Velasquez, Eliezer; Villegas, Carolina; Faba, Simon; Rivera, Patricia; Guarda, Abel; Romero, Julio; Galotto, Maria Jose</t>
  </si>
  <si>
    <t>Foaming with scCO2 and Impregnation with Cinnamaldehyde of PLA Nanocomposites for Food Packaging</t>
  </si>
  <si>
    <t>PROCESSES</t>
  </si>
  <si>
    <t>Microcellular nanocomposite foams functionalized with cinnamaldehyde (Ci) were obtained through two-step supercritical foaming and impregnation processing. PLA nanocomposite foams with different C30B concentrations (1, 2, and 3 wt.%) were obtained by foaming with scCO(2) at 25 MPa and 135 degrees C and impregnated with Ci at 12 MPa and 40 degrees C. The effect of the C30B content and Ci incorporation on the morphological, structural, thermal, and release properties of the developed foams were investigated. The incorporation of Ci was not influenced by C30B's addition. The presence of C30B and Ci incorporation reduced the average pore diameter slightly and the crystallinity degree of the foams extensively. Simultaneously, the experimental and theoretical characterization of the Ci release from the PLA nanocomposite foams in EtOH 50% was analyzed. The mechanism of Ci release from the foams was defined as a quasi-Fickian diffusion process that could be successfully described using the Korsmeyer-Peppas model. The active PLA foams presented a higher potential of migration and faster release when compared with that reported in commonly used PLA films, showing that biopolymeric foams could be potentially used as active food packaging to improve the migration of active compounds with low migration potentials in order to improve their biological activity in foods.</t>
  </si>
  <si>
    <t>Faba, Simón/MTD-2779-2025; Rojas, Adrián/ISB-5770-2023; Romero, Julio/I-6705-2013; Lopez-de-Dicastillo, Carol/C-6347-2019</t>
  </si>
  <si>
    <t>Romero, Julio/0000-0002-1229-1592; Rojas, Adrian/0000-0001-9253-1295; Lopez-de-Dicastillo, Carol/0000-0003-0067-9765; Rivera Fuentealba, Patricia/0000-0003-0621-7166; VELASQUEZ, ELIEZER/0000-0001-8858-8926; Faba, Simon/0000-0002-4299-0052</t>
  </si>
  <si>
    <t>2227-9717</t>
  </si>
  <si>
    <t>10.3390/pr10020376</t>
  </si>
  <si>
    <t>WOS:000765161600001</t>
  </si>
  <si>
    <t>Contreras, CV; Miranda, AS; Lacoste, P</t>
  </si>
  <si>
    <t>Vergara Contreras, Cristobal; Salas Miranda, Alejandro; Lacoste, Pablo</t>
  </si>
  <si>
    <t>THE PORT OF COQUIMBO, THE CITY OF LA SERENA AND THE WINE HERITAGE OF THE SOUTHERN CONE (1536-1600)</t>
  </si>
  <si>
    <t>REVISTA ESTUDIOS HEMISFERICOS Y POLARES</t>
  </si>
  <si>
    <t>This article examines the role of Coquimbo as a gateway to Chile in the first years of Spanish colonization and in the origins of the wine heritage of the Southern Cone of America, both in Chile and in present-day Argentina. The conditions that made possible its early consolidation as the main port for high seas ships are investigated. The contribution of indigenous peoples is considered, both in the marine culture with its wolf rafts, and in the culture of water, irrigation and agriculture. The motives of the Spaniards to found La Serena early, and the role played by its port in the reception of the main fleets of the time are also examined. The study is made from documents of the time, especially the letters and the chronicles, all confronted with the specialized bibliography, particularly with the monumental work of Vazquez de Acufia. It is concluded that the port of Coquimbo was the main gate of the Kingdom of Chile in its founding decades, and through it the ships loaded with settlers, plants and animals that contributed to the process of colonization of Chile, including the origins of regional viticulture.</t>
  </si>
  <si>
    <t>de Miranda, Amanda/O-3502-2015</t>
  </si>
  <si>
    <t>0718-9230</t>
  </si>
  <si>
    <t>WOS:000719345900004</t>
  </si>
  <si>
    <t>Becker, C; Da Luz, MVF; Leite, JV</t>
  </si>
  <si>
    <t>Becker, Cristhian; Ferreira Da Luz, Mauricio Valencia; Leite, Jean Vianei</t>
  </si>
  <si>
    <t>Design of a Transverse Flux Permanent Magnet Generator Using a Reluctance Circuit</t>
  </si>
  <si>
    <t>IEEE ACCESS</t>
  </si>
  <si>
    <t>This work presents an analytical methodology to design a permanent magnet transverse flux generator using a reluctance circuit. Unlike other research, it fully indicates the details to design the rotor, stator, and the air gap of the machine, with all its geometry. In the design section, special considerations to determine the outer diameter of the rotor, and the accompanying pole pitch for the U-cores and I-cores are presented. The proposal of an iterative algorithm using a reluctance circuit to calculate the turns of the armature winding and curved trajectories of flux tubes to model the leakage flux that will allow the synchronous inductance calculation also is presented. The proposed methodology allows determining the performance and the lumped parameters of the generator. Furthermore, it provides evidence that with this design it is possible to select the values of standard voltage for electric generators of this topology. The analytical results of the magnetic flux densities, magnetic flux, lumped parameters, electromotive force, terminal voltage, armature current, power factor, and efficiency are compared with 3D finite element method. Analyzing these results, it is possible to verify the good agreement between them.</t>
  </si>
  <si>
    <t>da Luz, Mauricio/AAD-6970-2020; Leite, Jean/ADZ-4053-2022</t>
  </si>
  <si>
    <t>, Cristhian Becker/0000-0001-6943-5086</t>
  </si>
  <si>
    <t>2169-3536</t>
  </si>
  <si>
    <t>10.1109/ACCESS.2021.3119567</t>
  </si>
  <si>
    <t>WOS:000714194700001</t>
  </si>
  <si>
    <t>Siginer, DA; Letelier, MF; Barrera, C; González, A</t>
  </si>
  <si>
    <t>Siginer, Dennis A.; Letelier, Mario F.; Barrera, Cristian; Gonzalez, Amaru</t>
  </si>
  <si>
    <t>Transversal field and heat transfer in the flow of non-linear viscoelastic fluids in tear-drop shaped tubes including viscous dissipation</t>
  </si>
  <si>
    <t>INTERNATIONAL JOURNAL OF THERMAL SCIENCES</t>
  </si>
  <si>
    <t>Steady, laminar flow of a class of non-linear viscoelastic fluids in tear-drop shaped ducts is investigated for constant heat flux at the wall including viscous dissipation. Field equations are solved analytically through expanding the field variables in double asymptotic series in terms of the Weissenberg number and a mapping parameter coupled with the shape factor method, a continuous and one-to-one mapping, to map the circular contour onto the tear-drop shaped tube boundary. Analytical solution for the transversal and axial velocity fields is derived for the first time, and the influence of the viscoelastic constitutive parameters in shaping the transversal vortex structure is discussed in detail. The temperature field and the dependence of the Nusselt Nu = f (Br, Pe, Re, We) number on the Brinkman Br, Peclet Pe, Reynolds Re and Weissenberg We numbers as well as combinations of the material parameters are investigated. At the lowest order in the Weissenberg number the velocity and temperature fields of Newtonian fluids in tear-drop shaped straight tubes as well as in straight round tubes with viscous dissipation are recovered. The approach the analysis is based on can be easily adapted to yield the velocity and temperature fields of Newtonian and constitutively non-linear viscoelastic fluids in non-circular tubes other than tear-drop shaped including viscous dissipation.</t>
  </si>
  <si>
    <t>Boutaous, M'hamed/0000-0002-3633-0736; Gonzalez, Amaru/0000-0003-4403-2154</t>
  </si>
  <si>
    <t>1290-0729</t>
  </si>
  <si>
    <t>1778-4166</t>
  </si>
  <si>
    <t>10.1016/j.ijthermalsci.2019.03.019</t>
  </si>
  <si>
    <t>WOS:000470681300014</t>
  </si>
  <si>
    <t>Letelier, MF; Siginer, DA; Almendra, DL; Stockle, JS</t>
  </si>
  <si>
    <t>Letelier, Mario F.; Siginer, Dennis A.; Almendra, Diego L.; Stockle, Juan S.</t>
  </si>
  <si>
    <t>RESONANCE IN LAMINAR PIPE FLOW OF NON-LINEAR VISCOELASTIC FLUIDS</t>
  </si>
  <si>
    <t>PROCEEDINGS OF THE ASME INTERNATIONAL MECHANICAL ENGINEERING CONGRESS AND EXPOSITION, 2018, VOL 7</t>
  </si>
  <si>
    <t>ASMEInternational Mechanical Engineering Congress and Exposition (IMECE2018)</t>
  </si>
  <si>
    <t>NOV 09-15, 2018</t>
  </si>
  <si>
    <t>Pittsburgh, PA</t>
  </si>
  <si>
    <t>The relaxation response of viscoelastic fluids associated with the natural frequencies of oscillation that arise as a consequence of the structure of the constitutive equation is explored for the case of pulsating flow. The matching of the forcing frequency to the fluid's natural frequencies induces a multiple resonance phenomenon. In this paper, the resonance phenomenon is investigated in pulsating flow in straight circular tubes when the fluid is characterized by the Johnson-Segalman constitutive model. An analytical solution is developed based on an asymptotic expansion in terms of a material parameter. The analysis reveals that the forcing frequency associated with the pressure gradient can generate a sequence of resonances of decaying intensity dependent on the material parameter and other fluid constitutive constants. The effects of resonance on the rate of flow and oscillating velocity field are explored for several values of the relevant parameters.</t>
  </si>
  <si>
    <t>978-0-7918-5210-1</t>
  </si>
  <si>
    <t>V007T09A043</t>
  </si>
  <si>
    <t>WOS:000465191000043</t>
  </si>
  <si>
    <t>Vanegas, C; Abricot, N; Espinoza, V; Cárdenas, R; Briceño, R; Cartes, C; Toro, E</t>
  </si>
  <si>
    <t>Vanegas, Carlos; Abricot, Nicole; Espinoza, Virginia; Cardenas, Rocio; Briceno, Richard; Cartes, Celso; Toro, Edgardo</t>
  </si>
  <si>
    <t>Interdisciplinary learning communities that strengthen teaching and learning through the development of thinking skills</t>
  </si>
  <si>
    <t>A municipal high school in Chile, located in the region of Libertador General Bernardo O'Higgins, has been experiencing difficulties with student learning in recent years, which can be seen in the results of classroom evaluations and standardized tests. In order to address this problem, an associative research project generated a diagnosis focused on students, teachers and curricular and evaluative instruments, which allowed changing the focus on student results to concentrate on teaching practices. From this, four learning communities were configured with all the teachers of the school, which generated intervention projects with didactically sequenced activities, whose implementation allowed the teachers to transform content-based teaching, moving towards the development of thinking skills; in addition, they could be aware that collaborative work enhances their own professional development and that of their peers. The support of the school's management team and the horizontal work with professors from the University of Santiago de Chile were key to the realization of the project. The main projection is in the continuity of the development of the learning communities for the following years and the establishment of the impact on the results of the students in the standardized tests.</t>
  </si>
  <si>
    <t>Cardenas, Rocio/KYO-7989-2024; Abricot, Nicole/KII-3365-2024; Vanegas-Ortega, Carlos/N-2296-2014</t>
  </si>
  <si>
    <t>WOS:000886992800006</t>
  </si>
  <si>
    <t>Watson, G; Guerrero, G; Veloso, E; Vergara, C; Muñoz, V; Muñoz, J</t>
  </si>
  <si>
    <t>Watson, Gisela; Guerrero, Gonzalo; Veloso, Erardo; Vergara, Carolina; Munoz, Valeria; Munoz, Jorge</t>
  </si>
  <si>
    <t>Diagnosis of reading competence and reading habits for the development of a proposal to support reading comprehension through collaborative research</t>
  </si>
  <si>
    <t>Research in Didactics of Language and Literature has considered as an important axis of reflection the relationship between reading comprehension and literary mediation processes. This relationship takes place in a recurrent way in educational spaces, which face the challenge of articulating initiatives to enhance reading competence in students throughout the school career. The research aimed to characterize the way in which pedagogical decisions associated with the development and assessment of reading comprehension are related to complementary reading plans. The study was based on a case study approached from the perspective of school-university associative research. The descriptive analysis of the assessment instruments used to measure reading comprehension performance and the literary readings prescribed in the complementary reading plan; and the inquiry into the perceptions and beliefs that teachers and students have regarding these instruments together with the reading plan, show that the axes of reading comprehension are approached unequally while revealing an important difference between the expectations associated with the reading plan, as an instance of reading promotion, or as an instance to measure reading comprehension performance considering the certifying nature of the evaluations used for its monitoring.</t>
  </si>
  <si>
    <t>WOS:000886992800009</t>
  </si>
  <si>
    <t>Hernández, E; Leiva, R; Escobar, A; Ordoñez, S</t>
  </si>
  <si>
    <t>Hernandez, Eliseo; Leiva, Ricardo; Escobar, Alex; Ordonez, Stella</t>
  </si>
  <si>
    <t>Effect of sub-zero treatment on the microstructure and hardness of high-chromium white cast iron</t>
  </si>
  <si>
    <t>MATERIA-RIO DE JANEIRO</t>
  </si>
  <si>
    <t>The effect of the sub-zero treatment temperature on the transformation of retained austenite to martensite in two high chromium white cast irons (ASTM A532 Class II Type B) was studied. The sub-zero treatment applied to each alloy in the as cast condition was performed at -40, -65 and -180 degrees C for 10 minutes; after the holding time was completed the samples were cooled to room temperature. The microstructure of the as cast condition was analyzed by optical microscopy (LOM) and scanning electron microscopy (SEM) and energy dispersive spectroscopy (EDS) analysis was also performed with the aim to identify the microconstituents initially present in each alloy. The metallographic characterization of the specimens subjected to sub-zero treatment was performed by optical microscopy. Furthermore, Brinell hardness was measured in the as cast and sub-zero treated samples. The alloys studied have important differences in chemical composition, mainly in the molybdenum and copper content, which mainly determine its microstructure. The results showed an increase in the hardness of both alloys with decreasing treatment temperature; which is due to the fact that the amount of retained austenite transformed to martensite increases as the martensite finish temperature (Mf) is reached. It was also observed that a higher molybdenum content produces a metastable austenitic matrix in the as cast samples. Furthermore, the effect of Mo and other alloying elements substantially stabilizes the austenite, obtaining low amounts of martensite after the sub-zero treatment, even at -180 degrees C.</t>
  </si>
  <si>
    <t>1517-7076</t>
  </si>
  <si>
    <t>e-12034</t>
  </si>
  <si>
    <t>10.1590/S1517-707620180002.0370</t>
  </si>
  <si>
    <t>WOS:000439159500044</t>
  </si>
  <si>
    <t>Monsalve, A; Solís, R; Díaz, M; Carrasco, S; Artigas, A</t>
  </si>
  <si>
    <t>Monsalve, Alberto; Solis, Roberto; Diaz, Mauricio; Carrasco, Sebastian; Artigas, Alfredo</t>
  </si>
  <si>
    <t>Multi-walled carbon nanotube reinforced polymer as a bonded repair for Al 2024-T3 fatigue crack growth</t>
  </si>
  <si>
    <t>The influence on multi walled carbon nanotubes (MWCNT, or simply CNT) as a reinforcement material in an epoxy resin in order to decrease the fatigue crack propagation rate in the 2024 T3 aeronautical Al alloy was studied. CT samples were pre-cracked in a resonant fatigue machine until a 4 mm pre-crack length. Four groups of samples were considered: a non-repaired reference group, two groups repaired with epoxy resin reinforced with two CNT proportions (0.5 and 1 vol %) and a group repaired by the conventional stop drill technique. The crack was propagated until a length of 16 mm, measuring the number of cycles to this crack propagation. Resin Hysol EA9320 NA was used, mixing it with the CNT and the hardener, by ultrasonic stirring. S-N curves (stress vs number of cycles) were plotted obtaining an increment of 104% for a 0.5 vol% of CNT, 128% for 1 vol% of CNT and 400% for stop drill repairing. These results were referred to the non-repaired samples at the lower load level. These results showed that in repaired samples with CNT reinforced resin, the initiation and propagation of cracks would be delayed, constituting this method a reasonable and convenient repairing procedure useful for aeronautical cracked structures.</t>
  </si>
  <si>
    <t>Carrasco, Sebastian/HNT-0571-2023; Artigas, Alfredo/Y-1185-2019; Diaz Trombert, Mauricio/JXX-4543-2024; Solis, Roberto/ABE-6159-2021</t>
  </si>
  <si>
    <t>10.1590/S1517-707620180004.0569</t>
  </si>
  <si>
    <t>WOS:000452418700026</t>
  </si>
  <si>
    <t>Pereira, A; Palma, JL; Denardin, JC; Escrig, J</t>
  </si>
  <si>
    <t>Pereira, Alejandro; Palma, Juan L.; Denardin, Juliano C.; Escrig, Juan</t>
  </si>
  <si>
    <t>Temperature-dependent magnetic properties of Ni nanotubes synthesized by atomic layer deposition</t>
  </si>
  <si>
    <t>NANOTECHNOLOGY</t>
  </si>
  <si>
    <t>Highly-ordered and conformal Ni nanotube arrays were prepared by combining atomic layer deposition (ALD) in a porous alumina matrix with a subsequent thermal reduction process. In order to obtain NiO tubes, one ALD NiCp2/O-3 cycle was repeated 2000 times. After the ALD process, the sample is reduced from NiO to metallic Ni under hydrogen atmosphere. Their magnetic properties such as coercivity and squareness have been determined in a vibrating sample magnetometer in the temperature range from 5-300 K for applied magnetic fields parallel and perpendicular to the nanotube axis. Ni nanotubes synthesized by ALD provide a promising opportunity for potential applications in spintronics, data storage and bio-applications.</t>
  </si>
  <si>
    <t>Pereira, Alejandro/X-7172-2018; Denardin, Juliano/S-6407-2019; Palma, Juan/IAP-4554-2023; Escrig, Juan/N-4304-2015</t>
  </si>
  <si>
    <t>Escrig, Juan/0000-0002-3958-8185; Pereira Abarca, Alejandro/0000-0002-4473-0852; Palma, JuanLuis/0000-0003-2068-174X; Denardin, Juliano/0000-0002-1373-6207</t>
  </si>
  <si>
    <t>0957-4484</t>
  </si>
  <si>
    <t>1361-6528</t>
  </si>
  <si>
    <t>AUG 26</t>
  </si>
  <si>
    <t>10.1088/0957-4484/27/34/345709</t>
  </si>
  <si>
    <t>WOS:000383963300023</t>
  </si>
  <si>
    <t>Guerrero-Leiva, N; Ortiz-Calderón, C; Castro, SA</t>
  </si>
  <si>
    <t>Guerrero-Leiva, Nicole; Ortiz-Calderon, Claudia; Castro, Sergio A.</t>
  </si>
  <si>
    <t>Differential effect of manganese on the germination of Triglochin striata (Juncaginaceae) and Cotula coronopifolia (Asteraceae) in Laguna de Carrizal Bajo wetland, Atacama Region, Chile</t>
  </si>
  <si>
    <t>GAYANA BOTANICA</t>
  </si>
  <si>
    <t>0717-6643</t>
  </si>
  <si>
    <t>10.4067/S0717-66432016000100019</t>
  </si>
  <si>
    <t>WOS:000383443500019</t>
  </si>
  <si>
    <t>Curilem, M; Huanquilef, C; Acuña, G; Cubillos, F; Araya, B; Segovia, G; Pérez, C</t>
  </si>
  <si>
    <t>Curilem, Millaray; Huanquilef, Cristian; Acuna, Gonzalo; Cubillos, Francisco; Araya, Beatriz; Segovia, Guisselle; Perez, Carlos</t>
  </si>
  <si>
    <t>Prediction of the Criticality of a Heavy Duty Mining Equipment</t>
  </si>
  <si>
    <t>In this paper, we are concerned by the improvement of the maintenance procedures in heavy mining equipment. Criticality is an important concept in the maintenance task because it points out which piece of equipment has a higher probability to fail, and how this failure may impact the general productive process. The paper proposes a definition of criticality of equipment, based on an expert's experience and on historical data of seven asset management variables of a mining process. We propose a criticality semaphore and a method to classify the criticality of the next month and the subsequent month, based on the present values of the asset management variables. This is a preliminary work, however the results show a good prediction performance of criticality.</t>
  </si>
  <si>
    <t>Curilem, Millaray/0000-0001-8685-221X; CUBILLOS, FRANCISCO/0000-0001-7863-4394; Acuna Leiva, Gonzalo Pedro/0000-0002-0519-7792</t>
  </si>
  <si>
    <t>WOS:000380396300018</t>
  </si>
  <si>
    <t>Díaz, H; Córdova, FM; Cañete, L; Palominos, F; Cifuentes, F; Sánchez, C; Herrera, M</t>
  </si>
  <si>
    <t>Gomes, LFAM; Colcher, R; Wolcott, P; HerreraViedma, E; Shi, Y</t>
  </si>
  <si>
    <t>Diaz M, Hernan; Cordova, Felisa M.; Canete, Lucio; Palominos, Fredi; Cifuentes, Fernando; Sanchez, Crystian; Herrera, Matias</t>
  </si>
  <si>
    <t>Order and chaos in the brain: fractal time series analysis of the EEG activity during a cognitive problem solving task.</t>
  </si>
  <si>
    <t>3RD INTERNATIONAL CONFERENCE ON INFORMATION TECHNOLOGY AND QUANTITATIVE MANAGEMENT, ITQM 2015</t>
  </si>
  <si>
    <t>3rd International Conference on Information Technology and Quantitative Management (ITQM)</t>
  </si>
  <si>
    <t>JUL 21-24, 2015</t>
  </si>
  <si>
    <t>Rio De Janeiro, BRAZIL</t>
  </si>
  <si>
    <t>Int Acad Informat Technol &amp; Quantitat Management,Ibmec,FIRJAN,UFF,SOBRAPO,ASSESPRO,CAPES,FAPERJ,SUCESU RJ,SINDITEC,ANE Natl Acad Engn,Res Ctr Fictitious Econ,Data Sci,Key Lab Big Data Mining &amp; Knowledge Management,Chinese Acad Sci, Sch Management,Univ Chinese Acad Sci, Sch Management,Chinese Acad Sci, Inst Policy &amp; Management,Chinese Soc Management Modernizat,Univ Nebraska</t>
  </si>
  <si>
    <t>The study of brain dynamics has been approached from different mathematical strategies with the aim to obtain more information of the bioelectrical signals coming from an electroencephalogram (EEG). Although several of these tools try to conciliate the fact of using linear approaches to study a non-linear phenomenon, during the last years a set of complementary and alternative approaches has been used to mine deeper into the nature of the brain dynamics and its correlates with experience, thoughts and actions. One of these approaches comes from chaos theory and fractal geometry and considers a model where brain activity, as a time series of an electrical potential variation (EEG) recorded from the scalp, can be assumed as a dynamical state that moves in the range of 1/f a (fractal) noise. In this model it is possible to see brain dynamics as a functional state who moves from more chaotic or unpredictable dynamics (Brown or Gaussian uncorrelated noise), to quasi-chaotic or statistical noise (fractal or self-similar noise). The amount of order into the chaotic EEG background must be an indicator of the organization of brain procedural resources dealing with different circumstances. At the same time, it must reflect the degree of inter-individual differences and intra-individual variability in the way each different brain works. To test this hypothesis we implemented a study where EEG activity was recorded during the performing of a simple visual intelligent test (Raven test, abbreviated version of 15 questions) in a set of 10 adults to study their similarities and differences in the rendering of the test (estimated range of IQ) and in the process of solving the easy and the difficult part of the test. We estimated the Hurst exponent and the fractal dimension of the time series for each of the 14 EEG channels (Emotiv-Epoc (R) BCI headset) and searched for correlations and consistencies in the values of H and the difficulty level of the cognitive task. We found that order tend to emerge from a chaotic background when brain focuses on problem solving, rising the degree of predictability, self-similarity and persistent behavior of the EEG signal. (C) 2015 Published by Elsevier B.V.</t>
  </si>
  <si>
    <t>Palominos, Fredi/U-4690-2019; CORDOVA, FELISA/S-1093-2019; Arratia, Lucio/AAV-6112-2020</t>
  </si>
  <si>
    <t>CORDOVA, FELISA/0000-0002-5557-8569; Canete Arratia, Lucio/0000-0002-1191-8728; Palominos, Fredi/0000-0002-6119-4991</t>
  </si>
  <si>
    <t>10.1016/j.procs.2015.07.135</t>
  </si>
  <si>
    <t>WOS:000360101400161</t>
  </si>
  <si>
    <t>Gramsch, E; Cáceres, D; Oyola, P; Reyes, E; Vásquez, Y; Rubio, MA; Sánchez, G</t>
  </si>
  <si>
    <t>Gramsch, E.; Caceres, D.; Oyola, P.; Reyes, E.; Vasquez, Y.; Rubio, M. A.; Sanchez, G.</t>
  </si>
  <si>
    <t>Influence of surface and subsidence thermal inversion on PM2.5 and black carbon concentration</t>
  </si>
  <si>
    <t>A study of particulate matter and temperature in the atmosphere in several places in Chile has been carried out in three different years with the objective of determining a common pattern of the influence of thermal inversions on PM2.5 and black carbon. Temperature measurements were used to separate days with and without inversions. In all sites it was found that the days with thermal inversions had higher black carbon or PM2.5 than days without inversions. In the rural site, black carbon was 57% higher during inversion days. In the downtown Santiago site the PM2.5 was 35% higher during inversion days. At the western Santiago site it was possible to separate the days into three categories; only surface, surface and subsidence, and no thermal inversion. In days with both types of inversion, PM2.5 was 84% higher than days without any type of inversion. During days with only surface inversion, PM2.5 was higher only during the morning and the average PM2.5 was only 14% higher. Although during inversion days the concentrations were higher, it was not possible to find a significant correlation between the strength or intensity of the inversion with black carbon or PM2.5 in the sites without temperature measurements as function of height. However, when this data is available, a moderate correlation is found, indicating that the complete vertical temperature profile is needed in order to find a relationship between those variables. (C) 2014 Elsevier Ltd. All rights reserved.</t>
  </si>
  <si>
    <t>Bajo, Maria/ABF-6991-2020; Cáceres, Diana/GSN-2434-2022; Gramsch, Ernesto/M-5507-2017</t>
  </si>
  <si>
    <t>1873-2844</t>
  </si>
  <si>
    <t>10.1016/j.atmosenv.2014.08.066</t>
  </si>
  <si>
    <t>WOS:000345475000031</t>
  </si>
  <si>
    <t>Castillo-Sepúlveda, S; Altbir, D; Vargas, NM; Allende, S</t>
  </si>
  <si>
    <t>Castillo-Sepulveda, S.; Altbir, D.; Vargas, N. M.; Allende, S.</t>
  </si>
  <si>
    <t>Mechanisms of magnetization reversal in stadium-shaped particles</t>
  </si>
  <si>
    <t>During the last years, cylindrical structures like dots, wires, and tubes have been intensively investigated. However, stadium-shaped particles have been scarcely investigated because of the complexity associated to the control of its geometry. In this paper, we used a scaled atomistic representation with Monte Carlo simulations to investigate systematically the magnetization reversal process in stadium-shaped magnetic structures as a function of the size of the central volume. Different reversal mechanisms have been identified and its existence has been explained. The reversal process for short, almost circular, stadium structures occurs via the formation of a single vortex, whereas for longer stadium structures the reversal process involves either single vortices or vortex pairs. For the longest structures investigated, the reversal always involves two vortices that generate a central diamond region or a central antivortex, depending on the region of the nucleation of the vortices. Our results provide guidelines for the use of stadium-shaped particles in the control of vortex motion when a magnetic field is applied. (C) 2012 American Institute of Physics. [http://dx.doi.org/10.1063/1.4759141]</t>
  </si>
  <si>
    <t>Vargas, Nicolas/AAP-5975-2020; Altbir, Dora/R-6781-2018</t>
  </si>
  <si>
    <t>Castillo, Sebastian/0000-0001-7730-8773; Vargas, Nicolas/0000-0002-9922-6311; Altbir, Dora/0000-0002-2945-4909</t>
  </si>
  <si>
    <t>OCT 15</t>
  </si>
  <si>
    <t>10.1063/1.4759141</t>
  </si>
  <si>
    <t>WOS:000310597500073</t>
  </si>
  <si>
    <t>Peredo, SF; Barrera, CP; Parada, E; Vega, M</t>
  </si>
  <si>
    <t>Peredo-P, Santiago F.; Barrera-S, Claudia P.; Parada-Z, Esperanza; Vega-C, Marcela</t>
  </si>
  <si>
    <t>TAXOCENOTIC AND BIOCENOTIC ANALYSIS OVER TIME OF EDAPHIC MESOFAUNA IN ORGANIC Vaccinium sp. PLANTATIONS SOUTHERN CENTRAL CHILE</t>
  </si>
  <si>
    <t>AGROCIENCIA</t>
  </si>
  <si>
    <t>Soil functioning is determined by the diversity of organisms inhabiting the soil and their role in the edaphic ecosystem, and the variety of forms and functions of the roots of the plants where they live. Invertebrates are an integral part of soil and are important in determining the suitability of the soil for the sustainable production of healthy crops or trees. In Chile there are no studies on edaphic mesofauna in plantations subjected for a longer period to certified organic management. The aim of the present study was to analyze the taxocenotic and biocenotic similarities over time of taxa of edaphic mesofauna in a cranberry plantation (Vaccinium sp.) subjected to organic management practices in farms in Southern Central Chile (37 degrees 28' S). In July 2006 two farms were chosen: 1) with one year under certified organic management as a transition organic plantation (OM1) and 2) under six years of certified organic management (OM6); both with similar climate and edaphic features. Each farm was divided in four quadrants, each one with 2500 m(2). In each quadrant, was extracted at random one sample with six replicas (188.5 cm(3) each), 24 replicas on each plantation. Samples were processed in the laboratory using the Berlesse-Tullgren system for the extraction of mesofauna and the subsequent counting and identification of specimens. To analyze changes over time in the structure of the edaphic mesofauna community, in July 2007 sampling was repeated in OM1 and OM6 plantations under organic management (OM2 and OM7). The richness, abundance of taxa and density (nm(-2)) per plot were evaluated, as well as the diversity (H') and evenness (J') of the mesofauna taxa in each plantation (OM1, OM2, OM6 and OM7). The alpha diversity and dominance were calculated using the Shannon (H') Index and the Evenness (Equity) Index (J'). In addition, beta diversity was determined to establish the taxocenotic and biocenotic similarities using the Bray Curtis Index estimated with the Biodiversity Pro software. Significant differences between diversity (H') values were determined with Student's t test (p &lt;= 0.05). There was a high taxocenotic similarity on time in the edaphic community structure of Vaccinium sp. organic plantations. Fourteen taxa form edaphic mesofauna taxocenosis, being Acaridida, Oribatida and Entomobryomorpha the most abundant. There were differences (p &lt;= 0.05) between the diversity (H') of mesofauna taxa in organic plantations with one year of transition to organic management (OM1) respect to OM2, OM6 and OM7. The communities of edaphic mesofatma in the organic plantations of Vaccinium sp. were stabilized two years after conversion from conventional to organic management.</t>
  </si>
  <si>
    <t>Alvarez, Claudia/F-8180-2012</t>
  </si>
  <si>
    <t>1405-3195</t>
  </si>
  <si>
    <t>FEB-MAR</t>
  </si>
  <si>
    <t>WOS:000301622700006</t>
  </si>
  <si>
    <t>Abuin, E; Lissi, E; Bridi, R</t>
  </si>
  <si>
    <t>Abuin, Elsa; Lissi, Eduardo; Bridi, Raquel</t>
  </si>
  <si>
    <t>KINETICS OF P - NITROPHENYL ACETATE HYDROLYSIS CATALYZED BY α- CHYMOTRYPSIN IN PRESENCE OF POLYETHYLENE GLYCOL</t>
  </si>
  <si>
    <t>The effect of poly (ethyleneglycol) (PEG) addition on the rate of p-nitrophenyl acetate (PNPA) catalyzed by a-chymotrypsin has been measured in TRIS buffer at pH = 7.4. The presence of PEG (up to 30 % ply) leads to an increase in the rate of the process. The effect of PEG is evident both, in the pre-steady state and steady state stages of the process. The reaction follows a Michaelis-Menten mechanism under all the conditions employed. The Michaelis constant slightly decreases and the catalytic rate constant slightly increases with PEG concentration over all the polymer concentration ranee employed (up to 30%). The decrease in the Michaelis constant suggests that the effect of the polymer is due to crowding.</t>
  </si>
  <si>
    <t>Bridi, Raquel/JCN-9916-2023; bridi, raquel/F-1572-2015</t>
  </si>
  <si>
    <t>bridi, raquel/0000-0002-3891-5770</t>
  </si>
  <si>
    <t>10.4067/S0717-97072011000400028</t>
  </si>
  <si>
    <t>WOS:000299756900028</t>
  </si>
  <si>
    <t>Rivas-Aravena, A; Vallejos-Vidal, E; Cortez-San Martin, M; Reyes-Lopez, F; Tello, M; Mora, P; Sandino, AM; Spencer, E</t>
  </si>
  <si>
    <t>Rivas-Aravena, Andrea; Vallejos-Vidal, Eva; Cortez-San Martin, Marcelo; Reyes-Lopez, Felipe; Tello, Mario; Mora, Patricia; Maria Sandino, Ana; Spencer, Eugenio</t>
  </si>
  <si>
    <t>Inhibitory Effect of a Nucleotide Analog on Infectious Salmon Anemia Virus Infection</t>
  </si>
  <si>
    <t>The infectious salmon anemia virus (ISAV), which belongs to the Orthomyxoviridae family, has been responsible for major losses in the salmon industry, with mortalities close to 100% in areas where Atlantic salmon (Salmo salar) is grown. This work studied the effect of ribavirin (1-beta-D-ribofuranosyl-1,2,3-triazole-3-carbaxaide), a broad-spectrum antiviral compound with proven ability to inhibit the replicative cycle of the DNA and RNA viruses. The results show that ribavirin was able to inhibit the infectivity of ISAV in in vitro assays. In these assays, a significant inhibition of the replicative viral cycle was observed with a 50% inhibitory concentration (IC(50)) of 0.02 mu g/ml and an IC(90) of 0.4 mu g/ml of ribavirin. After ribavirin treatment, viral proteins were not detectable and a reduction of viral mRNA association with ribosomes was observed. Ribavirin does not affect the levels of EF1a, nor its association with polysomes, suggesting that the inhibition of RNA synthesis occurs specifically for the virus mRNAs and not for cellular mRNAs. Moreover, ribavirin caused a significant reduction in genomic and viral RNA messenger levels. The study of the inhibitory mechanism showed that it was not reversed by the addition of guanosine. Furthermore, in vivo assays showed a reduction in the mortality of Salmo salar by more than 90% in fish infected with ISAV and treated with ribavirin without adverse effects. In fact, these results show that ribavirin is an antiviral that could be used to prevent ISAV replication either in vitro or in vivo.</t>
  </si>
  <si>
    <t>Tello, Mario/N-4198-2019; Reyes-López, Felipe/S-1760-2018; Vallejos-Vidal, Eva/R-9606-2019</t>
  </si>
  <si>
    <t>Vallejos-Vidal, Eva/0000-0002-3091-2700; SANDINO, ANA MARIA/0000-0002-3862-3743; Reyes-Lopez, Felipe E./0000-0002-5001-457X; Spencer, Eugenio/0000-0001-6109-140X; Tello, Mario/0000-0003-4573-6460</t>
  </si>
  <si>
    <t>10.1128/JVI.00533-11</t>
  </si>
  <si>
    <t>WOS:000292923100008</t>
  </si>
  <si>
    <t>Burdiles, P; Lopez, Y</t>
  </si>
  <si>
    <t>Bland, KI; Sarr, MG; Buchler, MW; Csendes, A; Garden, OJ; Wong, J</t>
  </si>
  <si>
    <t>Burdiles, Patricio; Lopez, Yaira</t>
  </si>
  <si>
    <t>Malignant Diseases of the Spleen</t>
  </si>
  <si>
    <t>SURGERY OF THE PANCREAS AND SPLEEN: HANDBOOKS IN GENERAL SURGERY</t>
  </si>
  <si>
    <t>978-1-84996-368-8</t>
  </si>
  <si>
    <t>10.1007/978-1-84996-369-5_12</t>
  </si>
  <si>
    <t>10.1007/978-1-84996-369-5</t>
  </si>
  <si>
    <t>WOS:000283952400012</t>
  </si>
  <si>
    <t>De Mattos, IL; Caroli, M; Areias, M; Navarro, M</t>
  </si>
  <si>
    <t>Luiz De Mattos, Ivanildo; Caroli, Marcos; Areias, Madalena; Navarro, Marcelo</t>
  </si>
  <si>
    <t>A FAST, ROBUST ELECTROCHEMICAL METHOD FOR THE AUTOMATED DETERMINATION OF HYDROGEN PEROXIDE</t>
  </si>
  <si>
    <t>A suitable flow-injection method for the analysis of commercial solutions of hydrogen peroxide is described. A Nafion-coated glassy carbon electrode, modified by deposition of copper hexacyanoferrate (CuCHF), is employed as an amperometric sensor. The method allows the analysis of 45 samples per hour, with peroxide concentrations in the range of 1.25-10.0 mM, with relative standard deviations smaller than 1%.</t>
  </si>
  <si>
    <t>da Cunha Areias, Madalena/B-8905-2017; Navarro, Marcelo/F-7419-2012</t>
  </si>
  <si>
    <t>Areias, Madalena/0000-0003-3812-5098; Navarro, Marcelo/0000-0002-8177-7828; Rezende, Marcos/0000-0003-2040-9009</t>
  </si>
  <si>
    <t>WOS:000273751200020</t>
  </si>
  <si>
    <t>Abuin, E; Lissi, E; Calderón, C</t>
  </si>
  <si>
    <t>Abuin, Elsa; Lissi, Eduardo; Calderon, Cristian</t>
  </si>
  <si>
    <t>Kinetics of N-glutaryl-L-phenylalanine p-nitroanilide hydrolysis catalyzed by α-chymotrypsin in aqueous solutions of alkyltrimethylammonium bromides</t>
  </si>
  <si>
    <t>The rate of N-glutaryl-L-phenylalanine p-nitroanilide hydrolysis catalyzed by a-chymotripsin has been measured in aqueous solutions of cetyltrimethylammonium bromide, tetradecyltrimethylammonium bromide, and dodecyltrimethylammonium bromide at concentrations below and above their critical micellar concentrations (CMC). For the three surfactants considered superactivity was observed, with maximum catalytic efficiencies taking place near the corresponding CMCs. The effect of the surfactants after the CMCs is mostly due to a decreased thermodynamic activity of the substrate due to its incorporation into the micelles. After addition of the surfactants, the Michaelis constant values (corrected to take into account the free substrate concentration) tend to decrease, passing through an ill defined minimum, afterwards reaching a constant value. The catalytic rate constants show the same profiles that the catalytic efficiency, being maxima near the surfactants CMCs. This maximum is more important for the surfactant having the shorter tail. This result is explained by considering that the hydrophobicity of the surfactant influences more the CMC than its association to the enzyme. (c) 2007 Elsevier Inc. All rights reserved.</t>
  </si>
  <si>
    <t>Calderon, cristian/GQA-7422-2022</t>
  </si>
  <si>
    <t>10.1016/j.jcis.2007.01.007</t>
  </si>
  <si>
    <t>WOS:000244841500037</t>
  </si>
  <si>
    <t>Ammann, J; Apablaza, V; Galaz, B; Flores, C</t>
  </si>
  <si>
    <t>Ultrasonic sound velocity measurement in samples of soft materials through under-resonance excitation</t>
  </si>
  <si>
    <t>ULTRASOUND IN MEDICINE AND BIOLOGY</t>
  </si>
  <si>
    <t>Ultrasound (US) velocity determination is a valuable characterization technique, providing important information on elastic properties of materials. Sound velocity can be obtained accurately in the pulsed method if the thickness of the specimen is precisely known. This is clearly not easily achievable for soft materials, such as biologic soft tissues or tissue-mimicking phantoms. From this consideration, previous works have established that sound velocity can be determined in through-transmission configuration without thickness measurement through the time-of-flight determination of specimen-reflected echoes in plane parallel-surfaced specimens. It is shown here that the amplitude and shape of these specimen echoes can be significantly improved by working in the tone-burst mode at an excitation frequency below the transducer resonance. This is particularly valuable for materials presenting a low acoustic contrast with the surrounding medium, usually water, such as tissue mimicking materials and water-based phantoms, making the specimen echo time-of-flights and, consequently, the sound velocity determination, more reliable. (E-mail: jammann@lauca.usach.cl) (c) 2005 World Federation for Ultrasound in Medicine &amp; Biology.</t>
  </si>
  <si>
    <t>0301-5629</t>
  </si>
  <si>
    <t>10.1016/j.ultrasmedbio.2004.12.021</t>
  </si>
  <si>
    <t>WOS:000228440800004</t>
  </si>
  <si>
    <t>Carrasco, N; González-Nilo, F; Rezende, MC</t>
  </si>
  <si>
    <t>A theoretical study on the basicity of carbonyl compounds in CCl4</t>
  </si>
  <si>
    <t>The basicity of 21 carbonyl compounds, measured in CCl4 in the presence of 4-fluorophenol as reference, was interpreted in terms of two theoretical descriptors, the global energy of protonation DeltaE and the charge variation on the oxygen atom Deltaq(o), calculated with a hybrid DFT method (B3LYP/6-31G(d)). (C) 2002 Elsevier Science Ltd. All rights reserved.</t>
  </si>
  <si>
    <t>JUN 17</t>
  </si>
  <si>
    <t>PII S0040-4020(02)00457-X</t>
  </si>
  <si>
    <t>10.1016/S0040-4020(02)00457-X</t>
  </si>
  <si>
    <t>WOS:000176320500017</t>
  </si>
  <si>
    <t>Aguilar, LF; Abuin, E; Lissi, E</t>
  </si>
  <si>
    <t>A procedure for the joint evaluation of substrate partitioning and kinetic parameters for reactions catalyzed by enzymes in reverse micellar solutions - I. Hydrolysis of 2-naphthyl acetate catalyzed by lipase in sodium 1,4-bis(2-ethylhexyl) sulfosuccinate (AOT)/buffer/heptane</t>
  </si>
  <si>
    <t>ARCHIVES OF BIOCHEMISTRY AND BIOPHYSICS</t>
  </si>
  <si>
    <t>A simple method useful for the joint evaluation of substrate partitioning and kinetic parameters for reactions catalyzed by enzymes entrapped in reverse micelles is proposed. The method is applied to the hydrolysis of 2-naphthyl acetate (2-NA) catalyzed by lipase in sodium 1,4-bis(2-ethylhexyl) sulfosuccinate (AOT)/buffer/heptane reverse micellar solutions. In the presence of micelles, the relationship between the initial reaction rate and the analytical concentration of 2-NA was dependent on AOT concentration at a constant W ([water]/[AOT]) value. The dependence of the initial reaction rate profiles with [AOT] was analyzed according with the method proposed to obtain the partition constant of 2-NA between the micelles and the external solvent, K-p. A value of K-p = 2.7 L mol(-1) was obtained irrespective of the water content of the micelles (W from 5 to 20). The catalytic rate constant k(cat) in the micellar solutions was independent of [AOT] but slightly decreased with an increase in W from 2 x 10(-6) mol g(-1) s(-1) at W = 5 to 1.2 x 10(-6) mol g(-1) s(-1) at W = 20. The apparent Michaelis constant determined in terms of the analytical concentration of 2-NA increased with [AOT] at a given W and moderately decreased with W at a fixed [AOT]. The increase with [AOT] is accounted for by considering the partitioning of the substrate. After correction for the partitioning of 2-NA values of (K-m)(corr) were obtained as 3.9 x 10(-5) mol L-1 (W = 5), 4.6 x 10(-3) mol L-1 (W = 10), 2.3 x 10(-3) mol L-1 (W = 15), and 1.7 x 10(-5) mol L-1 (W = 20). The rate parameters in the aqueous phase in the absence of micelles, were obtained as (k(cat))(sq) = 7.9 x 10(-6) mol g(-1) s(-1) and (K-m)(aq) = 2.5 x 10(-3) mol L-1. In order to compare the efficiency of the enzyme in the micellar solution with that in aqueous phase, the values of (K-m)(corr) were in turn corrected to take into account differences in the substrate activity, obtaining so a set of (K-m)(corr)* values. The efficiency of the enzyme in the micellar solution, defined as the ratio, k(cat)/(K-m)(corr)*, was found to be higher than in the aqueous phase, even at high water contents (W = 20), This higher efficiency is due to a significant decrease in (K-m)(corr)* values. (C) 2001 Academic Press.</t>
  </si>
  <si>
    <t>Aguilar, Luis/0000-0002-6038-3475</t>
  </si>
  <si>
    <t>0003-9861</t>
  </si>
  <si>
    <t>10.1006/abbi.2001.2289</t>
  </si>
  <si>
    <t>WOS:000168254800007</t>
  </si>
  <si>
    <t>Martinez, C; Zanelli, J</t>
  </si>
  <si>
    <t>Back reaction of a conformal field on a three-dimensional black hole</t>
  </si>
  <si>
    <t>The first order corrections to the geometry of the (2+1)-dimensional black hole due to the back reaction of a massless conformal scalar field are computed. The renormalized stress-energy tensor used as the source of Einstein equations is computed using the Green function for the black-hole background with transparent boundary conditions. This tensor has the same functional form as the one found in the nonperturbative case which can be exactly solved. Thus, a static, circularly symmetric, and asymptotically anti-de Sitter black-hole solution of the semiclassical equations is found. The corrections to the thermodynamic quantities are also computed.</t>
  </si>
  <si>
    <t>Martinez, Cristian/G-9899-2012</t>
  </si>
  <si>
    <t>Martinez, Cristian/0000-0002-7874-0602</t>
  </si>
  <si>
    <t>0556-2821</t>
  </si>
  <si>
    <t>10.1103/PhysRevD.55.3642</t>
  </si>
  <si>
    <t>WOS:A1997WQ10200042</t>
  </si>
  <si>
    <t>Román, D</t>
  </si>
  <si>
    <t>Roman, Domingo</t>
  </si>
  <si>
    <t>BLOW TO THE UNIVERSITY</t>
  </si>
  <si>
    <t>ANALES DE LITERATURA CHILENA</t>
  </si>
  <si>
    <t>0717-6058</t>
  </si>
  <si>
    <t>0719-0913</t>
  </si>
  <si>
    <t>WOS:001178769900020</t>
  </si>
  <si>
    <t>Lacoste, P</t>
  </si>
  <si>
    <t>Lacoste, Pablo</t>
  </si>
  <si>
    <t>Andean viticulture: edaphoclimatic characterization of vineyards established in the Codpa Valley (vol 10, pg 26, 2023)</t>
  </si>
  <si>
    <t>WOS:000996243300017</t>
  </si>
  <si>
    <t>Munoz-del-Campo, N</t>
  </si>
  <si>
    <t>Munoz-del-Campo, Norma</t>
  </si>
  <si>
    <t>The problem-based learning as a pedagogical framework for teaching master of public policy and master of public administration programs in Latin America</t>
  </si>
  <si>
    <t>TEACHING PUBLIC ADMINISTRATION</t>
  </si>
  <si>
    <t>If the aim of developing public policies is to solve social issues, it is worth asking whether the higher education programs for future public servants are being adapted to the demands of our societies. If we also recognize a relationship between education and political capacity, then it is pertinent to study the development of knowledge, skills, and attitudes promoted by these programs and the appropriate teaching-learning strategies employed. Therefore, this study aims to explore the usefulness of one specific active learning method - problem-based learning (PBL) - for teaching public policy in Latin America: Can the PBL be used as a pedagogical framework for Master of Public Policy (MPP) and Master of Public Administration (MPA) programs?. To tackle this debate, I conducted a content analysis (supported on the software ATLAS.ti) from a corpus of information obtained from two axes: First, from a simple of empirical works on PBL I define this tool, identify its main characteristics, and create three categories to examine the implications of the PBL learning framework on the teaching of public policy &amp; administration (PPA) higher education field. Second, through a simple of the region's MPP and MPA programs, I identify capacities that these programs intend to install in their students. The findings show the implications of the PBL's learning framework on the teaching of PPA higher education in this field and reveals the usefulness of this tool for achieving the programs' teaching-learning outcomes.</t>
  </si>
  <si>
    <t>Munoz-del-Campo, Norma/0000-0003-0812-5214</t>
  </si>
  <si>
    <t>0144-7394</t>
  </si>
  <si>
    <t>2047-8720</t>
  </si>
  <si>
    <t>10.1177/01447394221124818</t>
  </si>
  <si>
    <t>SEP 2022</t>
  </si>
  <si>
    <t>WOS:000849428900001</t>
  </si>
  <si>
    <t>Araujo, K</t>
  </si>
  <si>
    <t>Bringel, B; Pleyers, G</t>
  </si>
  <si>
    <t>Araujo, Kathya</t>
  </si>
  <si>
    <t>Challenges to Critical Thinking: Social Life and the Pandemic</t>
  </si>
  <si>
    <t>SOCIAL MOVEMENTS AND POLITICS DURING COVID-19: Crisis, Solidarity and Change in a Global Pandemic</t>
  </si>
  <si>
    <t>Araujo, Kathya/B-5520-2014</t>
  </si>
  <si>
    <t>978-1-5292-1723-0; 978-1-5292-1722-3</t>
  </si>
  <si>
    <t>WOS:001002683900031</t>
  </si>
  <si>
    <t>Velásquez, E; Leal, M; García, L; Oliva, H</t>
  </si>
  <si>
    <t>Velasquez, Eliezer; Leal, Mario; Garcia, Loraine; Oliva, Haydee</t>
  </si>
  <si>
    <t>Influence of styrene-b-butadiene copolymer types on phase morphology and polymer partitioning between demixed-macrophases from HIPS-mimicking unstable blends</t>
  </si>
  <si>
    <t>JOURNAL OF POLYMER RESEARCH</t>
  </si>
  <si>
    <t>The effect of the copolymer type on stability, morphology and polymer partitioning between macrophases of high impact polystyrene (HIPS) mimicking-blends is studied. Two styrene-butadiene block copolymers with similar chemical composition and different molar masses and architectures were used to emulate different numbers of polystyrene (PS) branches like the graft copolymer formed in the synthesis of HIPS. Polymer partitioning was determined for the first time for three phases demixed from solution four-component blends and was correlated with the phase morphologies. The tapered diblock (emulating one grafted PS branch) had a higher affinity for PS- and polybutadiene (PB)-rich phases than the star copolymer (emulating 1 to 4 grafted PS branches). Polymer partitioning varied with the copolymer architecture more significantly at high simulated styrene grafting efficiency when a three-phase-demixing occurred. Regarding phase morphologies, it is highlighted that the greater miscibility of the PS in the styrenic domains of the tapered diblock compared to the star copolymer caused a change of the morphology of the diblock from a lamellar to a disordered structure.</t>
  </si>
  <si>
    <t>VELASQUEZ, ELIEZER/0000-0001-8858-8926</t>
  </si>
  <si>
    <t>1022-9760</t>
  </si>
  <si>
    <t>1572-8935</t>
  </si>
  <si>
    <t>10.1007/s10965-021-02696-7</t>
  </si>
  <si>
    <t>WOS:000712252900001</t>
  </si>
  <si>
    <t>Klöckner, W; Vidal, CP; de Dicastillo, CL; Yadav, RM; Singh, DP</t>
  </si>
  <si>
    <t>Klockner, Willy; Patino Vidal, Cristian; Lopez de Dicastillo, Carol; Yadav, Ram Manohar; Pratap Singh, Dinesh</t>
  </si>
  <si>
    <t>Large scale synthesis of silver vanadate nanowires consolidated into bulk cylinder with enhanced antibacterial properties</t>
  </si>
  <si>
    <t>MATERIALS LETTERS</t>
  </si>
  <si>
    <t>Here we report the acetonitrile mediated large scale synthesis of self-assembled bulk cylinder (length similar to 9.00 cm, diameter similar to 4.0 cm) consolidated with very long and thin beta-AgVO3 nanowires and its enhanced antibacterial activity against bacteria that cause skin/respiratory infections and food poisoning etc. The use of 30 mL acetonitrile during the mixing of the reactants AgNO3 and NH4VO3 and post hydrothermal treatment at 200 degrees C for 12 h results the formation of bulk cylindrical structure assembled with the large number of interweaved nanowires having a minimum diameter similar to 16 nm and of undefined length similar to 10 mu m. The self-assembled beta-AgVO3 nanowire like structure exhibits enhanced antibacterial activity against Listeria innocua ATCC 33090, Staphylococcus aureus ATCC 25,923 and Escherichia coli ATCC 25922, as Gram-positive and Gram-negative bacteria, respectively. A concentration of 25 mu g/mL of beta-AgVO3 nano wires exhibits bacterial cellular inhibition of 4 logarithms reduction against all studied bacteria. (C) 2020 Elsevier B.V. All rights reserved.</t>
  </si>
  <si>
    <t>Patiño Vidal, Cristian Javier/JDM-7961-2023; Lopez-de-Dicastillo, Carol/C-6347-2019; SINGH, DINESH/A-2509-2011; Yadav, Prof. Ram Manohar/P-9146-2014</t>
  </si>
  <si>
    <t>Lopez-de-Dicastillo, Carol/0000-0003-0067-9765; Patino Vidal, Cristian Javier/0000-0002-5633-6908; SINGH, DINESH/0000-0002-2893-7749; Yadav, Prof. Ram Manohar/0000-0001-6894-9501</t>
  </si>
  <si>
    <t>0167-577X</t>
  </si>
  <si>
    <t>1873-4979</t>
  </si>
  <si>
    <t>10.1016/j.matlet.2020.128403</t>
  </si>
  <si>
    <t>WOS:000569781200004</t>
  </si>
  <si>
    <t>Vallejo, F; Diaz-Robles, LA; Poblete, J; Cubillos, F</t>
  </si>
  <si>
    <t>Vallejo, Fidel; Diaz-Robles, Luis A.; Poblete, Jorge; Cubillos, Francisco</t>
  </si>
  <si>
    <t>Experimental study and validation of a kinetic scheme for hydrothermal carbonization reactions</t>
  </si>
  <si>
    <t>BIOFUELS-UK</t>
  </si>
  <si>
    <t>This study presents a new kinetic scheme for the mass yield prediction of waste lignocellulosic biomasses treated by Hydrothermal Carbonization (HTC). The proposed reactions are based on the decomposition, solubilization, and polymerization of each main fraction of the biomass: cellulose, hemicellulose, and lignin. The ash content was assumed to be inert. The kinetic parameters have been obtained by non-linear adjustment using a data set with 220 experimental runs collected from the literature. The results indicate that the pre-exponential factors range was from 7.33 x 10(1) to 1.412x10(5) min(-1), and activation energies were between 33.75 y 225.3 kJ/mol. A good fit is achieved between the observed and predicted data with an R-2 of 0.81 and an RMSE of 7.7 %. The proposed scheme was validated with the experimental data obtained by the HTC of sawdust (Pinus radiata) and rapeseed (Brassica napus). The experiments were carried out at temperatures of 190, 220, and 250 degrees C and reaction times of 0, 30, 60, 90, and 120 min. The predicted values showed an average error of 2.3 and 3.5 %, respectively. Therefore, the kinetic scheme is a useful tool in the conversion analysis of waste biomass treated by HTC.</t>
  </si>
  <si>
    <t>1759-7269</t>
  </si>
  <si>
    <t>1759-7277</t>
  </si>
  <si>
    <t>MAR 25</t>
  </si>
  <si>
    <t>10.1080/17597269.2020.1759179</t>
  </si>
  <si>
    <t>APR 2020</t>
  </si>
  <si>
    <t>WOS:000533388300001</t>
  </si>
  <si>
    <t>Sánchez, VA; Chourio-Acevedo, L; Casasempere, JK; Muñoz, GM</t>
  </si>
  <si>
    <t>Araya Sanchez, Victor; Chourio-Acevedo, Luz; Kohler Casasempere, Jacqueline; Madrid Munoz, Graciela</t>
  </si>
  <si>
    <t>Cachorr@404: Peer-instruction practices during quarantine times</t>
  </si>
  <si>
    <t>Student attrition is a long-lasting problem which affects higher education institutions around the world. In the Chilean context, this phenomenon needs to be addressed, as it is considered for university accreditation and undergraduate education quality assessment. The rather high drop-out rate of first-year students at the Departamento de Ingenieria Informatica of Universidad de Santiago de Chile has led to the creation of Cachor@404, a peer-instruction based accompaniment programme which supports incoming students by providing tutorials on key subjects and assisting them in their adaptation to university life. To succeed, the programme is led by a multidisciplinary team and considers different aspects of first-year student needs. The current Covid-19 pandemic, with its associated quarantine, has redefined some key aspects of university life adaptation, thus forcing Cachorr@404 to adjust to the new context. The adaptation process has turned into a learning experience regarding the use of new technologies to support the teaching-learning process within the programme's initial courses. This article attempts to describe this accompaniment programme, emphasising key issues that emerged from the global contingency.</t>
  </si>
  <si>
    <t>Lafuente Sanchez, Victor/IAR-5086-2023; Köhler, Jacqueline/HOC-7820-2023</t>
  </si>
  <si>
    <t>WOS:000848755600026</t>
  </si>
  <si>
    <t>Dintrans, PV; Hasen, F; Izquierdo, C; Santander, S</t>
  </si>
  <si>
    <t>Dintrans, Pablo Villalobos; Hasen, Felipe; Izquierdo, Catalina; Santander, Sylvia</t>
  </si>
  <si>
    <t>New challenges for health planning: Chile's National Cancer Plan</t>
  </si>
  <si>
    <t>REVISTA PANAMERICANA DE SALUD PUBLICA-PAN AMERICAN JOURNAL OF PUBLIC HEALTH</t>
  </si>
  <si>
    <t>This article describes the process of developing Chile's National Cancer Plan. This process included an initial diagnostic stage in which various stakeholders were called on to provide different perspectives and proposals. Later, the compiled information was systematized and structured by the Ministry of Health in an action plan with detailed initiatives, objectives, and associated indicators. The Plan was developed along five strategic lines that guide all the proposed actions for the next ten years. The objective of the article is to describe the process by which the Plan was developed, in order to draw several lessons that may be useful in the preparation of other similar plans in Chile and in other countries of the Region. The main lessons learned involve the need for clear diagnoses to make evidence-based proposals, and the importance of conducting this type of planning through a participatory process and with an interdisciplinary approach, resulting in sounder proposals and facilitating their validation and sustainability.</t>
  </si>
  <si>
    <t>1020-4989</t>
  </si>
  <si>
    <t>e6</t>
  </si>
  <si>
    <t>10.26633/RPSP.2020.6</t>
  </si>
  <si>
    <t>WOS:000515394600001</t>
  </si>
  <si>
    <t>Palominos, P; Pertuzé, D; Quezada, L; Sanchez, L</t>
  </si>
  <si>
    <t>Palominos, Pedro; Pertuze, Daniela; Quezada, Luis; Sanchez, Luis</t>
  </si>
  <si>
    <t>An Extension of the Systematic Layout Planning System Using QDF: Its Application to Service Oriented Physical Distribution</t>
  </si>
  <si>
    <t>ENGINEERING MANAGEMENT JOURNAL</t>
  </si>
  <si>
    <t>This work presents an original combination of the Systematic Layout Planning (SLP) methodology with Quality Function Deployment (QFD) for layout design of services. This methodology considers two stages. The first of these stages is Quality Function Deployment using the Modified Quality Matrix, and the second, the application of the various phases of the SLP method, using the data obtained during the first stage, in order to find a layout design which contains the client's perception. The developed methodology was applied to redesign the layout plan for one academic department of the Universidad de Santiago de Chile. This application enabled the generation of alternative distributions, which were compared to the current layout, and the assessment was conducted by a team from the Department itself, using the Analytic Hierarchy Process (AHP).</t>
  </si>
  <si>
    <t>Quezada, Luis/W-8168-2019; Isasi-Sánchez, Luis/AAO-5901-2021</t>
  </si>
  <si>
    <t>Palominos, Pedro/0000-0002-5695-3025</t>
  </si>
  <si>
    <t>1042-9247</t>
  </si>
  <si>
    <t>2377-0643</t>
  </si>
  <si>
    <t>OCT 2</t>
  </si>
  <si>
    <t>10.1080/10429247.2019.1651444</t>
  </si>
  <si>
    <t>SEP 2019</t>
  </si>
  <si>
    <t>WOS:000485041700001</t>
  </si>
  <si>
    <t>Torres, SHM; Oñate, CU; Molina, JK</t>
  </si>
  <si>
    <t>GarciaTirado, J; Munoz, D; Alvarez, H; BoteroCastro, H</t>
  </si>
  <si>
    <t>Marcelo Torres, Hugo S.; Urrea Onate, Claudio; Kern Molina, John</t>
  </si>
  <si>
    <t>Driving a 3 DOF Robotic Manipulator with Protected Data through Industrial Communication using Master-Slave Architecture</t>
  </si>
  <si>
    <t>2019 IEEE 4TH COLOMBIAN CONFERENCE ON AUTOMATIC CONTROL (CCAC): AUTOMATIC CONTROL AS KEY SUPPORT OF INDUSTRIAL PRODUCTIVITY</t>
  </si>
  <si>
    <t>IEEE 4th Colombian Conference on Automatic Control (CCAC) - Automatic Control as Key Support of Industrial Productivity</t>
  </si>
  <si>
    <t>OCT 15-18, 2019</t>
  </si>
  <si>
    <t>Medellin, COLOMBIA</t>
  </si>
  <si>
    <t>IEEE,IEEE Colombia,CSS Colombian Chapter,Electroequipos,Natl Instruments,MathWorks,Componentes Electronicas</t>
  </si>
  <si>
    <t>This paper deals with the design, implementation and assessment of an error tolerant industrial communications based on master/slave architecture applied to a 3 DOE manipulator robot. Algorithms for implementing communication between coding and decoding systems based on Hamming code (7.4) are developed. Communication tests are conducted using the Python minimal Modbus and Modbus-tk libraries. The implementation of the communication hardware between the coding, decoding and 3 DOE manipulator robot arc presented, using pcDuino and expander Pi cards.</t>
  </si>
  <si>
    <t>Claudio, URREA/KWU-1600-2024; Torres, Hugo/AAC-2017-2020</t>
  </si>
  <si>
    <t>Torres Salamea, Hugo Marcelo/0000-0001-7814-6251</t>
  </si>
  <si>
    <t>978-1-5386-6962-4</t>
  </si>
  <si>
    <t>10.1109/ccac.2019.8921340</t>
  </si>
  <si>
    <t>WOS:000556163800094</t>
  </si>
  <si>
    <t>Flores, E; Pizarro, J; Godoy, F; Segura, R; Gómez, A; Agurto, N; Sepúlveda, P</t>
  </si>
  <si>
    <t>Flores, Erick; Pizarro, Jaime; Godoy, Fernando; Segura, Rodrigo; Gomez, Alejandra; Agurto, Nicolas; Sepulveda, Pamela</t>
  </si>
  <si>
    <t>An electrochemical sensor for the determination of Cu(II) using a modified electrode with ferrocenyl crown ether compound by square wave anodic stripping voltammetry</t>
  </si>
  <si>
    <t>SENSORS AND ACTUATORS B-CHEMICAL</t>
  </si>
  <si>
    <t>An electrochemical sensor based on a glassy carbon electrode modified with ferrocenyl imine [(eta(5)-C5H4CH=N-4'-benzo-15-crown-5)Fe(eta(5)-C5H5)] (FcIB15C5) has been developed for the determination of Cu(II) using square wave anodic stripping voltammetry (SWASV). The metalloligand was synthesized from ferrocene-carboxaldehyde and 4'-aminobenzo-15-crown-5. The metalloligand FcIB15C5 was characterized by FT-IR, H-1 - C-13 NMR spectroscopies and mass spectrometry and was obtained as a single isolated isomer (E-configuration). The optimum conditions for the prepared electrode were as follows: BrittonRobinson buffer with pH = 6.0, FcIB15C5 concentration = 0.3 mM, accumulation potential (E-acc) = -0.8 V and accumulation time (t(acc)) = 90 s. A linear range was observed from 10 to 70 mu g L-1 with a limit of detection (LOD) of 0.11 mu g L-1. The proposed procedure was validated with TMDA-64.2 and CRM-TMDW certified reference materials, and it showed good accuracy and precision. The methodology was applied to a mining effluent and urine samples with satisfactory results. (C) 2017 Elsevier B.V. All rights reserved.</t>
  </si>
  <si>
    <t>Segura, Rodrigo/J-6696-2016; Flores, Erick/GPK-2155-2022; Sepulvedaor, Pamela/GRO-3516-2022</t>
  </si>
  <si>
    <t>Pizarro, Jaime/0000-0002-0122-1847; Flores, Dr. Erick/0000-0002-2573-6650; Segura, Rodrigo/0000-0001-5747-2357; Godoy, Fernando/0000-0002-3916-4753; Gomez San Martin, Alejandra/0000-0001-6483-1565</t>
  </si>
  <si>
    <t>0925-4005</t>
  </si>
  <si>
    <t>10.1016/j.snb.2017.05.058</t>
  </si>
  <si>
    <t>WOS:000406184600053</t>
  </si>
  <si>
    <t>Ramirez, S; Silva, N; Oyarzun, MP; Pavez, J; Silva, JF</t>
  </si>
  <si>
    <t>Ramirez, Sara; Silva, Nataly; Paz Oyarzun, Maria; Pavez, Jorge; Francisco Silva, J.</t>
  </si>
  <si>
    <t>Gold nanostructures on self-assembled monolayers activity for epinephrine, noradrenaline and dopamine</t>
  </si>
  <si>
    <t>JOURNAL OF ELECTROANALYTICAL CHEMISTRY</t>
  </si>
  <si>
    <t>The incorporation and effective containment of gold nanostructures on a substrate electrode applied to electrochemical sensors for detecting neurotransmitters is studied. Gold nanoparticles (AuNPs) and gold nanorods (AuNRs) were synthesized, and these nanostructures were incorporated into a metal substrate mediated by self assembled monolayers (SAMs) of 4-mercaptopyridine (4MPy), which allows the effective confinement and communication of the nanostructure, in addition to evaluating the anisotropic effect for the oxidation of neurotransmitters. Characterizations were made to corroborate the constructed system. First, the nanostructures synthesized in solution were characterized by UV-visible spectroscopy and transmission electron microscopy (TEM). Second, the systems were characterized both chemically and morphologically. Third, an electrochemical characterization was performed as working electrodes. Finally, it was studied by cyclic voltammetry detection of neurotransmitters, for the device formed with AuNRs obtained a better electrochemical response than the system consisting of the AuNPs. Additionally, a shift of the peak oxidation potential of the neurotransmitters used took place depending on the nanostructure observed. Therefore, the oxidation potential of the neurotransmitter depends on the anisotropy of the nanostructure.</t>
  </si>
  <si>
    <t>; PAVEZ, JORGE/K-6904-2014</t>
  </si>
  <si>
    <t>Silva, Nataly/0000-0002-1830-5182; Ramirez Pasten, Sara/0000-0003-2109-0490; PAVEZ, JORGE/0000-0002-5100-6707; Oyarzun, Maria Paz/0000-0001-6477-3385</t>
  </si>
  <si>
    <t>1572-6657</t>
  </si>
  <si>
    <t>1873-2569</t>
  </si>
  <si>
    <t>10.1016/j.jelechem.2017.06.040</t>
  </si>
  <si>
    <t>WOS:000411847300045</t>
  </si>
  <si>
    <t>Zamorano, M; Martinez, S; Medel, J</t>
  </si>
  <si>
    <t>Zamorano, Marcela; Martinez, Santa; Medel, Joaquin</t>
  </si>
  <si>
    <t>Behaviour of fatty acid profile in oils and hydrogenated fats subjected to prolonged heating</t>
  </si>
  <si>
    <t>REVISTA DE LA FACULTAD DE CIENCIAS AGRARIAS</t>
  </si>
  <si>
    <t>Frying is highly applied in both industrial and household fields. Since it involves heating an edible oil or fat to temperatures near 200 degrees C, complex physical and chemical changes occur. In Chile, hydrogenated shortenings are used for frying, which have shown high trans fatty acids (TFA) content. The objective of this work was to determine changes in the fatty acid profile, with emphasis on TFA, during heating of different types of hydrogenated fats and oils. For this, seven types of fat and sunflower oil, considered as a control, were subjected to a heating cycle for 50 h and were evaluated at 0, 10, 20, 30, 40 and 50 h.The fatty acids profile, including trans fatty acid, were determinate by GLC according to the UNE 5509 Norm. Results demonstrated that all studied fats showed changes in fatty acid profile during heat treatment, with decrease of polyunsaturated fatty acids and increase or maintained constant the monounsaturated and saturated fatty acids. Trans fatty acids showed significant content of hydrogenated fats (20%), which remained constant throughout the heating. The sunflower oil and high oleic sunflower oil were shown to be the most suitable for frying as it showed no presence of TFA and remained suitable for use up to 40 h of heating.</t>
  </si>
  <si>
    <t>1853-8665</t>
  </si>
  <si>
    <t>WOS:000324507300014</t>
  </si>
  <si>
    <t>Cares, MG; Vargas, Y; Gaete, L; Sainz, J; Alarcón, J</t>
  </si>
  <si>
    <t>Garreton, LG</t>
  </si>
  <si>
    <t>Cares, M. G.; Vargas, Y.; Gaete, L.; Sainz, J.; Alarcon, J.</t>
  </si>
  <si>
    <t>Ultrasonically assisted Extraction of bioactive principles from Quillaja Saponaria Molina</t>
  </si>
  <si>
    <t>INTERNATIONAL CONGRESS ON ULTRASONICS, PROCEEDINGS</t>
  </si>
  <si>
    <t>JAN 11-17, 2009</t>
  </si>
  <si>
    <t>Univ Santiago Chile, Santiago, CHILE</t>
  </si>
  <si>
    <t>Univ Santiago Chile</t>
  </si>
  <si>
    <t>A study of ultrasonically assisted extraction of bioactive principles from Quillaja Saponaria Molina (Quillay) is presented. To address the problem it was studied the effects that could influence the extraction process through a two-level Factorial Design. The effects considered in the Experimental Design were: Granulometry, Extraction time, Acoustic Power and Acoustic Impedance. The production of the quillaja extracts is done with an aqueous extraction and the process is assisted by an ultrasonic field; no other solvents are used in its production. The final product only incorporates natural ingredients and raw materials, authorized for their use in food manufacturing processes. The principal factors affecting the ultrasonic extraction process were: Granulometry and Extraction time. The enhanced of ultrasonic assisted extraction ratio was measuring the increasing yield of extracted components, the extraction ratio was increased by ultrasonic effect and a reduction in extraction time was verified. In addition the process can be carried out at temperatures lower than the traditional way. The influence of ultrasound on the quality of bioactive principles was examined by HPLC technique and no influence of ultrasound on natural components was found.</t>
  </si>
  <si>
    <t>10.1016/j.phpro.2010.01.024</t>
  </si>
  <si>
    <t>WOS:000275913100036</t>
  </si>
  <si>
    <t>Aliaga, C; Rezende, MC; Arenas, A</t>
  </si>
  <si>
    <t>Aliaga, Carolina; Rezende, Marcos Caroli; Arenas, Andrea</t>
  </si>
  <si>
    <t>How meaningful is the assessment of antioxidant activities in microheterogeneous media?</t>
  </si>
  <si>
    <t>Ignoring environmental factors in microheterogeneous solutions of antioxidants may lead to significant distortions and inconsistencies in the assessment of their activities. The importance of the hydrophobicity of the antioxidants and of the assaying radicals in Such media is illustrated by comparing the reactivities of three phenols of different hydrophobicity, 3.5-di-t-butyl-4-hydroxytoluene (BHT), 6-hydroxy-2,5,7,8-tetramethylchromane-2-carboxylic acid (Trolox) acid (Trolox) and Quercetin compared to radicals TEMPO (2,2,6,6-tetramethylpiperidine-1-oxyl) and 4-amino-TEMPO in micellar solutions of variable acidity of reduced Triton-X 100. The relative reactivities of these radicals, measured by EPR spectroscopy, indicated that the hydrophobicity of the involved species is a factor that should always be considered in the evaluation of antioxidants, with the risk of arriving at wrong conclusions regarding their activities. (c) 2008 Elsevier Ltd. All rights reserved.</t>
  </si>
  <si>
    <t>Arenas, Andrea/0009-0002-0882-4947; Rezende, Marcos/0000-0003-2040-9009; Aliaga, Carolina/0000-0002-1352-3164</t>
  </si>
  <si>
    <t>10.1016/j.foodchem.2008.08.075</t>
  </si>
  <si>
    <t>WOS:000261857100035</t>
  </si>
  <si>
    <t>Kinetics of N-glutaryl-L-phenylalanine p-nitroanilide hydrolysis catalyzed by α-chymotrypsin in aqueous solutions of dodecyltrimethylammonium bromide</t>
  </si>
  <si>
    <t>The rate of hydrolysis of N-glutaryl-L-phenylalanine p-nitroanilide (GPNA) catalyzed by alphaw-chymotrypsin (alpha-CT) has been measured in aqueous solutions of dodecyltrimethylammonium bromide (DTAB) at concentrations below and above the critical micelle concentration, as well as in the absence of surfactant. Under all the conditions employed, the reaction follows a Michaelis-Menten mechanism. The presence of the surfactant leads to superactivity below and above the critical micelle concentration (CMC), with a maximum reaction rate taking place near the CMC when the results are treated in terms of the analytical concentration of the substrate. A similar behavior was observed by working with the enzyme partially deactivated in the presence of 4 M urea. After correction to take into account the partitioning of the substrate between the micelles and the external media, the activity of the enzyme tends to remain almost constant above the corresponding CMCs. This results from a compensation of a decrease in the catalytic constant (k(cat)) and a decrease in the Michaelis constant (Km). The behavior of a-CT in the hydrolysis of GPNA in DTAB solutions is at variance with that previously reported for the hydrolysis of 2-naphthyl acetate in solutions of the same surfactant (E. Abuin, E. Lissi, R. Duarte, Langmuir 19 (2003) 5374). An explanation of the different effects of the surfactant on the behavior of the enzyme with both substrates is advanced, taking into account the complexity of the mechanism of the alpha-CT-mediated reaction, more specifically, in terms of different rate-limiting steps for the formation of the measured products. (C) 2004 Elsevier Inc. All rights reserved.</t>
  </si>
  <si>
    <t>10.1016/j.jcis.2004.08.177</t>
  </si>
  <si>
    <t>WOS:000227393300036</t>
  </si>
  <si>
    <t>Escobar, P</t>
  </si>
  <si>
    <t>The new Labor market - The effects of the neoliberal experiment in Chile</t>
  </si>
  <si>
    <t>LATIN AMERICAN PERSPECTIVES</t>
  </si>
  <si>
    <t>0094-582X</t>
  </si>
  <si>
    <t>10.1177/0094582X03256256</t>
  </si>
  <si>
    <t>WOS:000184949900004</t>
  </si>
  <si>
    <t>Henríquez, C; Bueno, C; Lissi, EA; Encinas, MV</t>
  </si>
  <si>
    <t>Thiols as chain transfer agents in free radical polymerization in aqueous solution</t>
  </si>
  <si>
    <t>POLYMER</t>
  </si>
  <si>
    <t>The behavior of thiophenol and aliphatic thiols of different structure as chain transfer agents in the polymerization of acrylamide and 1-vinyl-2-pyrrolidone in aqueous solution at 25 degreesC was studied. Addition of millimolar concentrations of thiols to acrylamide polymerization reduced notably the polymer molecular weights, without change of the polymerization rate. Measurements at different pH showed that the reactive species towards the macroradicals is the protonated -SH group. Chain transfer constants, determined from Mayo plots, are only slightly dependent on the thiol structure. Aliphatic thiols and thiophenol react at similar rates. The selectivity is opposite for acrylamide (electron acceptor) and 1-vinyl-2-pyrrolidone (electron donor), pointing to significant charge transfer contributions. The reactions rates of these sulfur compounds with the electrophilic DPPH radical showed higher selectivity, and are not related with the chain transfer constants measured for the acrylamide macroradicals. These results are explained in terms of the different factors that control the reactivity of thiols with macroradicals. (C) 2003 Elsevier Ltd. All rights reserved.</t>
  </si>
  <si>
    <t>0032-3861</t>
  </si>
  <si>
    <t>10.1016/S0032-3861(03)00581-0</t>
  </si>
  <si>
    <t>WOS:000185182500011</t>
  </si>
  <si>
    <t>Gramsch, E; Avila, R; Valdés, JE; Ferrer, J</t>
  </si>
  <si>
    <t>UV enhanced avalanche photodiode array with planar segmentation of the pixels</t>
  </si>
  <si>
    <t>NUCLEAR INSTRUMENTS &amp; METHODS IN PHYSICS RESEARCH SECTION A-ACCELERATORS SPECTROMETERS DETECTORS AND ASSOCIATED EQUIPMENT</t>
  </si>
  <si>
    <t>We have developed avalanche photodiode (APD) arrays of the beveled edge type with high responsivity in the ultraviolet (UV) region. A 3 x 3 array with pixel size 3 x 3 mm(2) was made, in which the segmentation was done using selective diffusion in the front surface. This technique is an improvement over previous avalanche photodiodes, where the segmentation was done by cutting channels in the back of the detector. After the die was cut from the wafer, beveling and passivation was performed to avoid lateral surface breakdown. The quantum efficiency from 200 to 400 nm is close to 50%, which makes this detector suitable for Nuclear Spectroscopy applications using short wavelength scintillators. The gain and dark current coming from all pixels connected together, is similar to a single element detector with the same area, which indicates that the pixelization process does not reduce the performance compared to a detector without segmentation. We measured high crosstalk between adjacent pixels (20%) which indicates that the resistance between them is too low. Due to the high resistance, the noise in the pixels is also high, and the energy resolution from a Co-57 source is higher (36% FWHM) than previous arrays. (C) 1999 Elsevier Science B.V. All rights reserved.</t>
  </si>
  <si>
    <t>Valdes, Jorge/IYJ-2578-2023; Gramsch, Ernesto/M-5507-2017</t>
  </si>
  <si>
    <t>0168-9002</t>
  </si>
  <si>
    <t>2-3</t>
  </si>
  <si>
    <t>10.1016/S0168-9002(99)00764-0</t>
  </si>
  <si>
    <t>WOS:000083790400016</t>
  </si>
  <si>
    <t>Yuing-Alfaro, T; González, HC</t>
  </si>
  <si>
    <t>Yuing-Alfaro, Tuillang; Gonzalez, Hector Cataldo</t>
  </si>
  <si>
    <t>From the primacy of letter to poslexia: an itinerary for a debate on language, information and political subjectivity</t>
  </si>
  <si>
    <t>HYBRIS-REVISTA DE FILOSOFIA</t>
  </si>
  <si>
    <t>The paper analyzes the subjective profiles in politics within the current communicational scheme. The global world, connectivity and images are elements that invite us to pay attention to how words and information work nowadays. This review takes contributions from Sartori, Serres and Ranciere, among others. Then, the place of the literate as a device of community articulation is discussed. To this end, the thesis of angel Rama is examined: the primacy of the letter implies a social order with a severe impact on political institutionality. Subsequently, the notion of postlexia suggested by Mark Fisher, who affirms the illiterate character of the present time, is incorporated. A dialogue is thus constructed in which some of the perspectives involved are deepened. Finally, some questions are suggested as to its effects on political subjectivity. These questions draw on the contributions of Virno, Castillo and Ferraris, among others</t>
  </si>
  <si>
    <t>0718-8382</t>
  </si>
  <si>
    <t>10.5281/zenodo.10951770</t>
  </si>
  <si>
    <t>WOS:001206994300001</t>
  </si>
  <si>
    <t>Estenssoro, F; Vásquez, JP; Carrasco, A</t>
  </si>
  <si>
    <t>Estenssoro, Fernando; Pablo Vasquez, Juan; Carrasco, Alejandro</t>
  </si>
  <si>
    <t>The installation of the global environmental crisis in the US national security discourse. From the Cold War to the second decade of the 21st century</t>
  </si>
  <si>
    <t>ENCRUCIJADA AMERICANA</t>
  </si>
  <si>
    <t>This article is the result of an investigation into the presence and installation of the global environmental crisis topic in the institutional discourse related to the United States' national security. It shows how, from very early on, the issue of environmental degradation was understood as a threat to the superpower's security. It spanned a period from the Cold War to the second decade of the 21st century. It was based on a historical methodology that reviewed sources (official documents, articles, books, and specialized studies of the time, press from the political establishment, security and defense institutions, the intelligence community, and sectors of the academy, and specialized Think Tanks. The diachronic temporal narrative was organized into four sections covering the Cold War, the immediate post-Cold War, and the first and second decades of the 21st century.</t>
  </si>
  <si>
    <t>0719-3432</t>
  </si>
  <si>
    <t>0718-5766</t>
  </si>
  <si>
    <t>WOS:000740694200006</t>
  </si>
  <si>
    <t>Leiva-Lobos, EP; Ponce, HR; Morales, FA</t>
  </si>
  <si>
    <t>Leiva-Lobos, Edmundo P.; Ponce, Hector R.; Morales, Felipe A.</t>
  </si>
  <si>
    <t>Effects of Visual and Text-Based Forum Graphical Interfaces on Participants' Situation Awareness</t>
  </si>
  <si>
    <t>The present study experimentally tested whether participating in dialogues using a visual-based forum application increases participants' situation awareness compared with using a text-based forum. The text-based forum used in the study was a well-known open-source application called Discourse meanwhile the visual-based forum was an application specially developed for this study that we called VisualMail. This tool was designed based on a theory of dialogue and included functionalities to visualize the threads of the argumentation. A total of 42 participants interacted with the two applications in a within-subject design. Situation awareness was assessed with an instrument called SAGAT (Situation Awareness Global Assessment Technique) that measures perception of the environment, comprehension of the present situation and projection of future states and events. The experimental results indicate that participating in dialogues using VisualMail significantly increases situation awareness on its three dimensions, with large effect sizes observed in each of them: perception (d = 1.02), comprehension (d = 1.64) and projection (d = 1.38).</t>
  </si>
  <si>
    <t>Ponce, Hector R./0000-0002-7984-3945</t>
  </si>
  <si>
    <t>WOS:000542919100014</t>
  </si>
  <si>
    <t>Letelier, MF; Siginer, DA; Contreras, D; Jacobs, P; Barrera, C</t>
  </si>
  <si>
    <t>Letelier, Mario F.; Siginer, Dennis A.; Contreras, Diego; Jacobs, Patricio; Barrera, Cristian</t>
  </si>
  <si>
    <t>HEAT TRANSFER IN LAMINAR FLOW WITH ELASTOVISCOPLASTIC FLUIDS IN NON-CIRCULAR DUCTS</t>
  </si>
  <si>
    <t>The interplay of yield stress and elasticity on the temperature field and heat transfer rates in tube flow of elastoviscoplastic (EVP) fluids is investigated in this paper. The constitutive structure of the EVP fluid obeys a linear combination of the Phan-Thien-Tanner model for viscoelastic fluids and the Bingham model for viscoplastic fluids. The momentum and energy equations are solved asymptotically under constant wall heat flux. The fluid behavior is governed by the Weissenberg Wi and the Bingham N numbers.</t>
  </si>
  <si>
    <t>UNSP V007T09A033</t>
  </si>
  <si>
    <t>WOS:000428485600033</t>
  </si>
  <si>
    <t>Aguilar, JP</t>
  </si>
  <si>
    <t>Vera, HV; Carrizo, JPA</t>
  </si>
  <si>
    <t>Pablo Aguilar, Juan</t>
  </si>
  <si>
    <t>Artificial Intelligence: technology to democratize information or creation of virtual dictators?</t>
  </si>
  <si>
    <t>DEMOCRACIA, INFORMACION Y CIBERSOCIEDAD: UNA MIRADA DESDE CHILE</t>
  </si>
  <si>
    <t>978-956-8416-70-6</t>
  </si>
  <si>
    <t>WOS:000462868900004</t>
  </si>
  <si>
    <t>Zúñiga, GE; Tapia, A; Arenas, A; Contreras, RA; Zúñiga-Libano, G</t>
  </si>
  <si>
    <t>Zuniga, Gustavo E.; Tapia, Andrea; Arenas, Andrea; Contreras, Rodrigo A.; Zuniga-Libano, Gustavo</t>
  </si>
  <si>
    <t>Phytochemistry and biological properties of Aristotelia chilensis a Chilean blackberry: a review</t>
  </si>
  <si>
    <t>PHYTOCHEMISTRY REVIEWS</t>
  </si>
  <si>
    <t>2nd International Symposium on New Processes and Applications for Plant and Microbial Products (ISNPMP)</t>
  </si>
  <si>
    <t>MAR 01-02, 2016</t>
  </si>
  <si>
    <t>New Delhi, INDIA</t>
  </si>
  <si>
    <t>TERI,CSIC</t>
  </si>
  <si>
    <t>Aristotelia chilensis (Mol.) Stuntz, commonly called Maqui, is known for its pharmacological uses in traditional medicine of native Mapuche communities in Chile. It is reported to have excellent medicinal properties that help to cure chronic diarrhea, dysentery, throat diseases, intestinal tumors, fever, wounds healing, and scars. Pharmacologically, fruits and leaves of Maqui have been investigated for antioxidant, antidiabetic, and antiviral activities. The current high demand of natural antioxidants has placed Maqui as one of the most over-exploited species in Chile. This review analyzes the information collected from the published research articles, and highlights the phytochemical and pharmacological aspects of A. chilensis. The information will be useful to develop new strategies of sustainable use of the species to generate new formulations with therapeutic and economical value in the future.</t>
  </si>
  <si>
    <t>Zuñiga, Gustavo/P-8306-2015; Contreras, Rodrigo/I-1871-2013</t>
  </si>
  <si>
    <t>Arenas, Andrea/0009-0002-0882-4947; Contreras, Rodrigo/0000-0001-9970-3125; Zuniga, Gustavo/0000-0002-8286-9468</t>
  </si>
  <si>
    <t>1568-7767</t>
  </si>
  <si>
    <t>1572-980X</t>
  </si>
  <si>
    <t>10.1007/s11101-017-9533-1</t>
  </si>
  <si>
    <t>WOS:000414720300014</t>
  </si>
  <si>
    <t>Michea, S; Oyarzún, S; Vidal, S; Denardin, JC</t>
  </si>
  <si>
    <t>Michea, Sebastian; Oyarzun, Simon; Vidal, Sorach; Denardin, Juliano C.</t>
  </si>
  <si>
    <t>Enhanced Hall effect in Co/Pd multilayered nanodomes with perpendicular anisotropy</t>
  </si>
  <si>
    <t>AIP ADVANCES</t>
  </si>
  <si>
    <t>61st Annual Conference on Magnetism and Magnetic Materials (MMM)</t>
  </si>
  <si>
    <t>OCT 31-NOV 04, 2016</t>
  </si>
  <si>
    <t>New Orleans, LA</t>
  </si>
  <si>
    <t>AIP Publishing,IEEE Magnet soc</t>
  </si>
  <si>
    <t>In this work, multilayers of Co/Pd with out of plane anisotropy have been deposited on the bottom of porous alumina membranes, forming nanodomes films with 100 and 200 nm diameter. The magnetization reversal of the multilayers is investigated by magnetization curves, extraordinary Hall effect and magnetic force microscopy (MFM) experiments. The results show that as the pore diameter increase, a larger hall resistivity is obtained, compared with the continuous film. (C) 2017 Author(s).</t>
  </si>
  <si>
    <t>Denardin, Juliano/S-6407-2019; Michea, Sebastian/E-9043-2017; Oyarzun, Simon/M-1769-2014</t>
  </si>
  <si>
    <t>Oyarzun, Simon/0000-0002-8764-7944; Michea, Sebastian/0000-0001-9312-5766; Denardin, Juliano/0000-0002-1373-6207</t>
  </si>
  <si>
    <t>2158-3226</t>
  </si>
  <si>
    <t>10.1063/1.4975489</t>
  </si>
  <si>
    <t>WOS:000402797100249</t>
  </si>
  <si>
    <t>González, C; Godoy, L; Ganga, MA</t>
  </si>
  <si>
    <t>Gonzalez, Camila; Godoy, Liliana; Angelica Ganga, Ma</t>
  </si>
  <si>
    <t>Identification of a second PAD1 in Brettanomyces bruxellensis LAMAP2480</t>
  </si>
  <si>
    <t>ANTONIE VAN LEEUWENHOEK INTERNATIONAL JOURNAL OF GENERAL AND MOLECULAR MICROBIOLOGY</t>
  </si>
  <si>
    <t>Volatile phenols are aromatic compounds produced by some yeasts of the genus Brettanomyces as defense against the toxicity of hydroxycinnamic acids (p-coumaric acid, ferulic acid and caffeic acid). The origin of these compounds in winemaking involves the sequential action of two enzymes: coumarate decarboxylase and vinylphenol reductase. The first one converts hydroxycinnamic acids into hydroxystyrenes, which are then reduced to ethyl derivatives by vinylphenol reductase. Volatile phenols derived from p-coumaric acid (4-vinylphenol and 4-ethylphenol) have been described as the major contributors to self-defeating aromas associated with stable, gouache, wet mouse, etc., which generates large economic losses in the wine industry. The gene responsible for the production of 4-vinylphenol from p-coumaric acid has been identified as PAD1, which encodes a phenylacrylic acid decarboxylase. PAD1 has been described for many species, among them Candida albicans, Candida dubliniensis, Debaryomyces hansenii and Pichia anomala. In Brettanomyces bruxellensis LAMAP2480, a 666 bp reading frame (DbPAD) encodes a coumarate decarboxylase. Recent studies have reported the existence of a new reading frame belonging to DbPAD called DbPAD2 of 531 bp, which could encode a protein with similar enzymatic activity to PAD1. The present study confirmed that the transformation of Saccharomyces cerevisiae strain BY4722 with reading frame DbPAD2 under the control of the B. bruxellensis ACT1 promoter, encodes an enzyme with coumarate decarboxylase activity. This work has provided deeper insight into the origin of aroma defects in wine due to contamination by Brettanomyces spp.</t>
  </si>
  <si>
    <t>Olivares, Liliana/AAB-6276-2020; Ganga, Maria/S-8176-2019; González, Camila/JDC-3277-2023</t>
  </si>
  <si>
    <t>Godoy Olivares, Liliana/0000-0001-5110-5978; Gonzalez Poblete, Camila/0000-0003-3095-5505</t>
  </si>
  <si>
    <t>0003-6072</t>
  </si>
  <si>
    <t>1572-9699</t>
  </si>
  <si>
    <t>10.1007/s10482-016-0793-3</t>
  </si>
  <si>
    <t>WOS:000393743900011</t>
  </si>
  <si>
    <t>Letelier, MF; Hinojosa, CB; Siginer, DA</t>
  </si>
  <si>
    <t>Letelier, Mario F.; Hinojosa, Cristian B.; Siginer, Dennis A.</t>
  </si>
  <si>
    <t>Analytical solution of the Graetz problem for non-linear viscoelastic fluids in tubes of arbitrary cross-section</t>
  </si>
  <si>
    <t>Graetz problem is solved analytically for steady laminar flow of non-linear viscoelastic fluids in straight tubes of arbitrary cross-section. The one-to-one mapping method used to model the cross-sectional geometry satisfies the no-slip and thermal boundary conditions for a wide range of arbitrary tube contours. Field variables are expanded in asymptotic series in terms of the Weissenberg number Wi, leading to a set of linear hierarchical equations which are solved successively up to and including the third order in Wi. Exact analytical solution for the Graetz problem for Newtonian fluids in round as well as arbitrary cross-sectional tubes is recovered at the lowest order. Secondary flows arise at the third order of the analysis as shown previously by Siginer and Letelier [1]. Their effect on the convection field is fully taken into account. The temperature distributions for triangular and square cross-sectional tubes are computed as particular cases of the general analysis together with the variation of the asymptotic Nusselt number for the triangular cross-section as a function of Wi to demonstrate the substantial enhancement of the heat transfer rates due to the non-linear viscoelastic constitutive structure of the fluid. The analytical algorithm presented is very versatile and can be easily applied to a wide spectrum of non-circular tube contours. (C) 2016 Elsevier Masson SAS. All rights reserved.</t>
  </si>
  <si>
    <t>10.1016/j.ijthermalsci.2016.05.034</t>
  </si>
  <si>
    <t>WOS:000387194000032</t>
  </si>
  <si>
    <t>Dennett, GV; Blamey, JM</t>
  </si>
  <si>
    <t>Dennett, Geraldine V.; Blamey, Jenny M.</t>
  </si>
  <si>
    <t>A New Thermophilic Nitrilase from an Antarctic Hyperthermophilic Microorganism</t>
  </si>
  <si>
    <t>FRONTIERS IN BIOENGINEERING AND BIOTECHNOLOGY</t>
  </si>
  <si>
    <t>Several environmental samples from Antarctica were collected and enriched to search for microorganisms with nitrilase activity. A new thermostable nitrilase from a novel hyperthermophilic archaea Pyrococcus sp. M24D13 was purified and characterized. The activity of this enzyme increased as the temperatures rise from 70 up to 85 degrees C. Its optimal activity occurred at 85 degrees C and pH 7.5. This new enzyme shows a remarkable resistance to thermal inactivation retaining more than 50% of its activity even after 8 h of incubation at 85 degrees C. In addition, this nitrilase is highly versatile demonstrating activity toward different substrates, such as benzonitrile (60 mM, aromatic nitrile) and butyronitrile (60 mM, aliphatic nitrile), with a specific activity of 3286.7 U mg(-1) of protein and 4008.2 U mg(-1) of protein, respectively. Moreover the enzyme NitM24D13 also presents cyanidase activity. The apparent Michaelis-Menten constant (K-m) and V-max of this Nitrilase for benzonitrile were 0.3 mM and 333.3 mu M min(-1), respectively, and the specificity constant (k(cat)/K-m) for benzonitrile was 2.05 x 10(5) s(-1) M-1</t>
  </si>
  <si>
    <t>2296-4185</t>
  </si>
  <si>
    <t>FEB 29</t>
  </si>
  <si>
    <t>10.3389/fbioe.2016.00005</t>
  </si>
  <si>
    <t>WOS:000390187100001</t>
  </si>
  <si>
    <t>Rojas, O; Gil-Costa, V; Marin, M</t>
  </si>
  <si>
    <t>Wyrzykowski, R; Deelman, E; Dongarra, J; Karczewski, K; Kitowski, J; Wiatr, K</t>
  </si>
  <si>
    <t>Rojas, Oscar; Gil-Costa, Veronica; Marin, Mauricio</t>
  </si>
  <si>
    <t>Running Time Prediction for Web Search Queries</t>
  </si>
  <si>
    <t>PARALLEL PROCESSING AND APPLIED MATHEMATICS, PPAM 2015, PT II</t>
  </si>
  <si>
    <t>Lecture Notes in Computer Science</t>
  </si>
  <si>
    <t>11th International Conference on Parallel Processing and Applied Mathematics (PPAM)</t>
  </si>
  <si>
    <t>SEP 06-09, 2015</t>
  </si>
  <si>
    <t>Krakow, POLAND</t>
  </si>
  <si>
    <t>Czestochowa Univ Technol, Dept Comp &amp; Informat Sci,Nvidia,Action S A,Gambit,ICT COST Act IC1305 Network Sustainable Ultrascale Comp,Polish Acad Sci, Comm Informat</t>
  </si>
  <si>
    <t>Large scale Web search engines have to process thousands of queries per second and each query has to be solved within a fraction of a second. To achieve this goal, search engines rely on sophisticated services capable of processing large amounts of data. One of these services is the search service (or index service) which is in charge of computing the top-k document results for user queries. Predicting in advance the response time of queries has practical applications in efficient administration of hardware resources assigned to query processing. In this paper, we propose and evaluate a query running time prediction algorithm that is based on a discrete Fourier transform which models the index as a collection of signals to obtain patterns. Results show that our approach performs at least as effectively as well-known prediction algorithms in the literature, while significantly improving computational efficiency.</t>
  </si>
  <si>
    <t>Rojas, Oscar/ABG-3625-2021; Marin, Mauricio/GLR-7700-2022; Gil-Costa, Veronica/GPT-4785-2022</t>
  </si>
  <si>
    <t>Gil-Costa, Veronica/0000-0003-4637-9725; Rojas Diaz, Oscar/0000-0002-7754-9996; Marin, Mauricio/0000-0003-0662-7149</t>
  </si>
  <si>
    <t>0302-9743</t>
  </si>
  <si>
    <t>1611-3349</t>
  </si>
  <si>
    <t>978-3-319-32152-3; 978-3-319-32151-6</t>
  </si>
  <si>
    <t>10.1007/978-3-319-32152-3_20</t>
  </si>
  <si>
    <t>WOS:000400135500020</t>
  </si>
  <si>
    <t>Santander, R; Urzúa, A; Olguín, A; Sánchez, M</t>
  </si>
  <si>
    <t>Santander, Rocio; Urzua, Alejandro; Olguin, Angel; Sanchez, Maria</t>
  </si>
  <si>
    <t>Temporal Variation of Aristolochia chilensis Aristolochic Acids during Spring</t>
  </si>
  <si>
    <t>In this communication, we report the springtime variation of the composition of aristolochic acids (AAs) in Aristolochia chilensis leaves and stems. The dominant AA in the leaves of all samples, which were collected between October and December, was AA-I (1), and its concentration varied between 212.6 +/- 3.8 and 145.6 +/- 1.2 mg/kg and decreased linearly. This decrease occurred in parallel with the increase in AA-Ia (5) concentration from 15.9 +/- 0.8 mg/kg at the beginning of October to 96.8 +/- 7.8 mg/kg in mid-December. Both acids are enzymatically related by methylation-demethylation reactions. Other AAs also showed important variations: AA-II (2) significantly increased in concentration, reaching a maximum in the first two weeks of November and subsequently decreasing in mid-December to approximately the October levels. The principal component in the AA mixture of the stems was also AA-I (1); similar to AA-II (2), its concentration increased beginning in October, peaked in the second week of November and subsequently decreased. The concentrations of AA-IIIa (6) and AA-IVa (7) in the leaves and stems varied throughout the study period, but no clear pattern was identified. Based on the variation of AAs in A. chilensis leaves and stems during the study period, the reduced contents of non-phenolic AAs and increased concentrations of phenolic AAs are likely associated with a decrease in this plant's toxicity during the spring.</t>
  </si>
  <si>
    <t>SANCHEZ, MARIA/K-5898-2014; Santander, Rocio/K-7645-2013</t>
  </si>
  <si>
    <t>10.3390/molecules201119704</t>
  </si>
  <si>
    <t>WOS:000365925200010</t>
  </si>
  <si>
    <t>Coronado, P; Aguilera, S; Carmona, L; Godoy, L; Martínez, C; Ganga, MA</t>
  </si>
  <si>
    <t>Coronado, P.; Aguilera, S.; Carmona, L.; Godoy, L.; Martinez, C.; Ganga, M. A.</t>
  </si>
  <si>
    <t>Comparison of the behaviour of Brettanomyces bruxellensis strain LAMAP L2480 growing in authentic and synthetic wines</t>
  </si>
  <si>
    <t>Brettanomyces bruxellensis is the main microorganism responsible for the production of off-flavours in wine. Studies have been carried out in synthetic cultures using p-coumaric acid for the production of vinyl and ethylphenols. The results obtained have been extrapolated to authentic wine, but there is no evidence that this correlation will be correct. We studied the behaviour of B. bruxellensis native strain LAMAP L2480 in authentic wine and in a synthetic medium with a chemical composition similar to the authentic wine used in this study (basal synthetic wine + pH, ethanol and hydroxycinnamic acid concentrations of commercial wine). In some assays, B. bruxellensis has been studied using media containing 100 mg L-1 p-coumaric acid, so we also used the same concentration added to the authentic and synthetic wines. The microorganism showed better growth in authentic wine, regardless of the presence of p-coumaric acid. In the case of synthetic wine, the addition of p-coumaric acid caused a delay in yeast growth and an increase in the production of volatile phenols. The coumarate decarboxylase activity did not show any difference regardless of the media and the presence of p-coumaric acid. Vinylphenol reductase showed higher activity when a higher concentration of p-coumaric acid was added in synthetic wine, but no change was observed in authentic wine.</t>
  </si>
  <si>
    <t>Carmona López, Lourdes/HJH-7958-2023; Martinez, Claudio/MGS-9961-2025; Ganga, Maria/S-8176-2019; Olivares, Liliana/AAB-6276-2020</t>
  </si>
  <si>
    <t>Godoy Olivares, Liliana/0000-0001-5110-5978; Martinez, Claudio/0000-0001-8564-9287</t>
  </si>
  <si>
    <t>10.1007/s10482-015-0413-7</t>
  </si>
  <si>
    <t>WOS:000352435800011</t>
  </si>
  <si>
    <t>Barrera, HC; Letelier, MF; Siginer, DA</t>
  </si>
  <si>
    <t>Cristian Barrera, H.; Letelier, Mario F.; Siginer, Dennis A.</t>
  </si>
  <si>
    <t>A SOLUTION OF THE GRAETZ PROBLEM IN TUBES OF ARBITRARY CROSS-SECTION SHAPE FOR VISCOELASTIC FLUIDS</t>
  </si>
  <si>
    <t>PROCEEDINGS OF THE ASME INTERNATIONAL MECHANICAL ENGINEERING CONGRESS AND EXPOSITION, 2014, VOL 7</t>
  </si>
  <si>
    <t>ASME International Mechanical Engineering Congress and Exposition (IMECE2014)</t>
  </si>
  <si>
    <t>NOV 14-20, 2014</t>
  </si>
  <si>
    <t>Montreal, CANADA</t>
  </si>
  <si>
    <t>The Graetz problem is addressed for the case of steady laminar flow of non-Newtonian fluids obeying the Modified Phan-Thien-Tanner Model (MPTT) in tubes of arbitrary cross-section. The method herein presented models the velocity and temperature fields so that the corresponding non-slip and thermal boundary conditions are met at the walls of the tube for a wide range of different shapes. The main results are the general temperature distribution for different duct geometries that include the triangular and square cases as particular examples.</t>
  </si>
  <si>
    <t>978-0-7918-4954-5</t>
  </si>
  <si>
    <t>V007T09A032</t>
  </si>
  <si>
    <t>WOS:000377555200032</t>
  </si>
  <si>
    <t>Rabagliati, FM; Canales, DA; Yañez, DE; Zamora, P; Zapata, PA</t>
  </si>
  <si>
    <t>Rabagliati, Franco M.; Canales, Daniel A.; Yanez, Daniela E.; Zamora, Paulina; Zapata, Paula A.</t>
  </si>
  <si>
    <t>FURTHER STUDIES ON HOMO- AND COPOLYMERIZATION OF STYRENE THROUGH CpTICl3-MAO INITIATOR SYSTEM</t>
  </si>
  <si>
    <t>The copolymerization of styrene with cyclohexene, 1-methyl-1-cyclohexene and with norbornene at various styrene/comonomer molar ratio, using cyclopentadienyltitanium trichloride and methylaluminoxane, CpTiCl3-MAO, initiating system has been tested. Only the couple styrene-norbornene produce real styrenenorbornene copolymers, while comonomers cylohexene and 1-methyl-1-cyclohexene only yielded syndiotactic polystyrene, s-PS. The present paper also report results of exploratory experiments on the synthesis through in-situ polymerization of nanocomposites based on styrene/para-methylstyrene copolymer, S/p-MeS, including SiO2 nanoparticles where nanocomposites with modified SiO2 nanoparticles, showed a better dispersion of nanoparticles in the copolymer matrix.</t>
  </si>
  <si>
    <t>Canales Arévalo, Daniel/HSG-6748-2023</t>
  </si>
  <si>
    <t>Canales, Daniel A./0000-0002-2691-6864; Zapata, Paula Andrea/0000-0003-3361-6226</t>
  </si>
  <si>
    <t>10.4067/S0717-97072013000400039</t>
  </si>
  <si>
    <t>WOS:000331238800035</t>
  </si>
  <si>
    <t>Godoy-Guzmán, C</t>
  </si>
  <si>
    <t>Godoy-Guzman, C.</t>
  </si>
  <si>
    <t>Contributions of Wilhelm His to Human Embryology</t>
  </si>
  <si>
    <t>Wilhelm His (1831-1904), a great Swiss anatomist and embryologist, professor of anatomy at the university of Basel and the university of Leipzig. His, made the first attempt to study the different stages of the total human embryo. For that purpose he introduced important technological advances that allowed a more detailed understanding of the embryo, setting a landmark in the development of embryology as a science. This paper summarizes the main contributions of Wilhelm His in the field of human embryology. One of his major contributions was the invention of the microtome en 1866, which allowed the reconstruction of the embryo from histological sections. Another one of his great inventions was the so-called embryograph, an instrument that allows viewing histological sections at low magnification and reconstructing them on paper. He was also a pioneer in attempting to select human embryos presumably collected in their order of development. He divided human development into stages, establishing standards from the relations between the shape and size characteristic of each stage. A large part of his discoveries on the development of the human embryo is found in his work titled Anatomie der Menschlichen Embryonen (1880-1885). The noble task of elucidating the anatomy of the human embryo was possible thanks to a set of technologicals and methodological innovations and his persevering work. Because of his great contributions in the field of embryology he is given the name of Vesalius of human embryology.</t>
  </si>
  <si>
    <t>10.4067/S0717-95022013000100010</t>
  </si>
  <si>
    <t>WOS:000321868400010</t>
  </si>
  <si>
    <t>Caballero, L; Melo, F</t>
  </si>
  <si>
    <t>Droplets of fine powders running uphill by vertical vibration</t>
  </si>
  <si>
    <t>PHYSICAL REVIEW LETTERS</t>
  </si>
  <si>
    <t>We observe droplets forming when an inclined surface initially covered by fine powders is vibrated vertically. Droplets move uphill in the direction of maximum local slope. The speed of droplets is nearly independent on their size whereas it is an increasing function of the plate acceleration and inclination. By evacuating the container we show that the interstitial air flow plays an important role on droplets forming and their drift.</t>
  </si>
  <si>
    <t>Melo, Francisco/M-3923-2014</t>
  </si>
  <si>
    <t>0031-9007</t>
  </si>
  <si>
    <t>DEC 17</t>
  </si>
  <si>
    <t>10.1103/PhysRevLett.93.258001</t>
  </si>
  <si>
    <t>WOS:000225785200073</t>
  </si>
  <si>
    <t>Rezende, MC; Vallejos, G; Osorio-Olivares, M; Sepúlveda-Boza, S</t>
  </si>
  <si>
    <t>Synthesis of some modified nucleotides of cytidine</t>
  </si>
  <si>
    <t>The present communication describes the preparation of five nucleotides of cytidine, CTP-alphaS (1), CMP-alphaS (2), CDP-alpha,beta -CH2 (3), CTP-alpha,beta -CH2 (4) besides a cytidine derivative (5), where the phosphorylated chain is replaced by a fluorosulfonylbenzoyl group.</t>
  </si>
  <si>
    <t>Osorio-Olivares, Mauricio/0000-0003-4391-1739; Rezende, Marcos/0000-0003-2040-9009</t>
  </si>
  <si>
    <t>10.1081/SCC-100107020</t>
  </si>
  <si>
    <t>WOS:000171792400018</t>
  </si>
  <si>
    <t>Ortiz, V; Rubio, MA; Lissi, EA</t>
  </si>
  <si>
    <t>Hydrogen peroxide deposition and decomposition in rain and dew waters</t>
  </si>
  <si>
    <t>Peroxides and hydrogen peroxide were determined by a fluorometric method in dew and rain collected in the atmosphere of Santiago of Chile city. The measured peroxides comprise hydrogen peroxide (the main component) and peroxides not decomposed by catalase. The collected natural peroxides readily decompose in the natural matrix, rendering difficult an estimation of the values present in real-time. In order to establish the kinetics of the process and the factors that condition their decomposition, the kinetics of the decay at several pHs and/or the presence of metal chelators were followed. The kinetics of hydrogen peroxide decomposition in the water matrix was evaluated employing the natural peroxides or hydrogen peroxide externally added. First-order kinetics was followed, with half decay times ranging from 80 to 2300 min. The addition of Fe(II) in the micromolar range increases the decomposition rate. while lowering the pH ( &lt; 3) notably reduces the rate of the process. The contribution of metals to the decomposition of the peroxides in the natural waters was confirmed by the reduction in decomposition rate elicited by its treatment with Chelex-100. Dew and rain waters were collected in pre-acidified collectors, rendering values considerably higher than those measured in non-treated collectors. This indicates that acidification can be proposed as an easy procedure to stabilize the samples, reducing its decomposition during collection time and the time elapsed between collection and analysis. The weighted average concentration for total peroxides measured in pre-treated collectors was 5.4 mu M in rains and 2.2 mu M in dews. (C) 2000 Elsevier Science Ltd. All rights reserved.</t>
  </si>
  <si>
    <t>10.1016/S1352-2310(99)00345-3</t>
  </si>
  <si>
    <t>WOS:000085562600010</t>
  </si>
  <si>
    <t>Maldonado, A; Aguilar, T; Hauser, C; Wehnert, G; Söthje, D; Schlachter, H; Torres, A; Bruna, J; Valenzuela, X; Rodríguez-Mercado, F</t>
  </si>
  <si>
    <t>Maldonado, Alba; Aguilar, Tomas; Hauser, Carolin; Wehnert, Gerd; Soethje, Dominik; Schlachter, Herbert; Torres, Alejandra; Bruna, Julio; Valenzuela, Ximena; Rodriguez-Mercado, Francisco</t>
  </si>
  <si>
    <t>Ethylene Scavenging Films Based on Ecofriendly Plastic Materials and Nano-TiO2: Preparation, Characterization, and In Vivo Evaluation</t>
  </si>
  <si>
    <t>POLYMERS</t>
  </si>
  <si>
    <t>It is known that ethylene plays an important role in the quality characteristics of fruits, especially in storage. To avoid the deterioration of fruits caused by ethylene, titanium dioxide (TiO2) has been used due to its photocatalytic capacity. The aim of this study was to develop films based on two types of biopolymers, Mater-Bi (MB) and poly-lactic acid (PLA), with nanoparticles of TiO2 and to determine their ethylene removal capacity and its application in bananas. First, the films were fabricated through an extrusion process with two different concentrations of TiO2 (5 and 10% w/w). Then, the films were characterized by their structural (FTIR), morphological (SEM), thermal (DSC and TGA), dynamic (DMA), barrier, and mechanical properties. The ethylene removal capacities of the samples were determined via gas chromatography and an in vivo study was also conducted with bananas for 10 days of storage. Regarding the characterization of the films, it was possible to determine that there was a higher interaction between PLA with nano-TiO2 than MB; moreover, TiO2 does not agglomerate and has a larger contact surface in PLA films. Because of this, a higher ethylene removal was also shown by PLA, especially with 5% TiO2. The in vivo study also showed that the 5% TiO2 films maintained their quality characteristics during the days in storage. For these reasons, it is possible to conclude that the films have the capacity to remove ethylene. Therefore, the development of TiO2 films is an excellent alternative for the preservation of fresh fruits.</t>
  </si>
  <si>
    <t>Torres, Alejandra/LPQ-5664-2024; Rodríguez, Francisco/I-5283-2018; bruna, julio/AAM-6867-2021</t>
  </si>
  <si>
    <t>Rodriguez-Mercado, Francisco/0000-0002-0530-6653; Bruna, Julio E./0000-0001-9656-6022; Sothje, Dominik/0009-0008-1999-6465; Maldonado, Alba/0000-0003-2430-6015</t>
  </si>
  <si>
    <t>2073-4360</t>
  </si>
  <si>
    <t>10.3390/polym16060853</t>
  </si>
  <si>
    <t>WOS:001193454000001</t>
  </si>
  <si>
    <t>Ulloa-Suazo, S; Valdebenito, PM; Riquelme-Uribe, D</t>
  </si>
  <si>
    <t>Ulloa-Suazo, Sebastian; Valdebenito, Paulina Moreno; Riquelme-Uribe, Daniel</t>
  </si>
  <si>
    <t>Teaching strategies in physical education classes and autism spectrum disorder: a systematic review</t>
  </si>
  <si>
    <t>The aim is to analyze studies related to teaching strategies in physical education classes and autism spectrum disorder. To this end, a systematic review was carried out following the PICO and PRISMA guidelines. Three indexed articles were selected from PubMed, Epistemonikos, ERIC, Web of Science, Taylor &amp; Francis and Dialnet databases. Physical activity of students with ASD was positively related to social interaction with their peers. Applications such as Fitbit (c) generated greater interest in the number of daily steps, pictograms explanatory tasks, modelling, the introduction of topics of their interests, improving participation. To put it concisely, the teaching strategies do not allow to delimit a significant achievement, as they do not report results in the medium and long term. However, they allow us to generate sediments for research on the subject and a way to approach students with ASD in the classroom.</t>
  </si>
  <si>
    <t>Riquelme-Uribe, Daniel/HPF-3181-2023</t>
  </si>
  <si>
    <t>WOS:001316547600001</t>
  </si>
  <si>
    <t>Open quantum dynamics of strongly coupled oscillators with multi-configuration time-dependent Hartree propagation and Markovian quantum jumps</t>
  </si>
  <si>
    <t>Modeling the non-equilibrium dissipative dynamics of strongly interacting quantized degrees of freedom is a fundamental problem in several branches of physics and chemistry. We implement a quantum state trajectory scheme for solving Lindblad quantum master equations that describe coherent and dissipative processes for a set of strongly coupled quantized oscillators. The scheme involves a sequence of stochastic quantum jumps with transition probabilities determined by the system state and the system-reservoir dynamics. Between consecutive jumps, the wave function is propagated in a coordinate space using the multi-configuration time-dependent Hartree method. We compare this hybrid propagation methodology with exact Liouville space solutions for physical systems of interest in cavity quantum electrodynamics, demonstrating accurate results for experimentally relevant observables using a tractable number of quantum trajectories. We show the potential for solving the dissipative dynamics of finite size arrays of strongly interacting quantized oscillators with high excitation densities, a scenario that is challenging for conventional density matrix propagators due to the large dimensionality of the underlying Hilbert space.</t>
  </si>
  <si>
    <t>Triana, Johan/HSH-5400-2023; Herrera, Felipe/KHD-8453-2024; Triana, Johan F./AAU-9985-2021</t>
  </si>
  <si>
    <t>10.1063/5.0119293</t>
  </si>
  <si>
    <t>WOS:001146468100001</t>
  </si>
  <si>
    <t>Mera-Adasme, R; Moraga, D; Medina, R; Dominguez, M</t>
  </si>
  <si>
    <t>Mera-Adasme, Raul; Moraga, Daniela; Medina, Rodrigo; Dominguez, Moises</t>
  </si>
  <si>
    <t>Mapping the solute-solvent interactions for the interpretation of the three types of solvatochromism exhibited by phenolate-based dyes</t>
  </si>
  <si>
    <t>We report the correlation between the hydrogen-bond donor acidity SA, the hydrogen-bond acceptor basicity SB, the solvent polarizability SP, and solvent dipolarity SdP with the type of solvatochromism exhibited by phenolates dyes. We use Catalan's multiparametric regression analysis of three sets of dyes exhibiting negative, inverted, and positive solvatochromism. We show that these three types of behavior can be differentiated by the solute-solvent interaction these dyes established in solution. Negative solvatochromic dyes exhibit a more robust response to SA than SdP, whereas SP is an essential solvent property for positive and inverted solvatochromic dyes. Our results can be rationalized for the sake of the structural features required for a particular kind of solvatochromism to take place; this is illustrated with selected examples where the introduction of atoms with a + M mesomeric effect or the increase in annulation of the dyes, decrease the SA and SdP sensitivity and increase the SP sensitivity of the dyes, and ultimately control the solvatochromism exhibited from a negative to an inverted or from an inverted to positive behavior. (C) 2022 Elsevier B.V. All rights reserved.</t>
  </si>
  <si>
    <t>Domínguez, Moisés/P-2227-2019; Munoz, Daniel/IXD-6516-2023</t>
  </si>
  <si>
    <t>10.1016/j.molliq.2022.119302</t>
  </si>
  <si>
    <t>MAY 2022</t>
  </si>
  <si>
    <t>WOS:000803787600005</t>
  </si>
  <si>
    <t>Villalobos-Cid, M; Rivera, C; Kessi-Pérez, EI; Inostroza-Ponta, M</t>
  </si>
  <si>
    <t>Villalobos-Cid, Manuel; Rivera, Cesar; Kessi-Perez, Eduardo I.; Inostroza-Ponta, Mario</t>
  </si>
  <si>
    <t>A multi-modal algorithm based on an NSGA-II scheme for phylogenetic tree inference</t>
  </si>
  <si>
    <t>BIOSYSTEMS</t>
  </si>
  <si>
    <t>The analysis of evolutionary data allows uncovering information about the organisms and how they have adapted and evolved. This information could provide us with new insights about the specialisation of organisms (or part of them), how they adapt, how similar they are with other species, among others. Unfortunately, this evolutionary history can only be estimated, and for that, several computational methods exist. Among the methods, optimisation methods are one of the main approaches to deal with this problem, with multiobjective optimisation producing promising results. In this paper, we deal with multiobjective phylogenetic inference, using a multi-modal metaheuristic approach that exploits the decision space in the multiobjective formulation of the problem. In particular, we incorporate a new metric based on a topological tree distance. We compare the method with state of the art algorithms in terms of performance. Additionally, we perform a thorough analysis of a study case on a yeast Saccharomyces cerevisiae dataset. Results show that our proposal is able to improve the diversity of solutions while improving or keeping the quality of solutions in terms of hypervolume.</t>
  </si>
  <si>
    <t>Rivera, César/AFL-7931-2022; Inostroza-Ponta, Mario/G-7548-2012; Villalobos-Cid, Manuel/AFK-0866-2022; Kessi, Eduardo/AAI-2566-2019</t>
  </si>
  <si>
    <t>Villalobos-Cid, Manuel/0000-0002-1145-2016; Rivera Morales, Cesar/0000-0003-3348-5465; Kessi, Eduardo/0000-0003-4225-9486</t>
  </si>
  <si>
    <t>0303-2647</t>
  </si>
  <si>
    <t>1872-8324</t>
  </si>
  <si>
    <t>10.1016/j.biosystems.2022.104606</t>
  </si>
  <si>
    <t>JAN 2022</t>
  </si>
  <si>
    <t>WOS:000782154100005</t>
  </si>
  <si>
    <t>Hernández, J; Ruiz, D</t>
  </si>
  <si>
    <t>Hernandez, Jose; Ruiz, Daniel</t>
  </si>
  <si>
    <t>Removal of chloride ions from a copper leaching solution, using electrodialysis, to improve the uranium extraction through ion-exchange</t>
  </si>
  <si>
    <t>JOURNAL OF HAZARDOUS MATERIALS</t>
  </si>
  <si>
    <t>This study shows the technical feasibility to recover uranium from copper Pregnant Leaching Solutions (PLS) using ion-exchange, after a removal of chloride ions using the electrodialysis (ED) technique. The original copper PLS solutions came from the National Copper Corporation (CODELCO), from their hydrometallurgical operations, which contained high concentrations of chloride ions. These solutions contained average concentrations of 22 g/L chloride ions, pH 1.5 - 1.8 and 20 mg/L uranium. The high chloride contents made the uranium recovery technically unfeasible, because of the high volumes of chemical reagents needed to operate. To eliminate the chloride ions selectively, a modified electrodialysis (ED) process was developed. The ED process was made of a three-compartment cell. This system removed selectively the chloride ions, and replaced them with sulphuric ions, without modifying the composition of the copper PLS solution, to allow a continuous operation of the copper production plant. The ED process decreased the chloride content from 22 g/L to 6 g/L. Finally, static and dynamic load tests were performed for both the original PLS and the treated PLS, using 3 different anionexchange resins: Dowex-1, Lewatit A365 and Lewatit MP62-WS. The loading capacity of the ion-exchange resins was increased 4 times approximately.</t>
  </si>
  <si>
    <t>0304-3894</t>
  </si>
  <si>
    <t>1873-3336</t>
  </si>
  <si>
    <t>10.1016/j.jhazmat.2021.126582</t>
  </si>
  <si>
    <t>JUL 2021</t>
  </si>
  <si>
    <t>WOS:000696944300006</t>
  </si>
  <si>
    <t>Fredes, P; Raff, U; Gramsch, E</t>
  </si>
  <si>
    <t>Clark, PP; Pfisterer, RN; Rehn, H; Thibault, S</t>
  </si>
  <si>
    <t>Fredes, Pablo; Raff, Ulrich; Gramsch, Ernesto</t>
  </si>
  <si>
    <t>Optical Considerations for Design of Surface Disinfection Devices Based on UV-C LEDs</t>
  </si>
  <si>
    <t>INTERNATIONAL OPTICAL DESIGN CONFERENCE 2021</t>
  </si>
  <si>
    <t>International Optical Design Conference (IODC)</t>
  </si>
  <si>
    <t>JUN 27-JUL 01, 2021</t>
  </si>
  <si>
    <t>Washington, DC</t>
  </si>
  <si>
    <t>Optica,Soc Advancing Opt &amp; Photon Worldwide</t>
  </si>
  <si>
    <t>Due to a serious pandemic scenario. the surface disinfection process using monochromatic light sources based on UV-C LEDs is becoming more and more required. A brief review of the optoelectronics parameters of the devices based on UV-C LEDs light sources and the UV-C dose required to achieve a 99.9% of inactivation on surfaces (3 log reduction) of human Coronavims (HCov-OC=13 used as SARS-CoV-2 surrogate) has been prepared. A new parameter labeled as homogeneity factor - has been defined to be applied on a bounded arca where the homogeneity of the distribution requires a reliable average dose.</t>
  </si>
  <si>
    <t>Gramsch, Ernesto/M-5507-2017; Fredes, Pablo/AAK-3434-2020</t>
  </si>
  <si>
    <t>Fredes, Pablo/0000-0002-4546-5245</t>
  </si>
  <si>
    <t>978-1-5106-5031-2; 978-1-5106-5030-5</t>
  </si>
  <si>
    <t>120780E</t>
  </si>
  <si>
    <t>10.1117/12.2603623</t>
  </si>
  <si>
    <t>WOS:000797309200010</t>
  </si>
  <si>
    <t>Fenoglio, D; Madrid, DS; Moyano, JA; Ferrario, M; Guerrero, S; Matiacevich, S</t>
  </si>
  <si>
    <t>Fenoglio, Daniela; Soto Madrid, Daniela; Alarcon Moyano, Jessica; Ferrario, Mariana; Guerrero, Sandra; Matiacevich, Silvia</t>
  </si>
  <si>
    <t>Active food additive based on encapsulated yerba mate (Ilex paraguariensis) extract: effect of drying methods on the oxidative stability of a real food matrix (mayonnaise)</t>
  </si>
  <si>
    <t>JOURNAL OF FOOD SCIENCE AND TECHNOLOGY-MYSORE</t>
  </si>
  <si>
    <t>The drying process used to obtain active food additives is critical to ensure its functionality. In this study, freeze- and spray-drying techniques were evaluated for encapsulation of extracts with antioxidant activity from yerba mate (Ilex paraguariensis), using maltodextrin (MD) as wall material. Additionally, the oxidative stability in a real food matrix (mayonnaise) was assessed. Both MD addition and drying methods affected the physical properties [moisture content, water activity (a(W))] and oxidative stability. MD addition diminished moisture content and prevented polyphenol compounds from degradation. The spray-dried powders displayed the lowest moisture content (1.6 +/- 0.3% bs), the highest polyphenol content (135.4 mg GAE/g pure extract), and oxidative stability than the freeze-dried samples. The antioxidant capacity of the encapsulated powder subjected to spray-drying increased the oxidative stability of the mayonnaise (258 +/- 32 min) more than the other assayed system (165 +/- 5 min). Therefore, a natural spray-dried antioxidant food additive was obtained with potential use in the food industry.</t>
  </si>
  <si>
    <t>Soto Madrid, Daniela Paz/GSD-5684-2022; Guerrero, Sandra/HCH-4820-2022; FENOGLIO, Daniela/I-7220-2018</t>
  </si>
  <si>
    <t>GUERRERO, SANDRA NORMA/0000-0002-9947-6054; Soto Madrid, Daniela/0000-0002-4701-5678; Alarcon Moyano, Jessica Katherine/0000-0003-3262-4312; GUERRERO, SANDRA/0000-0002-4954-9024; FENOGLIO, Daniela/0000-0001-9532-6473</t>
  </si>
  <si>
    <t>0022-1155</t>
  </si>
  <si>
    <t>0975-8402</t>
  </si>
  <si>
    <t>10.1007/s13197-020-04669-y</t>
  </si>
  <si>
    <t>AUG 2020</t>
  </si>
  <si>
    <t>WOS:000562707600002</t>
  </si>
  <si>
    <t>Rojas, RAV; Avendaño, CV</t>
  </si>
  <si>
    <t>Vidal Rojas, Rodrigo Alejandro; Vera Avendano, Constanza</t>
  </si>
  <si>
    <t>How the Color of a Classroom Influences Learning Outcomes in 3rd Grade Primary Education: A Comparative study in a Private Subsidized School in Santiago, Chile</t>
  </si>
  <si>
    <t>REVISTA EDUCACION</t>
  </si>
  <si>
    <t>Conditions related to how habitable classrooms were at a school in the commune of La Florida, Chile were analyzed and assessed. The purpose of the study is to measure how color and lighting impacts the performance of 3rd grade primary school students a Their minimal changes were made to classrooms. The study design was partially cross-sectional and correlational which facilitated collection of academic performance data to be collected so as to better understand the causal relationship between classroom color and learning. A prototype technique was used through which an actual classroom was remodeled and the results measured in two manners. Results were compared among students in the Math and Language class, before and a Ther the classroom was remodeled. The same results of the students were compared in the remodeled classroom with students at the same grade level in a conventional classroom. The study revealed that an appropriate and focused complementary color combinations in the classroom help stimulate and improve student learning, in disadvantageous conditions where conventional classrooms cannot afford significant remodeling. Overall improvement in student learning requires classroom environments that incorporate elements to make classrooms more conducive to learning.</t>
  </si>
  <si>
    <t>Vidal Rojas, Rodrigo/0000-0002-3037-7883</t>
  </si>
  <si>
    <t>0379-7082</t>
  </si>
  <si>
    <t>2215-2644</t>
  </si>
  <si>
    <t>10.15517/revedu.v44i2.37283</t>
  </si>
  <si>
    <t>WOS:000546442400007</t>
  </si>
  <si>
    <t>de Dicastillo, CL; Piña, C; Garrido, L; Arancibia, C; Galotto, MJ</t>
  </si>
  <si>
    <t>Lopez de Dicastillo, Carol; Pina, Constanza; Garrido, Luan; Arancibia, Carla; Jose Galotto, Maria</t>
  </si>
  <si>
    <t>Enhancing Thermal Stability and Bioaccesibility of Acai Fruit Polyphenols through Electrohydrodynamic Encapsulation into Zein Electrosprayed Particles</t>
  </si>
  <si>
    <t>ANTIOXIDANTS</t>
  </si>
  <si>
    <t>The acai fruit (Euterpe oleracea Mart.) is well known for its high content of antioxidant compounds, especially anthocyanins, which provide beneficial health properties. The incorporation of this fruit is limited to food products whose processing does not involve the use of high temperatures due to the low thermal stability of these functional components. The objective of this work was the encapsulation of acai fruit antioxidants into electrosprayed zein, a heat-resistant protein, to improve their bioavailability and thermal resistance. First, the hydroalcoholic acai extract was selected due to its high polyphenolic content and antioxidant capacities, and, subsequently, it was successfully encapsulated in electrosprayed zein particles. Scanning electron microscopy studies revealed that the resulting particles presented cavities with an average size of 924 nm. Structural characterization by Fourier transform infrared spectroscopy revealed certain chemical interaction between the active compounds and zein. Encapsulation efficiency was approximately 70%. Results demonstrated the effectiveness of the encapsulated extract on protecting polyphenolic content after high-temperature treatments, such as sterilization (121 degrees C) and baking (180 degrees C). Bioaccesibility studies also indicated an increase of polyphenols presence after in vitro digestion stages of encapsulated acai fruit extract in contrast with the unprotected extract.</t>
  </si>
  <si>
    <t>Arancibia, Carla/AAN-2290-2020; Lopez-de-Dicastillo, Carol/C-6347-2019</t>
  </si>
  <si>
    <t>Lopez-de-Dicastillo, Carol/0000-0003-0067-9765</t>
  </si>
  <si>
    <t>2076-3921</t>
  </si>
  <si>
    <t>10.3390/antiox8100464</t>
  </si>
  <si>
    <t>WOS:000500759900047</t>
  </si>
  <si>
    <t>Analysis and Evaluation of Radio Mobile program on Line of Sight paths, with SRTM and ASTER DTEDs and its v11.6.6/v9.1.6 versions</t>
  </si>
  <si>
    <t>This paper is submitted as a continuation of a paper presented by the authors in IEEE-ACCA.- Concepcion 2018, addresses an unexpected outcome on the propagation simulations on 24 Line of Sight TV links in Santiago, performed with last version of the freeware Radio Mobile and SRTM1 elevation data. Most of those links behave as having a high reflection level not consistent with the characteristic of the profiles involved. On a search for an answer, links and terrain parameters were deeply analyzed but still not explaining the discrepancies. Further analysis and simulations were performed involving ASTER, another compatible digital elevation data and later with a previous propagation model of Radio Mobile. Partial answers were obtained which are duly explained but still further work is required, including the author of Radio Mobile program.</t>
  </si>
  <si>
    <t>WOS:000542919100116</t>
  </si>
  <si>
    <t>Lopez, JN</t>
  </si>
  <si>
    <t>Navarro Lopez, Jorge</t>
  </si>
  <si>
    <t>Party, alcohol and popular entertainment. Criticism and festive practices of the Socialist Workers Party (Chile, 1912-1922)</t>
  </si>
  <si>
    <t>With the aim of amplifying the focus on worker politization and to contribute to the cultural history of workers, this article first analyzes the critical position of the Socialist Workers Party regarding the consumption of alcohol among the working class. Since their critique looked to modify the cultural patterns that they understood as obstacles for worker's emancipation. Secondly, it examines the display of alternative entertainment practices that this party implemented between 1912 and 1922 with the intention to provide celebratory experiences to working-class families to help them overcome exploitative conditions. This article sustains the hypothesis that between popular culture and socialist culture existed a conflictive relationship due to the contradictions between working-class customs and the illustrated worker speech. This proposal is analyzed starting from the revision of partisan periodicals.</t>
  </si>
  <si>
    <t>0717-7194</t>
  </si>
  <si>
    <t>WOS:000481651900003</t>
  </si>
  <si>
    <t>Tapia, PC</t>
  </si>
  <si>
    <t>Tapia, PC; Vargas, S</t>
  </si>
  <si>
    <t>Canales Tapia, Pedro</t>
  </si>
  <si>
    <t>Indigenous Thinking in Our America Debates and Proposals on the Table of Today Introduction</t>
  </si>
  <si>
    <t>PENSAMIENTO INDIGENA EN NUESTRAMERICA: DEBATES Y PROPUESTAS EN LA MESA DE HOY</t>
  </si>
  <si>
    <t>978-956-8416-66-9</t>
  </si>
  <si>
    <t>WOS:000450064500002</t>
  </si>
  <si>
    <t>Alburquenque, D; Del Canto, M; Arenas, C; Tejo, F; Pereira, A; Escrig, J</t>
  </si>
  <si>
    <t>Alburquenque, Daniela; Del Canto, Marcela; Arenas, Claudia; Tejo, Felipe; Pereira, Alejandro; Escrig, Juan</t>
  </si>
  <si>
    <t>Dewetting of Ni thin films obtained by atomic layer deposition due to the thermal reduction process: Variation of the thicknesses</t>
  </si>
  <si>
    <t>THIN SOLID FILMS</t>
  </si>
  <si>
    <t>Nickel oxide thin films with different thicknesses were synthesized by atomic layer deposition. After a thermal reduction process, under a controlled atmosphere of hydrogen, it was possible to convert nickel oxide to metallic nickel. The different thicknesses were obtained for 250 to 2000 cycles of NiCp2/O-3. The Ni thin films were characterized by X-ray diffraction, scanning electron microscopy, and by Magneto-Optical Kerr effect measurements. Micromagnetic simulations have been performed to investigate the mechanism of magnetization reversion of these films. Interestingly, the thermal reduction of films synthesized by ALD allows the generation of both randomly oriented, sized and spaced Ni islands and antidot arrays from thin films. (C) 2017 Elsevier B.V. All rights reserved.</t>
  </si>
  <si>
    <t>Pereira, Alejandro/X-7172-2018; Tejo, Felipe/IUQ-0578-2023; Escrig, Juan/N-4304-2015</t>
  </si>
  <si>
    <t>Tejo Lazo, Felipe Tejo/0000-0001-7457-7281; Pereira Abarca, Alejandro/0000-0002-4473-0852; Alburquenque, Daniela/0000-0001-9236-3308; Escrig, Juan/0000-0002-3958-8185</t>
  </si>
  <si>
    <t>0040-6090</t>
  </si>
  <si>
    <t>SEP 30</t>
  </si>
  <si>
    <t>10.1016/j.tsf.2017.07.041</t>
  </si>
  <si>
    <t>WOS:000411775900015</t>
  </si>
  <si>
    <t>Cárdenas-López, FA; Albarrán-Arriagada, F; Barrios, GA; Retamal, JC; Romero, G</t>
  </si>
  <si>
    <t>Cardenas-Lopez, F. A.; Albarran-Arriagada, F.; Alvarado Barrios, G.; Retamal, J. C.; Romero, G.</t>
  </si>
  <si>
    <t>Incoherent-mediator for quantum state transfer in the ultrastrong coupling regime</t>
  </si>
  <si>
    <t>We study quantum state transfer between two qubits coupled to a common quantum bus that is constituted by an ultrastrong coupled light-matter system. By tuning both qubit frequencies on resonance with a forbidden transition in the mediating system, we demonstrate a high-fidelity swap operation even though the quantum bus is thermally populated. We discuss a possible physical implementation in a realistic circuit QED scheme that leads to the multimode Dicke model. This proposal may have applications on hot quantum information processing within the context of ultrastrong coupling regime of light-matter interaction.</t>
  </si>
  <si>
    <t>Retamal, Juan/G-6425-2010; Cárdenas López, Francisco/IXN-4622-2023; Alvarado, Gabriel/GLS-6513-2022; Romero, Guillermo/C-8245-2009</t>
  </si>
  <si>
    <t>Romero, Guillermo/0000-0003-2917-7814; Cardenas, Francisco/0000-0002-2916-2826; /0000-0002-8684-4209; Retamal Abarzua, Juan Carlos/0000-0002-7174-7879; Albarran-Arriagada, Francisco/0000-0001-8899-3673</t>
  </si>
  <si>
    <t>JUN 23</t>
  </si>
  <si>
    <t>10.1038/s41598-017-04467-1</t>
  </si>
  <si>
    <t>WOS:000404118700048</t>
  </si>
  <si>
    <t>Letelier, MF; Siginer, DA; Godoy, F; Rosas, C</t>
  </si>
  <si>
    <t>Letelier, Mario F.; Siginer, Dennis A.; Godoy, Felipe; Rosas, Cesar</t>
  </si>
  <si>
    <t>HERSCHEL-BULKLEY VISCOPLASTIC FLOW IN TUBES OF NON-CIRCULAR CROSS-SECTION</t>
  </si>
  <si>
    <t>PROCEEDINGS OF THE ASME FLUIDS ENGINEERING DIVISION SUMMER MEETING, 2016, VOL 1B</t>
  </si>
  <si>
    <t>ASME Fluids Engineering Division Summer Meeting</t>
  </si>
  <si>
    <t>JUL 10-14, 2016</t>
  </si>
  <si>
    <t>ASME, Fluids Engn Div</t>
  </si>
  <si>
    <t>Flow of a Herschel-Bulkley (H-B) fluid in tubes of non circular cross-section in investigated analytically. This study complements results presented in [1] where the equation of motion was solved in tubes of arbitrary cross-section for Bingham type of fluids, and the shapes of plug zones centered on the tube axis and stagnant zones attached to the corners were predicted when the cross-section is triangular and square. In this paper we investigate the effect of the power index in the H-B model on the flow for values greater and lesser than unity, considering thus the shear-thinning and shear-thickening effects, which could not be accounted for with the Bingham model. The equation of motion is solved when the cross-section is an equilateral triangle or a square by means of the shape factor method previously introduced in [2]. Thus, shear thickening and shear-thinning effects are accounted for and related to the tube geometry in predicting the existence and the extent of undeformed regions in the flow field.</t>
  </si>
  <si>
    <t>1093-4928</t>
  </si>
  <si>
    <t>978-0-7918-5029-9</t>
  </si>
  <si>
    <t>V01BT34A001</t>
  </si>
  <si>
    <t>WOS:000392355300088</t>
  </si>
  <si>
    <t>Mendoza, L; Espinoza, P; Urzua, A; Vivanco, M; Cotoras, M</t>
  </si>
  <si>
    <t>Mendoza, Leonora; Espinoza, Pamela; Urzua, Alejandro; Vivanco, Marcela; Cotoras, Milena</t>
  </si>
  <si>
    <t>In Vitro Antifungal Activity of the Diterpenoid 7α-Hydroxy-8(17)-labden-15-oic Acid and Its Derivatives against Botrytis cinerea</t>
  </si>
  <si>
    <t>We investigated the inhibitory effect of the natural diterpenoids, 7 alpha-hydroxy-8(17)-labden-15-oic acid (salvic acid, 1), 7 alpha-acetanoyloxy-8(17)-labden-15-oic acid (acetylsalvic acid, 2) and the hemisynthetic diterpenoids 7 alpha-acyloxy-8(17)-labden-15-oic acids derivatives, 7 alpha-propanoyloxy-8(17)-labden-15-oic acid (propanoylsalvic acid, 3), 7 alpha-butanoyloxy-8(17)-labden-15-oic acid (butanoylsalvic acid, 4) and 7 alpha-isopentanoyloxy-8(17)-labden-15-oic acid (isopentanoylsalvic acid, 5), against Botrytis cinerea. Diterpenoid fungitoxicity was assessed using the radial growth test method. All diterpenoids, with the exception of isopentenoylsalvic acid, inhibited the mycelial growth of B. cinerea in solid media. Shortest side-chain diterpenoids were more effective than the derivatives with longer chains in the inhibition of B. cinerea mycelial growth. The results suggest that hydrophobicity and structural features would be important factors in the antifungal effect of these diterpenoids. Studies on a possible action mechanism of natural diterpenoids, salvic acid and acetylsalvic acid, showed that these diterpenoids exerted their effect by a different mechanism. Salvic acid did not alter cytoplasmic membrane or cause respiratory chain inhibition. Instead, acetylsalvic acid affected the cytoplasmic membrane producing leakage of 260-nm absorbing compounds.</t>
  </si>
  <si>
    <t>10.3390/molecules14061966</t>
  </si>
  <si>
    <t>WOS:000267339500001</t>
  </si>
  <si>
    <t>Godoy, L; Martínez, C; Carrasco, N; Ganga, MA</t>
  </si>
  <si>
    <t>Godoy, Liliana; Martinez, Claudio; Carrasco, Nelson; Angelica Ganga, Maria</t>
  </si>
  <si>
    <t>Purification and characterization of a p-coumarate decarboxylase and a vinylphenol reductase from Brettanomyces bruxellensis</t>
  </si>
  <si>
    <t>INTERNATIONAL JOURNAL OF FOOD MICROBIOLOGY</t>
  </si>
  <si>
    <t>The presence of Brettanomyces bruxellensis has been correlated with an increase of phenolic aromas in wine. The production of these aromas results from the metabolization of cinnamic acids, present in the wine, to their ethyl derivatives. Hence, the participation of two enzymes has been proposed: a p-coumarate decarboxylase (CD) and a vinylphenol reductase (VR). Both enzymes were purified and characterized from B. bruxellensis. In denaturing conditions, the CD enzyme had a molecular mass of 21 kDa, while in native conditions its mass was 41 kDa. The optimal activity was obtained at a temperature of 40 degrees C and a pH of 6.0. For p-coumaric acid, the K-m value and V-max were 1.22 +/- 0.08 mM and 98 +/- 0.15 mu mol/min mg, respectively. The VR enzyme had a molecular mass of 37 kDa in SIDS-PAGE, while in natural conditions its mass was 118 kDa. The K-m value was&gt;3.37 +/- 2.05 mM and its V-max was 107.62 +/- 50.38 mu mol/min mg for NADPH used as a cofactor. Both enzymatic activities were stable at pH 3.4, but in the presence of ethanol the CD activity decreased drastically while the VR activity was more stable. This is the first report that shows the presence of a CD and a VR enzyme in B. bruxellensis. (C) 2008 Elsevier B.V. All rights reserved.</t>
  </si>
  <si>
    <t>Martinez, Claudio/MGS-9961-2025; Ganga, Maria/S-8176-2019; Olivares, Liliana/AAB-6276-2020</t>
  </si>
  <si>
    <t>Martinez, Claudio/0000-0001-8564-9287; Godoy Olivares, Liliana/0000-0001-5110-5978</t>
  </si>
  <si>
    <t>0168-1605</t>
  </si>
  <si>
    <t>1879-3460</t>
  </si>
  <si>
    <t>10.1016/j.ijfoodmicro.2008.05.011</t>
  </si>
  <si>
    <t>WOS:000259771300002</t>
  </si>
  <si>
    <t>Miskovic, O; Zanelli, J</t>
  </si>
  <si>
    <t>Dynamical structure of irregular constrained systems</t>
  </si>
  <si>
    <t>Hamiltonian systems with functionally dependent constraints (irregular systems), for which the standard Dirac procedure is not directly applicable, are discussed. They are classified according to their behavior in the vicinity of the constraint surface into two fundamental types. If the irregular constraints are multilinear (type I), then it is possible to regularize the system so that the Hamiltonian and Lagrangian descriptions are equivalent. When the constraints are power of a linear function (type II), regularization is not always possible and the Hamiltonian and Lagrangian descriptions may be dynamically inequivalent. It is shown that the inequivalence between the two formalisms can occur if the kinetic energy is an indefinite quadratic form in the velocities. It is also shown that a system of type I can evolve in time from a regular configuration into an irregular one, without any catastrophic changes. Irregularities have important consequences in the linearized approximation to nonlinear theories, as well as for the quantization of such systems. The relevance of these problems to Chern-Simons theories in higher dimensions is discussed.(C) 2003 American Institute of Physics.</t>
  </si>
  <si>
    <t>Miskovic, Olivera/A-5382-2012</t>
  </si>
  <si>
    <t>Miskovic, Olivera/0000-0002-5027-9631</t>
  </si>
  <si>
    <t>1089-7658</t>
  </si>
  <si>
    <t>10.1063/1.1601299</t>
  </si>
  <si>
    <t>WOS:000184899500013</t>
  </si>
  <si>
    <t>Ureta-Zañartu, MS; Berríos, C; Pavez, J; Zagal, JH</t>
  </si>
  <si>
    <t>Comninellis, C; Doyle, M; Winnick, J</t>
  </si>
  <si>
    <t>Electrochemical oxidation of chloro-phenols on glassy carbon and ITO electrodes modified with Ni-tetrasulfophthalocyanine</t>
  </si>
  <si>
    <t>ENERGY AND ELECTROCHEMICAL PROCESSES FOR A CLEANER ENVIRONMENT, PROCEEDINGS</t>
  </si>
  <si>
    <t>Electrochemical Society Series</t>
  </si>
  <si>
    <t>International Symposium on Energy and Electrochemical Processes for a Cleaner Environment</t>
  </si>
  <si>
    <t>SEP 04-06, 2001</t>
  </si>
  <si>
    <t>SAN FRANCISCO, CA</t>
  </si>
  <si>
    <t>Electrochem Soc, Energy Technol Div</t>
  </si>
  <si>
    <t>The electrooxidation of 2- and 4- chlorophenols (2-CP and 4-CP) on poly-nickel tetrasulfophthalocyanine (poly-NiTSPc) modified glassy carbon (GC) and ITO electrodes was studied by cyclic voltammetry and spectroelectrochemistry. The results obtained indicate that the GC and ITO modified electrodes show mild catalytic activity to the 2- and 4-CPs oxidation but substantially decrease the passivation of the electrode, compared with the bare electrodes. The mechanism of oxidation of both CP is different, being higher the polymerization rate for 2-CP.</t>
  </si>
  <si>
    <t>Ureta-Zañartu, Maria/G-5239-2019; zagal, jose/L-9648-2014</t>
  </si>
  <si>
    <t>0275-0171</t>
  </si>
  <si>
    <t>1-56677-356-3</t>
  </si>
  <si>
    <t>WOS:000186760400041</t>
  </si>
  <si>
    <t>Galdames, JS; Rezende, MC</t>
  </si>
  <si>
    <t>The preparation and solvatochromic properties of vinylogous α-pyridones</t>
  </si>
  <si>
    <t>JOURNAL OF CHEMICAL RESEARCH</t>
  </si>
  <si>
    <t>The preparation and the solvatochromic properties of the dyes 4 are described.</t>
  </si>
  <si>
    <t>1747-5198</t>
  </si>
  <si>
    <t>10.1039/a705480g</t>
  </si>
  <si>
    <t>WOS:000074217000002</t>
  </si>
  <si>
    <t>GAMBOA, J; ZANELLI, J</t>
  </si>
  <si>
    <t>ANYONS IN 1+1-DIMENSIONS</t>
  </si>
  <si>
    <t>PHYSICS LETTERS B</t>
  </si>
  <si>
    <t>The possibility of excitations with fractional spin and statistics in 1 + 1 dimensions is explored. The configuration space of a two-particle system is the half-line. This makes the Hamiltonian self-adjoint for a family of boundary conditions parametrized by one real number gamma. The limit gamma --&gt; 0 (infinity) reproduces the propagator of non-relativistic particles whose wavefunctions are even (odd) under particle exchange. A relativistic ansatz is also proposed which reproduces the correct Polyakov spin factor for the spinning particle in 1 + 1 dimensions. These checks support the validity of the interpretation of gamma as a parameter related to the ''spin'' that interpolates continuously between bosons (gamma = 0) and fermions (gamma = infinity). Our approach can thus be useful for obtaining the propagator for one-dimensional anyons.</t>
  </si>
  <si>
    <t>Gamboa, Jorge/R-8744-2019; Gamboa, Jorge/E-5879-2010</t>
  </si>
  <si>
    <t>Gamboa, Jorge/0000-0002-4204-7670</t>
  </si>
  <si>
    <t>0370-2693</t>
  </si>
  <si>
    <t>1873-2445</t>
  </si>
  <si>
    <t>AUG 31</t>
  </si>
  <si>
    <t>10.1016/0370-2693(95)00863-G</t>
  </si>
  <si>
    <t>WOS:A1995RT33400021</t>
  </si>
  <si>
    <t>ON THE USE OF THE QUENCHING OF LUMINOL LUMINESCENCE TO EVALUATE SOD ACTIVITY</t>
  </si>
  <si>
    <t>Addition of horseradish peroxidase to a luminol solution (pH = 9.4) produces a burst of light followed by a steady luminescence that lasts for several minutes. This steady-state luminescence is readily quenched by SOD, with a Q1/2 concentration (the additive concentration needed to decrease by one-half the emitted luminescence intensity) of c.a. 4 ng/ml (14 mU/ml). The luminescence intensity decrease can then be employed to evaluate SOD activity in SOD-containing samples. However, the light intensity can also be quenched by additives, such as Trolox, that are able to trap luminol-derived intermediates. It is proposed that double quenching experiments must be performed in order to be able to relate the observed effect of an additive to its SOD-like activity.</t>
  </si>
  <si>
    <t>10.1016/0891-5849(94)90200-3</t>
  </si>
  <si>
    <t>WOS:A1994NL95100019</t>
  </si>
  <si>
    <t>YERKOVIC, C; MENACHO, J; GAETE, L</t>
  </si>
  <si>
    <t>EXPLORING THE ULTRASONIC COMMINUTION OF COPPER ORES</t>
  </si>
  <si>
    <t>This paper presents grinding results obtained with a Chilean porphyry copper ore in the ultrasonic nip roll grinder of the US Comminution Center. Comparison with ball milling is performed by scaling-down industrial ball mill behavior to the ultrasonic grinding conditions. For small gap setting in the ultrasonic device, size distribution and specific energy consumption are in the same order of magnitude for both alternatives, but for larger openings in this ultrasonic prototype, the ball mill is much more efficient. Current design of the ultrasonic device is analysed and reasons why oversize and undersize particles are not well fractured are discussed. In spite of the current limitations, it is concluded that there is great potential to improve its performance.</t>
  </si>
  <si>
    <t>10.1016/0892-6875(93)90115-4</t>
  </si>
  <si>
    <t>WOS:A1993LH30100006</t>
  </si>
  <si>
    <t>VARGAS, P; PISANTY, A</t>
  </si>
  <si>
    <t>THE ELECTRONIC-STRUCTURE OF VH, NBH AND TAH IN THE BETA-PHASE</t>
  </si>
  <si>
    <t>ZEITSCHRIFT FUR PHYSIKALISCHE CHEMIE NEUE FOLGE</t>
  </si>
  <si>
    <t>Vargas, Patricio/AAL-2633-2020</t>
  </si>
  <si>
    <t>vargas, patricio/0000-0001-9235-9747</t>
  </si>
  <si>
    <t>0044-3336</t>
  </si>
  <si>
    <t>10.1524/zpch.1989.163.Part_2.0521</t>
  </si>
  <si>
    <t>WOS:A1989AZ51800033</t>
  </si>
  <si>
    <t>Benson, A; Palencia, JLD; Valenzuela, ED; Reyes, EG</t>
  </si>
  <si>
    <t>Benson, Arturo; Palencia, Jose Luis Diaz; Valenzuela, Eduardo Diaz; Reyes, Enrique G.</t>
  </si>
  <si>
    <t>The integrable Rosenau-Hyman equations: analysis, symmetries, and their geometric content</t>
  </si>
  <si>
    <t>ZEITSCHRIFT FUR ANGEWANDTE MATHEMATIK UND PHYSIK</t>
  </si>
  <si>
    <t>We analyse the eleven integrable equations of the Rosenau-Hyman (RH) family Dt(u)+Dx(um)+Dx3(un)=0,n,m is an element of Q.\documentclass[12pt]{minimal} \usepackage{amsmath} \usepackage{wasysym} \usepackage{amsfonts} \usepackage{amssymb} \usepackage{amsbsy} \usepackage{mathrsfs} \usepackage{upgreek} \setlength{\oddsidemargin}{-69pt} \begin{document}$$\begin{aligned} D_t(u)+D_x(u&lt;^&gt;m)+D_x&lt;^&gt;3(u&lt;^&gt;n)=0, \quad n,m \in \mathbb {Q} \;. \end{aligned}$$\end{document}These integrable equations were classified in Euler et al. (Discrete Contin Dyn Syst Ser A 40:529-548, 2020). The n=m=-2\documentclass[12pt]{minimal} \usepackage{amsmath} \usepackage{wasysym} \usepackage{amsfonts} \usepackage{amssymb} \usepackage{amsbsy} \usepackage{mathrsfs} \usepackage{upgreek} \setlength{\oddsidemargin}{-69pt} \begin{document}$$n=m=-2$$\end{document} case is one of the integrable instances of the RH family. We consider this specific example, and we examine boundedness of solutions and existence and behaviour of travelling waves. We also compute local and nonlocal symmetries for all the integrable RH equations, showing that these equations have very different structural properties; we exhibit some explicit solutions and, finally, we prove that all integrable RH equations describe one-parameter families of pseudo-spherical surfaces and that therefore they may be amenable of analysis via scattering/inverse scattering.</t>
  </si>
  <si>
    <t>Díaz, José/ACC-2892-2022; Reyes, Enrique/AAD-1308-2019</t>
  </si>
  <si>
    <t>Diaz Palencia, Jose Luis/0000-0002-4677-0970</t>
  </si>
  <si>
    <t>0044-2275</t>
  </si>
  <si>
    <t>1420-9039</t>
  </si>
  <si>
    <t>10.1007/s00033-024-02418-1</t>
  </si>
  <si>
    <t>WOS:001409140600003</t>
  </si>
  <si>
    <t>Carrazana, E; Montalbán-Gutiérrez, L; Chana-Cuevas, P; Salvadores, N</t>
  </si>
  <si>
    <t>Carrazana, Elizabeth; Montalban-Gutierrez, Leonardo; Chana-Cuevas, Pedro; Salvadores, Natalia</t>
  </si>
  <si>
    <t>Advancing Parkinson's diagnosis: seed amplification assay for α-synuclein detection in minimally invasive samples</t>
  </si>
  <si>
    <t>MOLECULAR AND CELLULAR BIOCHEMISTRY</t>
  </si>
  <si>
    <t>Parkinson's disease (PD) is a progressive neurodegenerative disorder characterized by tremor, rigidity, and bradykinesia, beginning with early loss of dopaminergic neurons in the ventrolateral substantia nigra and advancing to broader neurodegeneration in the midbrain. The clinical heterogeneity of PD and the lack of specific diagnostic tests present significant challenges, highlighting the need for reliable biomarkers for early diagnosis. Alpha-synuclein (alpha-Syn), a protein aggregating into Lewy bodies and neurites in PD patients, has emerged as a key biomarker due to its central role in PD pathophysiology and potential to reflect pathological processes. Additionally, alpha-Syn allows earlier differentiation between PD and other neurodegenerative disorders with similar symptoms. Currently, detection of alpha-Syn pathology in post-mortem brain tissue remains the primary means of achieving a conclusive diagnosis, often revealing significant misdiagnoses. Seed amplification assay (SAA), initially developed for prion diseases, has been adapted to detect alpha-Syn aggregates in cerebrospinal fluid, showing promise for early diagnosis. Recent studies have demonstrated that SAA can also detect alpha-Syn aggregates in peripheral samples collected via minimally invasive procedures, such as skin, olfactory mucosa, saliva, and blood. However, the lack of standardized protocols limits clinical application. Standardizing protocols is essential to improve assay reliability and enable accurate patient identification for emerging therapies. This review examines studies on SAA for detecting alpha-Syn aggregates in minimally invasive samples, focusing on sample collection, processing, and reaction conditions.</t>
  </si>
  <si>
    <t>0300-8177</t>
  </si>
  <si>
    <t>1573-4919</t>
  </si>
  <si>
    <t>2025 JAN 6</t>
  </si>
  <si>
    <t>10.1007/s11010-024-05190-y</t>
  </si>
  <si>
    <t>WOS:001390289200001</t>
  </si>
  <si>
    <t>Mcsherry, JP</t>
  </si>
  <si>
    <t>Mcsherry, J. Patrice</t>
  </si>
  <si>
    <t>Mobilizing at the Urban Margins: Citizenship and Patronage Politics in Post-dictatorial Chile</t>
  </si>
  <si>
    <t>AMERICAS</t>
  </si>
  <si>
    <t>0003-1615</t>
  </si>
  <si>
    <t>1533-6247</t>
  </si>
  <si>
    <t>10.1017/tam.2024.136</t>
  </si>
  <si>
    <t>WOS:001377186900004</t>
  </si>
  <si>
    <t>Aburto, C; Vera, C; Arenas, F; Illanes, A; Guerrero, C</t>
  </si>
  <si>
    <t>Aburto, Carla; Vera, Carlos; Arenas, Felipe; Illanes, Andres; Guerrero, Cecilia</t>
  </si>
  <si>
    <t>One-pot production of tagatose using L-arabinose isomerase from Thermotoga maritima and β-galactosidase from Aspergillus oryzae</t>
  </si>
  <si>
    <t>The one -pot production of tagatose from lactose using recombinant L-arabinose isomerase (L -AI) from Thermotoga maritima and commercial beta-galactosidase (beta-gal) from Aspergillus oryzae was evaluated. The beta-gal and L -AI ratio (R (beta-gal/L-AI)), initial lactose concentration and temperature were chosen as study variables. Maximum values of tagatose yield (Y-Tag), specific tagatose productivity (pi(Tag)) and sugars ratio (R-Tag/(Gal)) obtained were 23 %, 0.202 +/- 0.03 mmol Tag/(g prot &amp; sdot;h) and 1, respectively. The composition of the product on a dry basis was as follows (g/ g): 0.23 tagatose, 0.232 galactose, 0.454 glucose, 0.043 fructose, 0.029 lactose and 0.012 GOS. The one -pot production was superior compared with a sequential operation, where values of 16.5 %, 0.11 mmol Tag/(g prot &amp; sdot;h) and 0.59 were obtained for Y-Tag, pi(Tag) and R-Tag/(Gal), respectively.</t>
  </si>
  <si>
    <t>aburto, carla/AAY-8727-2020; vera, Carlos/G-5240-2019</t>
  </si>
  <si>
    <t>10.1016/j.lwt.2024.115787</t>
  </si>
  <si>
    <t>WOS:001176308100001</t>
  </si>
  <si>
    <t>Gajardo, AV; Stipo, C; Fernández, R</t>
  </si>
  <si>
    <t>Gajardo, Antonieta Vera; Stipo, Camila; Fernandez, Rosario</t>
  </si>
  <si>
    <t>Ways of Departing: First German Candidates to the Congregation Catechists of Boroa (Araucania, Chile, 1932-1934)</t>
  </si>
  <si>
    <t>CULTURALES</t>
  </si>
  <si>
    <t>S UMMARY : This work analyzes the discursive strategies of the first German candidates who, between 1932 and 1934, applied to be missionaries of the Catechist Congregation of Boroa in the Araucania Region. From a gender perspective and through the systematization and cross-referencing of historical archives (calls, letters, autobiographies, questionnaires), we will analyze the encoded interaction between Capuchin priests and candidates. Focusing on the analysis of the candidates letters, we will argue that exceptionalism and the tricks of the weak constituted paradoxical strategies of women whose desires for recognition and autonomy were legitimized through the civilizing vocation of Mapuche pagans.</t>
  </si>
  <si>
    <t>Vera Gajardo, Maria Antonieta/0000-0001-5865-1621</t>
  </si>
  <si>
    <t>1870-1191</t>
  </si>
  <si>
    <t>2448-539X</t>
  </si>
  <si>
    <t>e853</t>
  </si>
  <si>
    <t>10.22234/recu.20241201.e853</t>
  </si>
  <si>
    <t>WOS:001359429300001</t>
  </si>
  <si>
    <t>Madariaga, N; Oberli, C; Estela, MC</t>
  </si>
  <si>
    <t>Madariaga, Nicolas; Oberli, Christian; Estela, Maria Constanza</t>
  </si>
  <si>
    <t>Delay Probability Distributions of Acknowledged CSMA/CA With Finite Re-Transmissions Over Fading Channels</t>
  </si>
  <si>
    <t>The delay distribution observed between the dll of a pair of neighbouring nodes in wireless mesh networks is studied. Specifically, we model the delay for unslotted csma with acknowledgments and multiple transmission retries under given channel access and block-fading statistics. This mac mechanism is used, for instance, by the IEEE 802.15.4 Standard. It has three different possible outcomes: fts (acknowledgement received), caf and ftf (no acknowledgement received, all transmission attempts used). We model these outcomes in terms of the maximum allowed number of channel access attempts, the maximum number of transmission attempts, the probability of busy channel and the frame-loss probability. All these parameters are local to each node and hence our model allows for modeling link delays from the perspective of each individual node. This lies in contrast with prior work, based mostly on Markov chain approaches, which tend to be computationally intensive, often mathematically intractable and require taking a global view over the network. We validate our results with Monte-Carlo simulations and show that the proposed model for frame transfer success and frame transfer failure are accurate in terms of the delay distribution and mean value. In the case of channel access failure, the model is less precise but can be used as an upper bound for the expected delay.</t>
  </si>
  <si>
    <t>Oberli, Christian/F-8252-2013</t>
  </si>
  <si>
    <t>10.1109/ACCESS.2024.3404609</t>
  </si>
  <si>
    <t>WOS:001242965900001</t>
  </si>
  <si>
    <t>Quiroz, J; Perez, R; Chávez, H; Fuentes, C; Díaz, M; Rodriguez, J</t>
  </si>
  <si>
    <t>Quiroz, Juan; Perez, Roberto; Chavez, Hector; Fuentes, Carlos; Diaz, Matias; Rodriguez, Jose</t>
  </si>
  <si>
    <t>Frequency and Inertial Response Analysis of Loads in The Chilean Power System</t>
  </si>
  <si>
    <t>The integration of power electronics-interconnected generation systems to the grid has fostered a significant number of concerns on power system operations, particularly on the displacement of synchronous generators that leads to a reduction in the grid's overall inertia and frequency response. These concerns have raised a significant amount of state-of-the-art mathematical proposals on how to estimate system inertia; however, the majority of the proposals do not differentiate generator inertia from load inertia. When inertia prediction for control room applications is required in real-time, the current state-of-the-art proposals use the inertia of generators as a proxy for a minimum, overall inertia estimate, counting the number of units committed in real-time and adding up their inertia. However, as dynamic conditions are becoming challenging with the integration of power electronics-interconnected generation systems, it is important to quantify the amount of inertia from the loads, for which the state-of-the-art proposals present very limited advancement, particularly in applications with real data. This work presents a set of recorded actual events in the Chilean power system to estimate the contribution of loads to inertia and frequency response to assess whether the loads have a significant role in frequency stability. The contribution of this work is as follows: first, reporting real data of a power system from the PMU and SCADA systems that are usually classified as not public; and, second, to derive a conclusion from the data to assess the role of loads in frequency stability in a real case.</t>
  </si>
  <si>
    <t>Quiroz, Juan/IUO-1104-2023; Lago-Fuentes, Carlos/J-4361-2019; Unab, Energy Transformation Center/IQV-7083-2023; Diaz, Matias/R-7570-2018; Rodriguez, Jose/A-2534-2013</t>
  </si>
  <si>
    <t>Diaz, Matias/0000-0003-4489-9532; Rodriguez, Jose/0000-0002-1410-4121; Chavez, Hector/0000-0003-2849-0876</t>
  </si>
  <si>
    <t>10.3390/pr11092612</t>
  </si>
  <si>
    <t>WOS:001074429400001</t>
  </si>
  <si>
    <t>Nicolas, C; Geldres-Weiss, VV</t>
  </si>
  <si>
    <t>Nicolas, Carolina; Geldres-Weiss, Valeska V.</t>
  </si>
  <si>
    <t>Business and management research trends of sustainability assessment in the food sector</t>
  </si>
  <si>
    <t>BRITISH FOOD JOURNAL</t>
  </si>
  <si>
    <t>PurposeThis study aimed to identify research trends and topics in sustainability assessment in the food sector within the scope of economics, business and management research.Design/methodology/approachThe authors conducted a bibliometric analysis by applying a rigid and systematic research protocol, employing bibliometric techniques and a keyword co-occurrence network. Further, the Visualization of Similarities viewer software was used to analyse publications between 1994 and 2021.FindingsThe knowledge trends regarding sustainability assessment in the research area of business economics demonstrated a notable evolution of the topics analysed, ranging from indicators and policy analyses in agriculture and fishery sectors, to the topic of sustainability life cycle assessment (LCA) and management systems. In business and management research areas, the main theoretical frameworks used for sustainability assessment in the food sector included the triple-bottom line (TBL) and the LCA, and the main research topics were food chain logistics, bio-based products, retailers, consumption patterns and crop-based biodiesel options.Research limitations/implicationsThis study employed only the WoS database and future studies could incorporate other scientific databases. Regarding future research, more emphasis could be laid on food retailers given their prevalence as demonstrated by the study and past research.Practical implicationsThe findings can help all participants in the food global value chain to make better decisions to guide their sustainability efforts and assessment. Moreover, this research reveals that companies need to be actively engaged with their stakeholders and pay special attention to consumer patterns and perceptions.Originality/valueThe bibliometric research focus on business and management research areas using the Web of Sciences categories, starting from the research area of business economics to the analysis of the food sector's sustainability assessment.</t>
  </si>
  <si>
    <t>Nicolas, Carolina/AAQ-8797-2021; Geldres Weiss, Valeska Viola/C-8673-2015</t>
  </si>
  <si>
    <t>NICOLAS, CAROLINA/0000-0002-1911-2972; Geldres Weiss, Valeska Viola/0000-0002-4963-0789</t>
  </si>
  <si>
    <t>0007-070X</t>
  </si>
  <si>
    <t>1758-4108</t>
  </si>
  <si>
    <t>FEB 20</t>
  </si>
  <si>
    <t>10.1108/BFJ-06-2022-0528</t>
  </si>
  <si>
    <t>WOS:000939452800001</t>
  </si>
  <si>
    <t>Henríquez, HR; Mesquita, JG; dos Reis, HC</t>
  </si>
  <si>
    <t>Henriquez, Hernan R.; Mesquita, Jaqueline G.; dos Reis, Henrique C.</t>
  </si>
  <si>
    <t>Existence results for abstract functional differential equations with infinite state-dependent delay and applications</t>
  </si>
  <si>
    <t>MATHEMATISCHE ANNALEN</t>
  </si>
  <si>
    <t>This paper is devoted to the investigation of the existence of mild solutions of abstract retarded functional differential equations with infinite state-dependent delay. We obtain the result concerning the existence of mild solutions for the equations with state-dependent delays as a fixed point of the solution operator of an associated abstract retarded functional differential equation with time-varying delays. We are concerned with equations that present a phenomenon of lacunary memory. We apply our results to study the existence of solutions of a state-dependent partial differential equation with infinite state-dependent delay.</t>
  </si>
  <si>
    <t>Mesquita, Jaqueline/A-2356-2012</t>
  </si>
  <si>
    <t>0025-5831</t>
  </si>
  <si>
    <t>1432-1807</t>
  </si>
  <si>
    <t>10.1007/s00208-022-02561-y</t>
  </si>
  <si>
    <t>JAN 2023</t>
  </si>
  <si>
    <t>WOS:000917799300001</t>
  </si>
  <si>
    <t>Rivera-Vera, C; Muñoz-Lira, D; Aranda, M; Toledo-Neira, C; Salazar, R</t>
  </si>
  <si>
    <t>Rivera-Vera, Camilo; Munoz-Lira, Daniela; Aranda, Mario; Toledo-Neira, Carla; Salazar, Ricardo</t>
  </si>
  <si>
    <t>Study of degradation of norfloxacin antibiotic and their intermediates by natural solar photolysis</t>
  </si>
  <si>
    <t>ENVIRONMENTAL SCIENCE AND POLLUTION RESEARCH</t>
  </si>
  <si>
    <t>In this work, the photolysis of the antibiotic norfloxacin (NOR) and the formation of its photodegradation products were studied using UV and solar radiation. Their extraction was also assessed in Milli-Q water and secondary effluents from a wastewater treatment plant. The photolysis of NOR was chromatographically monitored. The structure of each degradation product is related to the reaction of NOR with reactive oxygen species (ROS), as confirmed using radical quenchers and mass spectrometry. Additionally, the feasibility of extracting NOR and its degradation products was assessed using a commercial solid phase extraction system. Photolysis results showed the formation of five degradation products, generated under exposure to both types of radiation. The decays in NOR concentrations for the solar and UV treatments were adjusted to pseudo first-order kinetics with apparent constant values of k(solar) = 1.19 x 10(-3) s(-1) and k(UV) = 3.84 x 10(-5) s(-1). Furthermore, the superoxide radical was the main participant species in the formation of the degradation products P3, P4, and P5. Species P1 and P2 do not need this radical for their formation. The presence of NOR in water opens the possibility of its photolysis by solar radiation. This work contributes to the understanding of the mechanisms that mediate its photodegradation, in addition to studying potential options for its determination and its photodegradation products in the sample treatment.</t>
  </si>
  <si>
    <t>Salazar, Ricardo/L-7870-2013; Aranda, Mario/A-6599-2013</t>
  </si>
  <si>
    <t>Aranda, Mario/0000-0001-7846-9149; Toledo Neira, Carla Beatriz/0000-0003-2872-3043; , Camilo Rivera Vera/0009-0002-8833-9342; Salazar-Gonzalez, Ricardo/0000-0003-2180-6022</t>
  </si>
  <si>
    <t>0944-1344</t>
  </si>
  <si>
    <t>1614-7499</t>
  </si>
  <si>
    <t>10.1007/s11356-022-24891-9</t>
  </si>
  <si>
    <t>WOS:000911910500012</t>
  </si>
  <si>
    <t>Abadias, L; Galé, JE; Lizama, C</t>
  </si>
  <si>
    <t>Abadias, Luciano; Gale, Jose E.; Lizama, Carlos</t>
  </si>
  <si>
    <t>Poisson Equation and Discrete One-Sided Hilbert Transform for (C, α)-Bounded Operators</t>
  </si>
  <si>
    <t>ISRAEL JOURNAL OF MATHEMATICS</t>
  </si>
  <si>
    <t>We characterize the solutions of the Poisson equation and the domain of its associated one-sided Hilbert transform for (C, alpha)-bounded operators, alpha &gt; 0. This extends known results for power bounded operators to the setting of Cesaro bounded operators of fractional order, thus generalizing the results substantially. In passing, we obtain a generalization of the mean ergodic theorem in our framework. Examples are given to illustrate the theory.</t>
  </si>
  <si>
    <t>0021-2172</t>
  </si>
  <si>
    <t>1565-8511</t>
  </si>
  <si>
    <t>10.1007/s11856-022-2353-z</t>
  </si>
  <si>
    <t>WOS:000852107800009</t>
  </si>
  <si>
    <t>Báez-Grez, R; Pino-Rios, R</t>
  </si>
  <si>
    <t>Baez-Grez, Rodrigo; Pino-Rios, Ricardo</t>
  </si>
  <si>
    <t>The hidden aromaticity in borazine</t>
  </si>
  <si>
    <t>RSC ADVANCES</t>
  </si>
  <si>
    <t>The aromaticity of borazine (B3N3H6), also known as the inorganic benzene, is a controversial issue since this compound has several characteristics that could qualify it as an aromatic compound. However, recent studies using magnetic criteria indicate that this compound should be considered as a non-aromatic system. This assignment is mainly due to diatropic currents in the nitrogen atoms without observation of ring currents. The present work shows by means of the magnetic criteria that borazine has a ring current hidden by the local contributions of degenerate orbitals pi(1) and pi(2). Additionally, the study of borazine's first triplet state antiaromaticity using the magnetic and energetic criteria by means of isomerization stabilization energies (ISEs) together with Baird's and Huckel's rules suggests that borazine is best described as an (weakly) aromatic system.</t>
  </si>
  <si>
    <t>Báez-Grez, Rodrigo/AAM-4876-2021</t>
  </si>
  <si>
    <t>Pino Rios, Ricardo/0000-0003-4756-1115; Baez-Grez, Rodrigo/0000-0001-9303-1559</t>
  </si>
  <si>
    <t>2046-2069</t>
  </si>
  <si>
    <t>MAR 8</t>
  </si>
  <si>
    <t>10.1039/d1ra06457f</t>
  </si>
  <si>
    <t>WOS:000766708100001</t>
  </si>
  <si>
    <t>Norero, VC; Valdés, G</t>
  </si>
  <si>
    <t>Norero, Colomba, V; Valdes, Gloria</t>
  </si>
  <si>
    <t>The patient as a unique human being</t>
  </si>
  <si>
    <t>ANDES PEDIATRICA</t>
  </si>
  <si>
    <t>2452-6053</t>
  </si>
  <si>
    <t>10.32641/andespediatr.v92i2.3347</t>
  </si>
  <si>
    <t>WOS:000808817300002</t>
  </si>
  <si>
    <t>Saavedra, H; García-Herrera, C; Vasco, DA; Salinas-Lira, C</t>
  </si>
  <si>
    <t>Saavedra, Hector; Garcia-Herrera, Claudio; Vasco, Diego A.; Salinas-Lira, Carlos</t>
  </si>
  <si>
    <t>Characterization of mechanical performance of Pinus radiata wood impregnated with octadecane as phase change material</t>
  </si>
  <si>
    <t>JOURNAL OF BUILDING ENGINEERING</t>
  </si>
  <si>
    <t>This article presents the mechanical responses of Pinus radiata wood that was impregnated with octadecane to obtain a shape-stabilized phase change material (PCM). PCMs are used as heat storage materials to reduce the temperature peaks and displace the thermal loads in an enclosed space. It is important to study the effect of PCMs on the mechanical properties of wood, since these composite materials are intended to be used as a structural materials in low-thermal-mass housing, wherein a reduction in mechanical properties can generate structural resistance problems. For this purpose, tensile and compression tests were performed in the three principle directions (longitudinal, radial, and tangential) and bending tests were performed in the longitudinal direction. These mechanical tests were carried out using non-impregnated wood and PCM-impregnated wood, which was fabricated using a double vacuum method consisting of alternately applying a vacuum and atmospheric conditions. Different impregnation yields could be visualized using computerized microtomography, and different mechanical behaviors in the three principle directions were observed; the results showed an orthotropic behavior. However, the longitudinal direction exhibited the highest mechanical resistance. In general, the statistical tests showed that the mechanical performances of the wood samples were not affected by octadecane impregnation.</t>
  </si>
  <si>
    <t>García-Herrera, Claudio/ABE-8991-2020; Vasco, Diego/Y-2934-2019</t>
  </si>
  <si>
    <t>Vasco, Diego Andres/0000-0001-7456-4683</t>
  </si>
  <si>
    <t>2352-7102</t>
  </si>
  <si>
    <t>10.1016/j.jobe.2020.101913</t>
  </si>
  <si>
    <t>JAN 2021</t>
  </si>
  <si>
    <t>WOS:000608431700003</t>
  </si>
  <si>
    <t>de Moura, BF; Martins, MF; Palma, FS; da Silva, WB; Cabello, JA; Ramos, R</t>
  </si>
  <si>
    <t>Furtado de Moura, Bruno; Ferreira Martins, Marcio; Sepulveda Palma, Francisco; Betencurte da Silva, Wellington; Acevedo Cabello, Jorge; Ramos, Rogerio</t>
  </si>
  <si>
    <t>Design of a Low-Cost Acquisition System to Reconstruct Images through Electrical Resistance Tomography</t>
  </si>
  <si>
    <t>Electrical Resistance Tomography (ERT) is a technique employed in the industrial environment that reconstructs images formed by the impedance distributions inside a vessel. The method relies on measures from a data acquisition system, responsible to inject a current inside the vessel and measures the voltage on the boundaries, and sequentially an inverse problem solution. This paper introduces a low-cost design of an acquisition system that can obtain 30 images/s with a signal-to-noise ratio of 57.47 dB and a maximum error of 3.79%. It utilizes a simple RMS-to-DC converter demodulation scheme to provide good accessibility to researchers aimed at investigating flow patterns of multiphase flow applications.</t>
  </si>
  <si>
    <t>de Moura, Bruno/AAT-7554-2021; Sepúlveda, Francesca/AAW-8092-2021; Escobedo Cabello, Jesús Arturo/I-6601-2018; Ferreia Martins, Marcio/T-5321-2017</t>
  </si>
  <si>
    <t>Sepulveda Palma, Francisco Hernan/0000-0002-1930-3859; Acevedo Cabello, Jorge/0000-0003-0106-3794; de Moura, Bruno Furtado/0000-0003-1912-3732; Ramos, Rogerio/0000-0003-4493-2435; Ferreia Martins, Marcio/0000-0002-3023-222X</t>
  </si>
  <si>
    <t>10.1109/TLA.2020.9381801</t>
  </si>
  <si>
    <t>WOS:000633636900012</t>
  </si>
  <si>
    <t>Gándara, PS; Chaná-Cuevas, P</t>
  </si>
  <si>
    <t>Gandara, Philippe Salles; Chana-Cuevas, Pedro</t>
  </si>
  <si>
    <t>Nonmotor symptoms in 32 patients with Parkinson disease</t>
  </si>
  <si>
    <t>Background: Nonmotor symptoms of Parkinson disease significantly hamper the quality of life of patients and have prognostic significance. Aim: To evaluate the presence of nonmotor symptoms in patients with Parkinson disease. Material and Methods: A structured interview was carried out in 32 patients aged 74 +/- 9 years (53% men) with Parkinson disease asking specifically for impulse control disorders and dopaminergic dysregulation. The following scales were also applied: Hoehn &amp; Yahr scale, Montreal Cognitive Assessment, Geriatric depression scale, Nonmotor symptom scale and REM sleep scale. Results: A high frequency of nonmotor symptoms was recorded, specially mood, sleep, urinary and gastrointestinal problems and impulse control disorders. Conclusions: Nonmotor symptoms must be actively sought and managed in patients with Parkinson disease.</t>
  </si>
  <si>
    <t>Salles, Philippe/AAD-6070-2022; Chana-Cuevas, Pedro/AAM-8215-2020</t>
  </si>
  <si>
    <t>WOS:000604270200003</t>
  </si>
  <si>
    <t>Castro-Alvarez, A; Gil, Y; Llanos, L; Aravena, D</t>
  </si>
  <si>
    <t>Castro-Alvarez, Alejandro; Gil, Yolimar; Llanos, Leonel; Aravena, Daniel</t>
  </si>
  <si>
    <t>High performance single-molecule magnets, Orbach or Raman relaxation suppression?</t>
  </si>
  <si>
    <t>INORGANIC CHEMISTRY FRONTIERS</t>
  </si>
  <si>
    <t>The current figure of merit to evaluate Single Molecule Magnet (SMM) performance is the blocking temperature (T-B). The best SMMs showT(B)values close to liquid nitrogen boiling point (77 K) while their Orbach effective demagnetization barriers (U-eff) are significantly larger, exceeding 2000 K in some cases. As current high performance SMMs approach the axial limit, new strategies to suppress demagnetization by vibrational tuning have been suggested. In this article, we analyse a set of 17 current high performance SMMs to identify which demagnetization mechanism is limiting the blocking temperature. For the best systems (T-B&gt; 50 K), the limiting mechanism is thermally assisted tunneling and the blocking temperature will depend on the exponential parametersU(eff)and tau(0). Strategies focusing on Raman (vibrational) suppression are expected to have a limited effect for this group. In contrast, systems with lower blocking temperatures (T-B&lt; 50 K) would benefit from such strategies, although they are not expected to surpass current recordT(B)values. The Orbach limit for the blocking temperature can be conveniently estimated usingab initioCASSCF methods. Finally, a recent proposal for a hypothetical high performance SMM is analysed under the presented framework, showing its potential to improve record blocking temperatures.</t>
  </si>
  <si>
    <t>Castro, Alejandro/HSH-9849-2023; Aravena, Daniel/F-2174-2011</t>
  </si>
  <si>
    <t>Gil Sanchez, Yolimar/0000-0002-1756-2726; Aravena, Daniel/0000-0003-3140-4852; Castro-Alvarez, Alejandro/0000-0001-8360-8027; llanos silva, leonel/0000-0001-6494-1908</t>
  </si>
  <si>
    <t>2052-1553</t>
  </si>
  <si>
    <t>10.1039/d0qi00487a</t>
  </si>
  <si>
    <t>WOS:000544485000004</t>
  </si>
  <si>
    <t>Sánchez, J; Rodriguez, C; Oyarce, E; Rivas, BL</t>
  </si>
  <si>
    <t>Sanchez, Julio; Rodriguez, Carol; Oyarce, Estefania; Rivas, Bernabe L.</t>
  </si>
  <si>
    <t>Removal of chromium ions by functional polymers in conjunction with ultrafiltration membranes</t>
  </si>
  <si>
    <t>PURE AND APPLIED CHEMISTRY</t>
  </si>
  <si>
    <t>18th International-Union-of-Pure-and-Applied-Chemistry (IUPAC) International Symposium Macromolecular-Metal Complexes (MMC)</t>
  </si>
  <si>
    <t>JUN 10-13, 2019</t>
  </si>
  <si>
    <t>Lomonosov Moscow State Univ, Moscow, RUSSIA</t>
  </si>
  <si>
    <t>Int Union Pure &amp; Appl Chem</t>
  </si>
  <si>
    <t>Lomonosov Moscow State Univ</t>
  </si>
  <si>
    <t>In the current research water-soluble functional polymers (WSFP) were prepared via radical polymerization and purified by fractionation through ultrafiltration membranes with different molecular weights cut off (MWCO) of 30 and 100 kDa. The WSFPs were poly(3-acrylamide propyl) trimethyl ammonium chloride, P(ClAPTA), poly(2-acrylamido-2-methyl-1-propane sodium sulfonate, P(AMPSNa), and poly(3-methacrylamino propyl) dimethyl 3-sulfopropyl ammonium hydroxide, P(HMPDSPA). These polymers were characterized by Fourier transformed infrared spectroscopy (FT-IR) and thermogravimetry analysis (TGA). Using liquid-phase polymer-based retention technique (LPR), chromium [Cr(III) and Cr(VI)] retention was studied as a function of pH, polymer and chromium concentration, selectivity, maximum retention capacity, chromium elution capacity, and polymer regeneration through sorption and desorption studies. Results of FT-IR showed the characteristic absorption bands of the synthesized polymers. The decomposition temperatures of P(ClAPTA) were at 303.1 degrees C, and for P(AMPSNa) three decompositions temperatures were registered at 190.5 degrees C, 223.2 degrees C, and 304.8 degrees C. P(HMPDSPA) presented two important decomposition temperatures at 292.4 degrees C and 391.7 degrees C, respectively. Concerning to the retention of Cr(VI), it was maximal (100 %) when P(ClAPTA) was studied at pH 6. The maximum retention of Cr(III) (100 %) was achieved by P(AMPSNa) at pH 3. The optimum polymer:Cr mole ratio obtained was 10:1 for both Cr(VI) and Cr(III). The retention of Cr(VI) decreased due to the presence of interfering ions, and the hydrodynamic flow was almost constant during the ultrafiltration of polymer-Cr macromolecule.</t>
  </si>
  <si>
    <t>Sanchez, Julio/AEO-4360-2022; Rivas, Bernabé/D-9945-2015</t>
  </si>
  <si>
    <t>Sanchez, Julio/0000-0003-4245-0096</t>
  </si>
  <si>
    <t>0033-4545</t>
  </si>
  <si>
    <t>1365-3075</t>
  </si>
  <si>
    <t>10.1515/pac-2019-1103</t>
  </si>
  <si>
    <t>WOS:000552035500007</t>
  </si>
  <si>
    <t>Almeida-Naranjo, CE; Guachamín, G; Guerrero, VH; Villamar, CA</t>
  </si>
  <si>
    <t>Almeida-Naranjo, Cristina E.; Guachamin, Gabriela; Guerrero, Victor H.; Villamar, Cristina-Alejandra</t>
  </si>
  <si>
    <t>Heliconia stricta Huber Behavior on Hybrid Constructed Wetlands Fed with Synthetic Domestic Wastewater</t>
  </si>
  <si>
    <t>WATER</t>
  </si>
  <si>
    <t>Constructed wetlands (CWs) represent a highly efficient, eco-friendly and economic alternative for wastewater treatment in decentralized contexts. The adequate selection of the plants used in CWs plays a decisive role in the successful implementation and operation of this technology type. In this work, we studied the behavior of a native tropical plant (Heliconia stricta Huber) for the removal of organic matter and nutrients within a hybrid CW system fed with synthetic domestic wastewater. This hybrid system was composed of two wetlands, a vertical surface flow (VSF-CW) and a horizontal subsurface flow (HSSF-CW), connected in series and being operated with nominal hydraulic loading rates of 12 and 9 mm day(-1), respectively. Results evidenced nitrification (nitrite concentration increased up to three times) but not denitrification because nitrate concentration increased in the final effluent. The average removal efficiencies were 86.8%, 96.4%, and 57.0%, for COD, NH4+ and PO43-, respectively. On the other hand, the apical height, basal diameter, leaf length and width increased in relation to initial measurements (between 0.6-7.1%) in plants of both CWs, which demonstrated the ability of the plants to adapt to the operating conditions of the system. This promising performance observed when using Heliconia stricta Huber opens the need for further research and could be particularly interesting in CWs used in tropical areas.</t>
  </si>
  <si>
    <t>Guerrero, Victor/AAP-1606-2021; Villamar, Cristina-Alejandra/AAB-4154-2019</t>
  </si>
  <si>
    <t>Villamar, Cristina Alejandra/0000-0003-4654-0670; Almeida Naranjo, Cristina Elizabeth/0000-0002-1066-6661; Guerrero, Victor/0000-0002-5656-2606</t>
  </si>
  <si>
    <t>2073-4441</t>
  </si>
  <si>
    <t>10.3390/w12051373</t>
  </si>
  <si>
    <t>WOS:000555915200152</t>
  </si>
  <si>
    <t>Inzunza, LM; Montenegro, VR; Reyes, JR; Contreras, MB; Valenzuela, CA; González, VM</t>
  </si>
  <si>
    <t>Inzunza, Lylian Macias; Rocco Montenegro, Victor; Rojas Reyes, Jennifer; Baeza Contreras, Marcela; Arevalo Valenzuela, Carolina; Munilla Gonzalez, Viviana</t>
  </si>
  <si>
    <t>Formation in Interprofessional Education in Nursing and Medical Students Globally. Scoping review</t>
  </si>
  <si>
    <t>INVESTIGACION Y EDUCACION EN ENFERMERIA</t>
  </si>
  <si>
    <t>Objective. This work sought to know the state of the art related to the theme of Interprofessional Education (IPE) in the training of Nursing and Medical students and the level of evidence developed thus far. Methods. This was an exploratory systematic review, declared as scoping review by the Joanna Briggs Institute, JBI, in which a search was performed in Embase, Science direct, Pubmed-Medline, Academic search complete, BVS, Scopus and ERIC databases, limiting between 2009 - 2019 by using the DeCS and MeSH terms of Interprofessional education, education research, healthcare professionals, nursing and medicine, selecting 39 original articles after carrying out the review process with the criteria by the JBI. Results. Four thematic nuclei emerged: Experiences and perceptions of interprofessional learning, Didactics related with IPE, Empirical indicators related with IPE, and Development of professional skills. The highest level of evidence is presented by the articles dealing with didactics; on the contrary, no articles were found that dealt with topics related with early inclusion of IPE in the medical and nursing curricula, which are currently necessary to complement the focus of patient-centered care. Conclusion. The thematic nuclei show that the level of evidence in the literature is varied, although mostly descriptive in scope, highlighting the development of professional skills as a result of interprofessional education.</t>
  </si>
  <si>
    <t>Munilla, Viviana/IWM-6508-2023</t>
  </si>
  <si>
    <t>Munilla, Viviana/0000-0002-4301-7836; Rojas Reyes, Jennifer/0000-0001-8962-5135</t>
  </si>
  <si>
    <t>0120-5307</t>
  </si>
  <si>
    <t>2216-0280</t>
  </si>
  <si>
    <t>MAY-AUG</t>
  </si>
  <si>
    <t>e06</t>
  </si>
  <si>
    <t>10.17533/udea.iee.v38n2e06</t>
  </si>
  <si>
    <t>WOS:000888556000005</t>
  </si>
  <si>
    <t>Ispolatov, I; Doebeli, M</t>
  </si>
  <si>
    <t>Ispolatov, Iaroslav; Doebeli, Michael</t>
  </si>
  <si>
    <t>A note on the complexity of evolutionary dynamics in a classic consumer-resource model</t>
  </si>
  <si>
    <t>THEORETICAL ECOLOGY</t>
  </si>
  <si>
    <t>We study how the complexity of evolutionary dynamics in the classic MacArthur consumer-resource model depends on resource uptake and utilization rates. The traditional assumption in such models is that the utilization rate of the consumer is proportional to the uptake rate. More generally, we show that if these two rates are related through a power law (which includes the traditional assumption as a special case), then the resulting evolutionary dynamics in the consumer is necessarily a simple hill-climbing process leading to an evolutionary equilibrium, regardless of the dimension of phenotype space. When utilization and uptake rates are not related by a power law, more complex evolutionary trajectories can occur, including the chaotic dynamics observed in previous studies for high-dimensional phenotype spaces. These results draw attention to the importance of distinguishing between utilization and uptake rates in consumer-resource models.</t>
  </si>
  <si>
    <t>Ispolatov, Iaroslav/E-8544-2010</t>
  </si>
  <si>
    <t>Ispolatov, Iaroslav/0000-0002-0201-3396</t>
  </si>
  <si>
    <t>1874-1738</t>
  </si>
  <si>
    <t>1874-1746</t>
  </si>
  <si>
    <t>10.1007/s12080-019-0427-2</t>
  </si>
  <si>
    <t>WOS:000515172600005</t>
  </si>
  <si>
    <t>Adasme, P; Soto, I; San Juan, E; Seguel, F; Firoozabadi, AD</t>
  </si>
  <si>
    <t>Adasme, Pablo; Soto, Ismael; San Juan, Enrique; Seguel, Fabian; Firoozabadi, Ali Dehghan</t>
  </si>
  <si>
    <t>Maximizing Signal to Interference Noise Ratio for Massive MIMO: A Mathematical Programming Approach</t>
  </si>
  <si>
    <t>2020 SECOND SOUTH AMERICAN COLLOQUIUM ON VISIBLE LIGHT COMMUNICATIONS (IEEE SACVC 2020)</t>
  </si>
  <si>
    <t>2nd South American Colloquium on Visible Light Communications (IEEE SACVLC)</t>
  </si>
  <si>
    <t>JUN 04-05, 2020</t>
  </si>
  <si>
    <t>IEEE Chile Sect,Univ Santiago Chile,IEEE,IEEE Commun,Gobierno Chile, Minist Educ, Fondo Nacl Desarrollo Cientifico Tecnologico,Gobierno Chile, Minist Educ, Fondo Fomento Desarrollo Cientifico Tecnologico,Gobierno Chile, Minist Educ, Programa Cooperac Int</t>
  </si>
  <si>
    <t>In this paper, we consider the problem of maximizing the worst user signal to interference noise ratio (SINR) for Massive Multiple Input Multiple Output (MaMIMO) systems subject to antenna assignment and multiuser interference constraints. In particular, we aim to choose a subset of antennas from a larger set while imposing a maximum interference value allowed in the system. Notice that MaMIMO technology has recently been considered as a strong candidate for 5G wireless communications by the research community as it provides better performance in terms of data rate. It also allows to transmit in higher frequency bands with strong signal performance and reliability. In order to propose new optimization models for this problem, we model SINR by using Manhattan, Euclidean and Infinity distance norms. Thus, we obtain integer quadratic and linear programming models that allow to obtain optimal solutions for the problem. As such, the proposed models can be used as a source of comparison for any exact or approximation method to be developed as part of future research. Finally, we propose a local search algorithm that allows to obtain feasible solutions in short CPU time. Our preliminary numerical results indicate that the linear models are preferable and that the local search approach obtains better solutions than the quadratic model for some of the tested instances in significantly less CPU time.</t>
  </si>
  <si>
    <t>Adasme, Pablo/U-1735-2019; Seguel, Fabian/ABC-4765-2020; Dehghan Firoozabadi, Ali/AAD-4858-2019</t>
  </si>
  <si>
    <t>Seguel, Fabian/0000-0001-6567-8988</t>
  </si>
  <si>
    <t>978-1-7281-6341-3</t>
  </si>
  <si>
    <t>10.1109/sacvlc50805.2020.9129889</t>
  </si>
  <si>
    <t>WOS:000856038700018</t>
  </si>
  <si>
    <t>Olivares, EC; Contreras-Salinas, S</t>
  </si>
  <si>
    <t>Carabantes Olivares, Edgardo; Contreras-Salinas, Sylvia</t>
  </si>
  <si>
    <t>Humanized Education for a More Humanly Democratic Democracy</t>
  </si>
  <si>
    <t>Acknowledging that schooling comprises a complex and contradictory gamut of ideological and material procedures that juxtapose specific lifestyles to transform life experiences, this article proposes certain possibilities or clues to render the ethical-political dimension of education as more humane and humanistic and contribute to building another type of democracy, given that today's democracy is based on a post-dictatorship, neoliberal, logical perspective and emphasizes formal rather than substantial aspects of democracy. This implies including human rights as part of education and, thus, contribute to how students develop affective and semantic attachments in their attempt to regulate ideas and give their lives meaning, thereby, permeating the ordinariness of the current system. The conclusion highlights the need to consider the ethos of democracy, imbued with an ethics of cordiality that distorts aspects such as poverty, exclusion, commercial exploitation and corruption. Finally, the need to discuss the transformational potential of education is proposed.</t>
  </si>
  <si>
    <t>10.15517/revedu.v44i1.37637</t>
  </si>
  <si>
    <t>WOS:000528226200038</t>
  </si>
  <si>
    <t>Carneiro, SV; de Queiroz, VHR; Cruz, AAC; Fechine, LMUD; Denardin, JC; Freire, RM; do Nascimento, RF; Fechine, PBA</t>
  </si>
  <si>
    <t>Carneiro, S. V.; de Queiroz, V. H. R.; Cruz, A. A. C.; Fechine, L. M. U. D.; Denardin, J. C.; Freire, R. M.; do Nascimento, R. F.; Fechine, P. B. A.</t>
  </si>
  <si>
    <t>Sensing strategy based on Carbon Quantum Dots obtained from riboflavin for the identification of pesticides</t>
  </si>
  <si>
    <t>In this work, a fluorescent sensing strategy was developed for identification of pesticides in food, which was obtained thought the interaction of carbon quantum dots (CQDs) and silver nanoparticles (AgNPs). The CQDs were synthesized from riboflavin according to an experimental design. On this basis, the most appropriate samples were selected and structurally characterized, where AgNPs efficiently quench the fluorescence of CQDs due a fluorescence resonance energy transfer (FRET). The CQDs was titrationed with AgNPs (Ag@PAA and Ag@ bPEI), determining the best concentration of quenching (0.228 and 3.030 pmol.L-1, respectively). Furthermore, a strategy of sensing was developed in order to identify the pesticides propanyl, parathion, dimethoate, chlorpyrifos and pyrimicarb, which were also verified in real samples of rice, carrot, orange and pepper. The results were analyzed by linear discriminant analysis (LDA), obtaining different response patterns against pesticide concentrations, with confidence level of 95%. After that, assays were performed using lower concentrations of the analyzes. It was verified that in pepper extract, the sensibility of the sensing strategy was 250 ng.mL(-1). Therefore, the CQDs synthesized in this work may be considered a powerful tool to identify pesticides in food samples.</t>
  </si>
  <si>
    <t>DO NASCIMENTO, RONALDO/B-4028-2013; Denardin, Juliano/S-6407-2019; Carneiro, Samuel/JGD-5616-2023; Dutra, Lillian/AAD-7774-2022; Fechine, Pierre/B-7937-2013</t>
  </si>
  <si>
    <t>Fechine, Pierre/0000-0002-7822-2354; Carneiro, Samuel/0000-0002-9940-9417; Fechine, Lillian/0000-0002-4207-349X</t>
  </si>
  <si>
    <t>DEC 12</t>
  </si>
  <si>
    <t>10.1016/j.snb.2019.127149</t>
  </si>
  <si>
    <t>WOS:000489529300081</t>
  </si>
  <si>
    <t>Gidi, L; Canales, C; Aguirre, MJ; Armijo, F; Ramírez, G</t>
  </si>
  <si>
    <t>Gidi, Leyla; Canales, Camila; Aguirre, Maria J.; Armijo, Francisco; Ramirez, Galo</t>
  </si>
  <si>
    <t>Leyla Gidi, Camila Canales, Maria J. Aguirre, Francisco Armijo, and Galo Ramirez, Four-Electron Reduction of Oxygen Electrocatalyzed by a Mixture of Porphyrin Complexes onto Glassy Carbon Electrode (vol 13, pg 1666, 2018)</t>
  </si>
  <si>
    <t>INTERNATIONAL JOURNAL OF ELECTROCHEMICAL SCIENCE</t>
  </si>
  <si>
    <t>Armijo, Francisco/G-3391-2013; Aguirre, Maria/A-3935-2013</t>
  </si>
  <si>
    <t>Canales, Camila/0000-0002-4966-3601; Aguirre, Maria/0000-0003-1134-4469; Ramirez, Galo/0000-0002-6217-4730; Armijo, Francisco/0000-0002-2479-6280</t>
  </si>
  <si>
    <t>1452-3981</t>
  </si>
  <si>
    <t>10.20964/2018.12.140</t>
  </si>
  <si>
    <t>WOS:000452744500090</t>
  </si>
  <si>
    <t>Galiano, A; Romero, JG</t>
  </si>
  <si>
    <t>Galiano, Aida; Gabriel Romero, Jose</t>
  </si>
  <si>
    <t>Brain drain and income distribution</t>
  </si>
  <si>
    <t>JOURNAL OF ECONOMICS</t>
  </si>
  <si>
    <t>In a context in which increased income inequality has raised much concern, and skilled workers move easily across countries, an important question arises: how does the brain drain affect income distribution in the source economy? We address this question and introduce two contributions to the literature on brain drain. First, we present and solve a simple stylized model to study whether and, if so, how the brain drain affects the distribution of income, in a context in which higher education is publicly financed with general taxes. Second, we explore empirically the effect of an increase in skilled emigration on income distribution. A key prediction of our theoretical model is the existence of a non-monotonic relationship between income inequality and emigration of skilled workers. Our empirical data confirm this result, showing a statistically significant inverse U-shaped form.</t>
  </si>
  <si>
    <t>Romero, Jose/AAE-1999-2020; Galiano, Aida/AAD-6605-2020</t>
  </si>
  <si>
    <t>Galiano, Aida/0000-0002-1587-6262; Romero-Ciavatto, Jose Gabriel/0000-0002-4142-4331</t>
  </si>
  <si>
    <t>0931-8658</t>
  </si>
  <si>
    <t>1617-7134</t>
  </si>
  <si>
    <t>10.1007/s00712-017-0576-y</t>
  </si>
  <si>
    <t>WOS:000435528300002</t>
  </si>
  <si>
    <t>Henríquez, HR; Mesquita, JG</t>
  </si>
  <si>
    <t>Henriquez, Hernan R.; Mesquita, Jaqueline G.</t>
  </si>
  <si>
    <t>SELF-ACCESSIBLE STATES FOR LINEAR SYSTEMS ON TIME SCALES</t>
  </si>
  <si>
    <t>PROCEEDINGS OF THE AMERICAN MATHEMATICAL SOCIETY</t>
  </si>
  <si>
    <t>In this paper, we are concerned with linear control systems on time scales. We show that, under appropriate hypotheses, the self-accessible trajectories have diameter greater than or equal to a certain fixed positive number.</t>
  </si>
  <si>
    <t>Godoy Mesquita, Jaqueline/A-2356-2012</t>
  </si>
  <si>
    <t>Godoy Mesquita, Jaqueline/0000-0002-1255-9384</t>
  </si>
  <si>
    <t>0002-9939</t>
  </si>
  <si>
    <t>1088-6826</t>
  </si>
  <si>
    <t>10.1090/proc/13853</t>
  </si>
  <si>
    <t>WOS:000423480000033</t>
  </si>
  <si>
    <t>Hernández, CR</t>
  </si>
  <si>
    <t>Berrios, C; Garcia, C</t>
  </si>
  <si>
    <t>Retamal Hernandez, Christian</t>
  </si>
  <si>
    <t>Extreme contingency and ontological insecurity. Determining conditions of citizenship training</t>
  </si>
  <si>
    <t>CIUDADANIAS EN CONFLICTO: ENFOQUES, EXPERIENCIAS Y PROPUESTAS</t>
  </si>
  <si>
    <t>Retamal, Christian/AEU-1883-2022</t>
  </si>
  <si>
    <t>Retamal, Christian/0000-0003-3445-4433</t>
  </si>
  <si>
    <t>978-956-8416-59-1</t>
  </si>
  <si>
    <t>10.26448/978-956-8416-59-1/11</t>
  </si>
  <si>
    <t>WOS:000440942900005</t>
  </si>
  <si>
    <t>Pereira, J; Vásquez, OC</t>
  </si>
  <si>
    <t>Pereira, Jordi; Vasquez, Oscar C.</t>
  </si>
  <si>
    <t>The single machine weighted mean squared deviation problem</t>
  </si>
  <si>
    <t>EUROPEAN JOURNAL OF OPERATIONAL RESEARCH</t>
  </si>
  <si>
    <t>This paper studies a single machine problem related to the just-In-Time (JIT) production objective in which the goal is to minimize the sum of weighted mean squared deviation of the completion times with respect to a common due date. In order to solve the problem, several structural and dominance properties of the optimal solution are investigated. These properties are then integrated within a branch and-cut approach to solve a time-indexed formulation of the problem. The results of a computational experiment with the proposed algorithm show that the method is able to optimally solve instances with up to 300 jobs within reduced running times, improving other integer programming approaches. (C) 2017 Elsevier B.V. All rights reserved.</t>
  </si>
  <si>
    <t>Vasquez, Oscar C./0000-0002-1393-4692; Pereira, Jordi/0000-0002-1736-3575</t>
  </si>
  <si>
    <t>0377-2217</t>
  </si>
  <si>
    <t>1872-6860</t>
  </si>
  <si>
    <t>SEP 1</t>
  </si>
  <si>
    <t>10.1016/j.ejor.2017.03.001</t>
  </si>
  <si>
    <t>WOS:000401206300009</t>
  </si>
  <si>
    <t>Mosquera, N; Aguirre, MJ; Ruiz-León, D; García, C; Arce, R; Bollo, S</t>
  </si>
  <si>
    <t>Mosquera, Nerly; Aguirre, Maria J.; Ruiz-Leon, Domingo; Garcia, Camilo; Arce, Roxana; Bollo, S.</t>
  </si>
  <si>
    <t>Co2SnO4/CARBON PASTE ELECTRODE AS ELECTROCHEMICAL SENSOR FOR HYDROGEN PEROXIDE</t>
  </si>
  <si>
    <t>Hydrogen peroxide (H2O2) plays an important role as an intermediary in different biological, chemical and environmental systems. It has been widely used as an oxidizing and antimicrobial agent, in germicides production and textile and paper bleaching. However, it is well known, that H2O2 is a possible responsible in many diseases and is a chemical agent that threatens the environment, so it becomes important to detect peroxide with high accuracy. In this study, carbon paste electrode (CPE), modified with Co2SnO4 was synthesized and tested. It was successfully obtained a non-enzymatic H2O2 detection type sensor, based on Co2SnO4/CPE composite, showing good linear response in concentration of H2O2 in the range of 88-605.9 mu M.</t>
  </si>
  <si>
    <t>Bollo, Soledad/B-5257-2011; León, Domingo/AAE-7630-2019; Aguirre, Maria/A-3935-2013; Arce, Roxana/V-8140-2019</t>
  </si>
  <si>
    <t>Mosquera Mosquera, Nerly Liliana/0000-0002-9957-317X; Aguirre, Maria/0000-0003-1134-4469; Ruiz Leon, Domingo/0000-0002-0950-6919; ARCE, ROXANA/0000-0002-1387-9232; Bollo, Soledad/0000-0003-0868-4294</t>
  </si>
  <si>
    <t>10.4067/S0717-97072017000200020</t>
  </si>
  <si>
    <t>WOS:000408266600020</t>
  </si>
  <si>
    <t>Cortés, MEC; Llona, I</t>
  </si>
  <si>
    <t>Cortes, Manuel E. Cortes; Llona, Isabel</t>
  </si>
  <si>
    <t>Elaboration of Science Self-Learning Modules from the Perspective of Instructional Design: A Pilot Study</t>
  </si>
  <si>
    <t>ADVANCED SCIENCE LETTERS</t>
  </si>
  <si>
    <t>International Conference on Education (ICOED)</t>
  </si>
  <si>
    <t>APR 12-14, 2016</t>
  </si>
  <si>
    <t>Jakarta, INDONESIA</t>
  </si>
  <si>
    <t>Instructional design is an integrated lesson planning that incorporates the different inter-dependent elements involved in the teaching-learning process. The objective of this article is to provide an updated view on how the main elements of instructional design can be considered when elaborating self-learning modules based on this approach. In addition, the article includes the results of pilot study using a self-learning module on action potential for bio-medical students which, in general, showed an improvement in the academic results after using this supporting teaching resource. Developing self-leaning materials following the guidelines of instructional design may be replicated for other topics included in physiology courses as well as other disciplines, and could be useful for bio-medical students to learn more effectively.</t>
  </si>
  <si>
    <t>Cortes, Manuel/D-1744-2012</t>
  </si>
  <si>
    <t>Cortes, Manuel/0000-0003-0845-7147</t>
  </si>
  <si>
    <t>1936-6612</t>
  </si>
  <si>
    <t>1936-7317</t>
  </si>
  <si>
    <t>10.1166/asl.2017.7529</t>
  </si>
  <si>
    <t>WOS:000430814700111</t>
  </si>
  <si>
    <t>Ortiz, C; Villanueva, M</t>
  </si>
  <si>
    <t>Ortiz, Carmen; Villanueva, Monica</t>
  </si>
  <si>
    <t>Maximal independent sets in grid graphs</t>
  </si>
  <si>
    <t>INTERNATIONAL TRANSACTIONS IN OPERATIONAL RESEARCH</t>
  </si>
  <si>
    <t>A grid graph is the Cartesian product of two path graphs. Enumerating all maximal independent sets in a graph is a well-known combinatorial problem. For a general graph, it is #P-complete. In this work, we provide a polynomial-time algorithm to generate the whole family of maximal independent sets (mis) of complete grid graphs with two rows. The same algorithm is used in two particular cases: chordless paths and cycles. We apply this result to characterize the independent graph (intersection graph of maximal independent sets) of these three classes of graphs. We also present an alternative proof of Euler's result for grid graphs with three rows that can be used for enumerating the family of mis.</t>
  </si>
  <si>
    <t>Ortiz, Carmen/HTR-8652-2023</t>
  </si>
  <si>
    <t>Villanueva, Monica/0000-0003-3753-712X</t>
  </si>
  <si>
    <t>0969-6016</t>
  </si>
  <si>
    <t>1475-3995</t>
  </si>
  <si>
    <t>JAN-MAR</t>
  </si>
  <si>
    <t>10.1111/itor.12291</t>
  </si>
  <si>
    <t>WOS:000384672600021</t>
  </si>
  <si>
    <t>Rodriguez, AB; Ramirez, LJ; Martínez, JL</t>
  </si>
  <si>
    <t>Chova, LG; Martinez, AL; Torres, IC</t>
  </si>
  <si>
    <t>Rodriguez, Arturo B.; Ramirez, Leonardo J.; Luis Martinez, Jose</t>
  </si>
  <si>
    <t>UNDERSTANDING THROUGH ACTIVE METHODOLOGIES</t>
  </si>
  <si>
    <t>INTED2017: 11TH INTERNATIONAL TECHNOLOGY, EDUCATION AND DEVELOPMENT CONFERENCE</t>
  </si>
  <si>
    <t>INTED Proceedings</t>
  </si>
  <si>
    <t>11th International Conference on Technology, Education and Development (INTED)</t>
  </si>
  <si>
    <t>MAR 06-08, 2017</t>
  </si>
  <si>
    <t>Valencia, SPAIN</t>
  </si>
  <si>
    <t>The present work shows the results of the intervention with active methodologies in the classroom of the subject introduction to telecommunications for the semesters 2014-2 and 2015-1. In the first case a methodology was applied using robotic arms, while in second case applied a classical methodology. Instruments used are indicators of comprehension and dispersion. Then these indicators are compared, and results show how active methodologies drastically decrease the dispersion in the room and moderately increase comprehension levels.</t>
  </si>
  <si>
    <t>LOPEZ, LEONARDO/E-8930-2017; Martinez, Jose/ABA-2535-2021; Rodriguez, Arturo/I-7205-2016</t>
  </si>
  <si>
    <t>2340-1079</t>
  </si>
  <si>
    <t>978-84-617-8491-2</t>
  </si>
  <si>
    <t>WOS:000413668602013</t>
  </si>
  <si>
    <t>Rojo, D; Conget, P</t>
  </si>
  <si>
    <t>Rojo, D.; Conget, P.</t>
  </si>
  <si>
    <t>CELL-FREE DERIVATIVE FROM MESENCHYMAL STEM CELLS PREVENTS PERITONEAL ADHESIONS FORMATION</t>
  </si>
  <si>
    <t>CYTOTHERAPY</t>
  </si>
  <si>
    <t>1465-3249</t>
  </si>
  <si>
    <t>1477-2566</t>
  </si>
  <si>
    <t>S44</t>
  </si>
  <si>
    <t>WOS:000376222800113</t>
  </si>
  <si>
    <t>Cornejo, VH; Campos, M; Madrid, R; Couve, A</t>
  </si>
  <si>
    <t>Cornejo, V. H.; Campos, M.; Madrid, R.; Couve, A.</t>
  </si>
  <si>
    <t>A new function of the Golgi ARF1-exchange factor (GBF1) over TRPM8 ion channel activity in isolated peripheral nerve endings.</t>
  </si>
  <si>
    <t>MOLECULAR BIOLOGY OF THE CELL</t>
  </si>
  <si>
    <t>Annual Meeting of the American-Society-for-Cell-Biology (ASCB)</t>
  </si>
  <si>
    <t>DEC 03-07, 2016</t>
  </si>
  <si>
    <t>San Francisco, CA</t>
  </si>
  <si>
    <t>Amer Soc Cell Biol</t>
  </si>
  <si>
    <t>1059-1524</t>
  </si>
  <si>
    <t>1939-4586</t>
  </si>
  <si>
    <t>P1309</t>
  </si>
  <si>
    <t>WOS:000396047100311</t>
  </si>
  <si>
    <t>Morales-Morgado, EM; Ortuño, RAC; Bonilla, AAP</t>
  </si>
  <si>
    <t>GarciaPenalvo, FJ; Mendes, AJ</t>
  </si>
  <si>
    <t>Mariela Morales-Morgado, Erla; Campos Ortuno, Rosalynn Argelia; Perez Bonilla, Alejandra Alicia</t>
  </si>
  <si>
    <t>Multimedia Resources to Develop Information Competence A Methodological Design for the Comparative Study of Undergraduate and Post-graduate Students in Two Public Universities in Chile and Spain</t>
  </si>
  <si>
    <t>2016 INTERNATIONAL SYMPOSIUM ON COMPUTERS IN EDUCATION (SIIE)</t>
  </si>
  <si>
    <t>International Symposium on Computers in Education (SIIE)</t>
  </si>
  <si>
    <t>SEP 13-16, 2016</t>
  </si>
  <si>
    <t>Asociacion Para Desarrollo Informatica Educativa,Univ Salamanca, Campus Int Excellence,GRIAL,CEDI,IEEE Sociedad Educacion,IEEE Educ Soc,Asociacion Tecnicos Informatica,Sociedad Cientifica Informatica Espana</t>
  </si>
  <si>
    <t>In our current information society, the development of information competency is one of the basic objectives to be developed in primary [1], secondary [2] and even higher education, as pointed out by both the Horizon Report [3], [4], [5] and UNESCO [6], [7]. At the tertiary stage of education, it has been observed that in both Chile and Spain students in many cases have not developed the basic skills involved in information competence equally, and they run into problems when they have to write the research papers demanded in many of their subjects, including final degree projects and/or undergraduate dissertations. The University of Salamanca (USAL) is carrying out a project of teaching innovation [8] to create four Learning Objects (LOs) under the Creative Commons licence, designed to accommodate different learning styles and to help students learn more about sources of information, the Google search engine, meta-search engines, and academic plagiarism. According to the outcomes of the pilot study, the LOs increased student interest and motivation for further developing these competences. Having detected these same needs at the University of Santiago de Chile (USACH), a joint project is being carried out to adapt and reuse the LOs in the Chilean context, with a view to carryng out comparative studies, the design of which is presented herein.</t>
  </si>
  <si>
    <t>Morales-Morgado, Erla/A-8235-2017; Campos, Rosalynn/AAB-2322-2019; Campos Ortuno, Rosalynn Argelia/B-9767-2015</t>
  </si>
  <si>
    <t>Campos Ortuno, Rosalynn Argelia/0000-0002-1456-753X; Morales Morgado, Erla Mariela/0000-0001-5447-8251</t>
  </si>
  <si>
    <t>978-1-5090-4596-9</t>
  </si>
  <si>
    <t>WOS:000391860000039</t>
  </si>
  <si>
    <t>Palominos, FE; Diaz, H; Córdova, FM; Cañete, L; Durán, CA</t>
  </si>
  <si>
    <t>Dzitac, I; Filip, FG; Manolescu, MJ</t>
  </si>
  <si>
    <t>Palominos, Fredi E.; Diaz, Hernan; Cordova, Felisa M.; Canete A, Lucio; Duran, Claudia A.</t>
  </si>
  <si>
    <t>Model for the Organization, Storage and Processing of Large Data Banks of Physiological Variables</t>
  </si>
  <si>
    <t>2016 6TH INTERNATIONAL CONFERENCE ON COMPUTERS COMMUNICATIONS AND CONTROL (ICCCC)</t>
  </si>
  <si>
    <t>6th International Conference on Computers Communications and Control (ICCCC)</t>
  </si>
  <si>
    <t>MAY 10-14, 2016</t>
  </si>
  <si>
    <t>Oradea, ROMANIA</t>
  </si>
  <si>
    <t>IEEE,IEEE Reg 8,Agora Univ</t>
  </si>
  <si>
    <t>The proliferation and popularization of new instruments for measuring different types of electrophysiological variables, has generated the need to store huge volumes of information, corresponding to the records obtained by applying this instruments on experimental subjects. Together with this must be added the data derived from the analysis and purification processes. Moreover, several stages involved in the processing of data, is associated with one or more specific methods related to the area of research and to the treatment at which the base information (RAW) is subjected. As a result of this and with the passage of time, various problems occur, which are the most obvious consequence of that data and metadata derived from the treatment processes and analysis, and can end up accumulating and requiring more storage space than the base data. In addition, the enormous amount of information, as it increases over time, can lead to the loss of the link between the processed data, the methods of treatment used, and the analysis performed, so that eventually all becomes simply a huge repository of biometric data, devoid of meaning and sense. Current approaches around the concept of big data, while take over the storage and other aspects such as information search mechanisms, are far from incorporating metadata about the neurophysiological and emotional records. This type of information requires the construction of chronologies of events, including the methods of processing and analysis. In addition, it is required to maintain an adequate link between those responsible for the data (those who recorded and analyzed) and subjects that are under investigation, without breaking confidentiality to which they are entitled. This paper presents an approach founded in a data model that can adequately handle different types of chronologies of physiological and emotional information, ensuring confidentiality of information according to the experimental protocols and relevant ethical requirements, linking the information with the methods of treatment used and the technical and scientific documents derived from the analysis. Because the information coming from the original data will be associated with the methods of treatment to which they were subjected and with the results stored permanently, it is not necessary to repeat analysis with equivalent requirements, ensuring a better use of CPU and memory computer resources. Consequently, the need to generate specific data model is justified by the fact that the tools currently associated with the storage of large volumes of information are not able to take care of the semantic elements that make up the metadata and information relating to the analysis of base records of physiological information.</t>
  </si>
  <si>
    <t>Palominos, Fredi/U-4690-2019; Arratia, Lucio/AAV-6112-2020; CORDOVA, FELISA/S-1093-2019; Duran, Claudia/S-1175-2019</t>
  </si>
  <si>
    <t>CORDOVA, FELISA/0000-0002-5557-8569; Palominos, Fredi/0000-0002-6119-4991; Canete Arratia, Lucio/0000-0002-1191-8728</t>
  </si>
  <si>
    <t>978-1-5090-1735-5</t>
  </si>
  <si>
    <t>WOS:000391251000027</t>
  </si>
  <si>
    <t>Orellana, JA; Busso, D; Ramírez, G; Campos, M; Rigotti, A; Eugenín, J; von Bernhardi, R</t>
  </si>
  <si>
    <t>Orellana, Juan A.; Busso, Dolores; Ramirez, Gigliola; Campos, Marlys; Rigotti, Attilio; Eugenin, Jaime; von Bernhardi, Rommy</t>
  </si>
  <si>
    <t>Prenatal nicotine exposure enhances Cx43 and Panx1 unopposed channel activity in brain cells of adult offspring mice fed a high-fat/cholesterol diet</t>
  </si>
  <si>
    <t>FRONTIERS IN CELLULAR NEUROSCIENCE</t>
  </si>
  <si>
    <t>Nicotine, the most important neuroteratogen of tobacco smoke, can reproduce brain and cognitive disturbances per se when administered prenatally. However, it is still unknown if paracrine signaling among brain cells participates in prenatal nicotine-induced brain impairment of adult offspring. Paracrine signaling is partly mediated by unopposed channels formed by connexins hemichannels (HCs) and pannexins serving as aqueous pores permeable to ions and small signaling molecules, allowing exchange between the intra- and extracellular milieus. Our aim was to address whether prenatal nicotine exposure changes the activity of those channels in adult mice offspring under control conditions or subjected to a second challenge during young ages: high-fat/cholesterol (HFC) diet. To induce prenatal exposure to nicotine, osmotic minipumps were implanted in CF1 pregnant mice at gestational day 5 to deliver nicotine bitartrate or saline (control) solutions. After weaning, offspring of nicotine-treated or untreated pregnant mice were fed ad libitum with chow or HFC diets for 8 weeks. The functional state of connexin 43 (Cx43) and pannexin 1( Panx1) unopposed channels was evaluated by dye uptake experiments in hippocampal slices from 11-week-old mice. We found that prenatal nicotine increased the opening of Cx43 HCs in astrocytes, and Panx1 channels in microglia and neurons only if offspring mice were fed with HFC diet. Blockade of inducible nitric oxide synthase( iNOS), cyclooxygenase 2 (COX2) and prostaglandin E receptor 1 (EP1), ionotropic ATP receptor type 7 (P2X(7)) and NMDA receptors, showed differential inhibition of prenatal nicotine-induced channel opening in glial cells and neurons. Importantly, inhibition of the above mentioned enzymes and receptors, or blockade of Cx43 and Panx1 unopposed channels greatly reduced adenosine triphosphate (ATP) and glutamate release from hippocampal slices of prenatally nicotine-exposed offspring. We propose that unregulated gliotransmitter release through Cx43 and Panx1 unopposed channels may participate in brain alterations observed in offspring of mothers exposed to tobacco smoke during pregnancy.</t>
  </si>
  <si>
    <t>Busso, Dolores/K-7375-2012; Orellana, Juan/F-6148-2012; von Bernhardi, Rommy/IAO-3764-2023</t>
  </si>
  <si>
    <t>Busso, Dolores/0000-0003-2113-1926; Orellana, Juan Andres/0000-0003-4076-207X; von Bernhardi, Rommy/0000-0002-9022-7676</t>
  </si>
  <si>
    <t>1662-5102</t>
  </si>
  <si>
    <t>10.3389/fncel.2014.00403</t>
  </si>
  <si>
    <t>WOS:000346779800002</t>
  </si>
  <si>
    <t>Adasme, P; Lisser, A</t>
  </si>
  <si>
    <t>Adasme, Pablo; Lisser, Abdel</t>
  </si>
  <si>
    <t>Stochastic and semidefinite optimization for scheduling in orthogonal frequency division multiple access networks</t>
  </si>
  <si>
    <t>JOURNAL OF SCHEDULING</t>
  </si>
  <si>
    <t>In this paper, we propose stochastic binary quadratic programs for the scheduling resource allocation process of a wireless orthogonal frequency division multiple access network. More precisely, we formulate a two-stage stochastic model, then we further extend the two-stage model by introducing a knapsack probabilistic constrained approach, and finally we propose a multi-stage stochastic program for this problem. The models are aimed at minimizing the total power consumption of the network at each time slot of the scheduling process subject to user bit rates, sub-carrier and modulation linear constraints. In order to compute lower bounds, we derive linear and semidefinite programming relaxations for each of the proposed models. The bounds are also compared with a basic variable neighborhood search metaheuristic approach. Numerical results show tight lower bounds for the semidefinite relaxations when compared to the linear ones and with the metaheuristic. Moreover, near optimal solutions are found with the semidefinite relaxations for the two-stage model without using probabilistic constraints and for the multi-stage program as well.</t>
  </si>
  <si>
    <t>Adasme, Pablo/U-1735-2019</t>
  </si>
  <si>
    <t>Adasme, Pablo/0000-0003-2500-3294</t>
  </si>
  <si>
    <t>1094-6136</t>
  </si>
  <si>
    <t>1099-1425</t>
  </si>
  <si>
    <t>10.1007/s10951-013-0333-1</t>
  </si>
  <si>
    <t>WOS:000342422400004</t>
  </si>
  <si>
    <t>Gramsch, E; Reyes, F; Oyola, P; Rubio, MA; López, G; Pérez, P; Martínez, R</t>
  </si>
  <si>
    <t>Gramsch, E.; Reyes, F.; Oyola, P.; Rubio, M. A.; Lopez, G.; Perez, P.; Martinez, R.</t>
  </si>
  <si>
    <t>Particle size distribution and its relationship to black carbon in two urban and one rural site in Santiago de Chile</t>
  </si>
  <si>
    <t>JOURNAL OF THE AIR &amp; WASTE MANAGEMENT ASSOCIATION</t>
  </si>
  <si>
    <t>The size distribution of particles has been studied in three sites in the Metropolitan area of Santiago de Chile in the winter of 2009 and a comparison with black carbon was performed. Two sites are located near busy streets in Santiago and the other site is located in a rural area about 40 km west of Santiago with little influence form vehicles, but large influence:from wood burning. The campaign lasted I or 2 weeks in each site. We have divided the particle size measurements into four groups (10-39 nm, 40-62 nm, 63-174 nm, and 175-700 nm) in order to compare with the carbon monitor. In the sites near the street, black carbon has a high correlation (R 0.85) with larger particles (175-700 nm). The correlation decreased when black carbon was compared with smaller particles, having very small correlation with the smallest sizes (10-39 nm). In the rural site, black carbon also has a high correlation 0.86) with larger particles (175-700 nm), but the correlation between black carbon and the finest particles (10-39 nm;) decreases to near 0. These measurements are an indication that wood burning does not generate particles smaller than similar to 50 nm. In the urban sites, particle size distribution is peaked toward smaller particles (10-39 nm) only during rush hours, but at other times, particles size distribution is peaked toward larger sizes. When solar radiation was high, evidence of secondary particle formation was seen in the rural site, but not in the urban sites. The correlation between the number of secondary particles and solar radiation was R-2 = 0.46, indicating that it there may be other variables that play a role in ultraline particle formation.</t>
  </si>
  <si>
    <t>Perez, Patricio/AAS-7390-2020; Bajo, Maria/ABF-6991-2020; Gramsch, Ernesto/M-5507-2017</t>
  </si>
  <si>
    <t>Perez, Patricio/0000-0003-1234-4233; Gramsch, Ernesto/0000-0002-6787-7355</t>
  </si>
  <si>
    <t>1096-2247</t>
  </si>
  <si>
    <t>2162-2906</t>
  </si>
  <si>
    <t>10.1080/10962247.2014.890141</t>
  </si>
  <si>
    <t>WOS:000338105000004</t>
  </si>
  <si>
    <t>Campos, AM; Lopez-Alarcón, C; Lissi, E</t>
  </si>
  <si>
    <t>Maria Campos, Ana; Lopez-Alarcon, Camilo; Lissi, Eduardo</t>
  </si>
  <si>
    <t>EVALUATION OF THE TOTAL AMOUNT OF PHENOL GROUPS IN COMPLEX MIXTURES BY FOLIN'S AND ORAC-FLUORESCEIN METHODOLOGIES</t>
  </si>
  <si>
    <t>The total number of phenolic HO groups in a mixture and their average reactivity are fundamental parameters in the evaluation of the capacity of the sample to remove potentially damaging free radicals. The total number of phenolic groups is generally determined by Folin's method and several competitive experiments have been proposed to estimate the reactivity of the sample. Among those stand the Oxygen Radical Absorbance Capacity (ORAC) methodologies. However, when fluorescein is employed as target molecule (ORAC-FL methodology) the index is more related to the number of phenolic groups than to their average reactivity. In the present work it is shown that both indexes correlate with the number of phenolic groups in pure compounds and with the total number of reactive OH groups in complex mixtures (beverages, infusions, fruits and vegetables). This leads to a fair correlation between Folin's and ORAC-FL indexes in these samples.</t>
  </si>
  <si>
    <t>Lopez, Camilo/J-5770-2013</t>
  </si>
  <si>
    <t>Lopez, Camilo/0000-0002-0174-8972</t>
  </si>
  <si>
    <t>10.4067/S0717-97072013000400054</t>
  </si>
  <si>
    <t>WOS:000331238800050</t>
  </si>
  <si>
    <t>Barrientos, RJ; Gómez, JI; Tenllado, C; Matias, MP; Marin, M</t>
  </si>
  <si>
    <t>Barrientos, Ricardo J.; Gomez, Jose I.; Tenllado, Christian; Prieto Matias, Manuel; Marin, Mauricio</t>
  </si>
  <si>
    <t>Range query processing on single and multi GPU environments</t>
  </si>
  <si>
    <t>COMPUTERS &amp; ELECTRICAL ENGINEERING</t>
  </si>
  <si>
    <t>Metric-space similarity search has proven suitable in a number of application domains such as multimedia retrieval and computational biology to name a few. These applications usually work on very large databases that are often indexed to speed-up on-line searches. To achieve efficient throughput, it is essential to exploit the intrinsic parallelism in the respective search query processing algorithms. Many strategies have been proposed in the literature to parallelize these algorithms either on shared or distributed memory multiprocessor systems. Lately, GPUs have been used to implement brute-force parallel search strategies instead of using index data structures. Indexing poses difficulties when it comes to achieve efficient exploitation of GPU resources. In this paper we propose single and multi CPU metric space techniques that efficiently exploit CPU tailored index data structures for parallel similarity search in large databases. The experimental results show that our proposal outperforms previous index-based sequential and OpenMP search strategies. (C) 2013 Elsevier Ltd. All rights reserved.</t>
  </si>
  <si>
    <t>Barrientos, Ricardo/AAO-9230-2020; Aguaded, Ignacio/R-4281-2016; Marin, Mauricio/GLR-7700-2022; Tenllado, Christian/O-9954-2014; Prieto-Matias, Manuel/K-8325-2012</t>
  </si>
  <si>
    <t>Tenllado, Christian/0000-0003-2348-4741; Barrientos, Ricardo/0000-0001-5345-7061; Marin, Mauricio/0000-0003-0662-7149; Prieto-Matias, Manuel/0000-0003-0687-3737; Gomez, Jose Ignacio/0000-0002-8678-9123</t>
  </si>
  <si>
    <t>0045-7906</t>
  </si>
  <si>
    <t>1879-0755</t>
  </si>
  <si>
    <t>10.1016/j.compeleceng.2013.05.012</t>
  </si>
  <si>
    <t>WOS:000328871900018</t>
  </si>
  <si>
    <t>Rezende, MC; Millán, D</t>
  </si>
  <si>
    <t>Caroli Rezende, Marcos; Millan, Daniela</t>
  </si>
  <si>
    <t>Theoretical Substituent Electrophilicities</t>
  </si>
  <si>
    <t>A Hammett-like equation, relating theoretical global and substituent electrophilicities, is derived for substituted ethylenes and benzoic acids, allowing the calculation of electrophilic substituent constants a.. Correlations are given between the theoretical a, constants and kinetic or thermodynamic parameters of various chemical processes from the literature. Though electrophilic substituent constants are formally similar to the Hammett constants, they are derived from entirely different theoretical postulates. The similarities and differences between the two sets of constants are discussed and rationalized in terms of the definition of the electrophilic power of a chemical species.</t>
  </si>
  <si>
    <t>Millan, Daniela/ABD-4398-2021; Caroli, Marcos/H-3570-2019</t>
  </si>
  <si>
    <t>Millan, Daniela/0000-0002-4264-7967; Rezende, Marcos/0000-0003-2040-9009</t>
  </si>
  <si>
    <t>1678-4790</t>
  </si>
  <si>
    <t>10.1590/S0103-50532011001100009</t>
  </si>
  <si>
    <t>WOS:000297826000010</t>
  </si>
  <si>
    <t>Rabagliati, FM; Muñoz, L; Quijada, R</t>
  </si>
  <si>
    <t>Rabagliati, F. M.; Munoz, L. A.; Quijada, R.</t>
  </si>
  <si>
    <t>Styrene copolymerization using a metallocenic initiator. Homo- and copolymerization of styrene with isoprene through zirconocene-MAO initiating systems</t>
  </si>
  <si>
    <t>POLYMER BULLETIN</t>
  </si>
  <si>
    <t>The copolymerization of styrene with isoprene (Ip) has been tested using combined zirconocene-methylaluminoxane (MAO) initiating system. Both half-sandwich and real zirconium-based metallocenes were used. Regardless of the metallocene employed, conversion to copolymer was much influenced by the proportion of Ip in the initial feed. As the proportion of Ip is enriched, conversion to copolymer decreases substantially. Results of NMR and DSC analyses indicate that the products obtained were truly copolymers and not a mixture of both homopolymers. The studied zirconocene-MAO initiating system produces atactic polystyrene. A small amount of Ip in the initial feed substantially diminishes the conversion and at best traces of poly(isoprene) were detected in the homopolymerization of Ip with these initiating systems.</t>
  </si>
  <si>
    <t>QUIJADA, RAUL/0000-0003-0791-6954; munoz, lisa/0000-0002-4588-2620</t>
  </si>
  <si>
    <t>0170-0839</t>
  </si>
  <si>
    <t>1436-2449</t>
  </si>
  <si>
    <t>10.1007/s00289-011-0457-4</t>
  </si>
  <si>
    <t>WOS:000296005700002</t>
  </si>
  <si>
    <t>Firinguetti, L; Bobadilla, G</t>
  </si>
  <si>
    <t>Firinguetti, Luis; Bobadilla, Gladys</t>
  </si>
  <si>
    <t>Asymptotic confidence intervals in ridge regression based on the Edgeworth expansion</t>
  </si>
  <si>
    <t>STATISTICAL PAPERS</t>
  </si>
  <si>
    <t>Ridge Regression techniques have been found useful to reduce mean square errors of parameter estimates when multicollinearity is present. But the usefulness of the method rest not only upon its ability to produce good parameter estimates, with smaller mean squared error than Ordinary Least Squares, but also on having reasonable inferential procedures. The aim of this paper is to develop asymptotic confidence intervals for the model parameters based on Ridge Regression estimates and the Edgeworth expansion. Some simulation experiments are carried out to compare these confidence intervals with those obtained from the application of Ordinary Least Squares. Also, an example will be provided based on the well known data set of Hald.</t>
  </si>
  <si>
    <t>0932-5026</t>
  </si>
  <si>
    <t>10.1007/s00362-009-0229-5</t>
  </si>
  <si>
    <t>WOS:000289792000002</t>
  </si>
  <si>
    <t>Siginer, DA; Letelier, MF</t>
  </si>
  <si>
    <t>Siginer, Dennis A.; Letelier, Mario F.</t>
  </si>
  <si>
    <t>Laminar flow of non-linear viscoelastic fluids in straight tubes of arbitrary contour</t>
  </si>
  <si>
    <t>INTERNATIONAL JOURNAL OF HEAT AND MASS TRANSFER</t>
  </si>
  <si>
    <t>The fully developed steady velocity field in pressure gradient driven laminar flow of non-linear viscoelastic fluids with instantaneous elasticity constitutively represented by a class of single mode, non-affine quasilinear constitutive equations is investigated in straight pipes of arbitrary contour partial derivative D. A continuous one-to-one mapping is used to obtain arbitrary tube contours from a base tube contour partial derivative D-0. The analytical method presented is capable of predicting the velocity field in tubes with arbitrary cross-section. The base flow is the Newtonian field and is obtained at O(1). Field variables are expanded in asymptotic series in terms of the Weissenberg number Wi. The analysis does not place any restrictions on the smallness of the driving pressure gradients which can be large and applies to dilute and weakly elastic non-linear viscoelastic fluids. The velocity field is investigated up to and including the third order in Wi. The Newtonian field in general arbitrary contours is obtained and longitudinal velocity field components due to shear-thinning and to non-linear viscoelastic effects are identified. Third order analysis shows a further contribution to the longitudinal field driven by first normal stress differences. Secondary flows driven by unbalanced second normal stresses in the cross-section manifest themselves as well at this order. Longitudinal equal velocity contours, the secondary flow field structure, the first and the second normal stress differences as well as wall shear stress variations are discussed for several non-circular contours some for the first time. (C) 2010 Elsevier Ltd. All rights reserved.</t>
  </si>
  <si>
    <t>0017-9310</t>
  </si>
  <si>
    <t>9-10</t>
  </si>
  <si>
    <t>10.1016/j.ijheatmasstransfer.2010.11.041</t>
  </si>
  <si>
    <t>WOS:000289011700051</t>
  </si>
  <si>
    <t>Rodríguez, H; Adasme, P; Lisser, A; Soto, I</t>
  </si>
  <si>
    <t>Pahl, J; Reiners, T; Voss, S</t>
  </si>
  <si>
    <t>Rodriguez, Hugo; Adasme, Pablo; Lisser, Abdel; Soto, Ismael</t>
  </si>
  <si>
    <t>Computing Upper Bounds for a LBPP with and without Probabilistic Constraints</t>
  </si>
  <si>
    <t>NETWORK OPTIMIZATION</t>
  </si>
  <si>
    <t>5th International Network Optimization Conference (INOC)</t>
  </si>
  <si>
    <t>JUN 13-16, 2011</t>
  </si>
  <si>
    <t>Univ Hamburg, Hamburg, GERMANY</t>
  </si>
  <si>
    <t>Univ Hamburg</t>
  </si>
  <si>
    <t>In this paper, we compute upper bounds for a generic linear bilevel programming problem (LBPP) using the iterative min-max (IMM) algorithm proposed in [4,5]. Neither in [4] nor in [5] the authors give optimal solutions for this problem or gaps to measure IMM efficiency. To this purpose, we implement the construction method proposed by Jacobsen [3] to generate valid test instances with their respective optimal solutions. Afterward, we add to these valid test instances knapsack probabilistic constraints in the upper-level sub-problem as in [4,5]. The latter allows us to compute upper bounds for stochastic bilevel instances as well. Our numerical results show average relative gaps of 43.97% for the valid test instances and 28.93% while adding probabilistic constraints.</t>
  </si>
  <si>
    <t>Adasme, Pablo/0000-0003-2500-3294; Soto, Ismael/0000-0002-5501-5651</t>
  </si>
  <si>
    <t>978-3-642-21527-8</t>
  </si>
  <si>
    <t>WOS:000306643300068</t>
  </si>
  <si>
    <t>Vallejo, G; Fernández, P; Livacic-Rojas, P</t>
  </si>
  <si>
    <t>Vallejo, Guillermo; Fernandez, Paula; Livacic-Rojas, Pablo</t>
  </si>
  <si>
    <t>Robust tests for two-way ANOVA models under heteroscedasticity</t>
  </si>
  <si>
    <t>PSICOLOGICA</t>
  </si>
  <si>
    <t>Robust tests for two-way ANOVA models under heteroscedasticity: The aim of this research was to compare the robustness of two heteroscedastic test statisticss the Welch-James statistic developed by Johansen (WJ) and the Type-Box statistic developed by Brunners Dette and Munk (BDM) together with the General Linear Model (GLM), not heteroscedastic test statistics in two different manners depending on the calculation of the critical value. On the one hands when the critical values are based on theoretical values (WJ, BDM and GLM respectively), and on the other hands when they are obtained by means of bootstrap resampling (WJB, BDMB and GLMB respectively). To carry out it a study of simulation was realized on a factorial design lacking in homogeneity, normality and orthogonally. The results show that when the relation between the size of the cells and the size of the variances was positive the procedure WJ was the most robust and that when the relation was negative the most robust procedure was WJB Both procedures behaved in a liberal way when the shape of the distribution was skewed, in major measure major it were the degree of inequality of the size of the cells and the heterogeneity of the variances.</t>
  </si>
  <si>
    <t>Vallejo, Guillermo/B-8233-2011; Fernandez, Paula/I-1881-2015</t>
  </si>
  <si>
    <t>Guillermo, Vallejo/0000-0001-6569-9279; Fernandez, Paula/0000-0003-0140-7702; Vallejo, Guillermo/0000-0002-8010-6854</t>
  </si>
  <si>
    <t>0211-2159</t>
  </si>
  <si>
    <t>1576-8597</t>
  </si>
  <si>
    <t>WOS:000275204400007</t>
  </si>
  <si>
    <t>Navas, A; Rivas, C</t>
  </si>
  <si>
    <t>Navas, Andres; Rivas, Cristobal</t>
  </si>
  <si>
    <t>A new characterization of Conrad's property for group orderings, with applications</t>
  </si>
  <si>
    <t>ALGEBRAIC AND GEOMETRIC TOPOLOGY</t>
  </si>
  <si>
    <t>We provide a pure algebraic version of the first-named author's dynamical characterization of the Conrad property for group orderings. This approach allows dealing with general group actions on totally ordered spaces. As an application, we give a new and somehow constructive proof of a theorem first established by Linnell: an orderable group having infinitely many orderings has uncountably many. This proof is achieved by extending to uncountable orderable groups a result about orderings which may be approximated by their conjugates. This last result is illustrated by an example of an exotic ordering on the free group given by the third author in the Appendix.</t>
  </si>
  <si>
    <t>Navas Flores, Andres Ignacio/0000-0002-0853-5136; Clay, Adam/0000-0002-3918-1692; Rivas, Cristobal/0000-0003-4021-2705</t>
  </si>
  <si>
    <t>1472-2739</t>
  </si>
  <si>
    <t>10.2140/agt.2009.9.2079</t>
  </si>
  <si>
    <t>WOS:000276241600008</t>
  </si>
  <si>
    <t>Livacic-Rojas, P; Vallejo, G; Fernández, P</t>
  </si>
  <si>
    <t>Livacic-Rojas, Pablo; Vallejo, Guillermo; Fernandez, Paula</t>
  </si>
  <si>
    <t>Power comparison of new tests to analyze repeated measures data</t>
  </si>
  <si>
    <t>PSICOTHEMA</t>
  </si>
  <si>
    <t>This work compares the sensitivity of five modern analytical techniques for detecting the effects of a design with measures which are partially repeated when the assumptions of the traditional ANOVA approach are not met, namely: the approach of the mixed model adjusted by means of the SAS Proc Mixed module, the Bootstrap-F approach, the Brown-Forsythe multivariate approach, the Welch-James multivariate approach and Welch-James multivariate approach with robust estimators. Previously, Livacic-Rojas, Vallejo and FernAndez found out that these methods are comparable in terms of their Type I error rates. The results obtained suggest that the mixed model approach, as well as the Brown-Forsythe and Welch-James approaches, satisfactorily controlled the Type II error rates corresponding to the main effects of the measurement occasions under most of the conditions assessed.</t>
  </si>
  <si>
    <t>Vallejo, Guillermo/0000-0002-8010-6854; Fernandez, Paula/0000-0003-0140-7702; Guillermo, Vallejo/0000-0001-6569-9279</t>
  </si>
  <si>
    <t>0214-9915</t>
  </si>
  <si>
    <t>1886-144X</t>
  </si>
  <si>
    <t>WOS:000250216800021</t>
  </si>
  <si>
    <t>Escrig, J; Altbir, D; Nielsch, K</t>
  </si>
  <si>
    <t>Escrig, J.; Altbir, D.; Nielsch, K.</t>
  </si>
  <si>
    <t>Magnetic properties of bi-phase micro- and nanotubes</t>
  </si>
  <si>
    <t>The magnetic configurations of bi-phase micro- and nanotubes consisting of a ferromagnetic internal tube, an intermediate non-magnetic spacer, and an external magnetic shell are investigated as a function of their geometry. Based on a continuum approach we obtained analytical expressions for the energy which lead us to obtain phase diagrams giving the relative stability of characteristic internal magnetic configurations of the bi-phase tubes.</t>
  </si>
  <si>
    <t>Nielsch, Kornelius/S-3196-2016; Escrig, Juan/N-4304-2015; Altbir, Dora/R-6781-2018</t>
  </si>
  <si>
    <t>Nielsch, Kornelius/0000-0003-2271-7726; Escrig, Juan/0000-0002-3958-8185; Altbir, Dora/0000-0002-2945-4909</t>
  </si>
  <si>
    <t>JUN 6</t>
  </si>
  <si>
    <t>10.1088/0957-4484/18/22/225704</t>
  </si>
  <si>
    <t>WOS:000246590400018</t>
  </si>
  <si>
    <t>Sore, F; Rudnick, H; Zolezzi, J</t>
  </si>
  <si>
    <t>Sore, Franko; Rudnick, Hugh; Zolezzi, Juan</t>
  </si>
  <si>
    <t>Definition of an efficient transmission system using cooperative games theory</t>
  </si>
  <si>
    <t>Under a context of transmission open access, a methodology to define a common transmission trunk system using economic and technical criteria is proposed. A transmission trunk system is defined as a unique and common system constituted by electrical lines and substations that are economically efficient and necessary to allow the development of an electrical market and the supply of demand in the respective electrical system at a minimum cost and in an efficient manner. The principles of cooperation and interaction between agents that are the base for the cooperative games theory are used. Simple games and the Shapley value approach are used. The proposal responds to the need to identify a common main system, common to supply and demand agents, needed in system open access schemes in electricity markets.</t>
  </si>
  <si>
    <t>; Rudnick, Hugh/F-8281-2013</t>
  </si>
  <si>
    <t>Zolezzi Cid, Juan Manuel/0009-0001-5377-0688; Rudnick, Hugh/0000-0002-5424-7784</t>
  </si>
  <si>
    <t>10.1109/TPWRS.2006.884124</t>
  </si>
  <si>
    <t>WOS:000241839700002</t>
  </si>
  <si>
    <t>Horváthy, PA; Plyushchay, MS</t>
  </si>
  <si>
    <t>Nonrelativistic anyons in external electromagnetic field</t>
  </si>
  <si>
    <t>NUCLEAR PHYSICS B</t>
  </si>
  <si>
    <t>The first-order, infinite-component field equations we proposed before for nonrelativistic anyons (identified with particles in the plane with noncommuting coordinates) are generalized to accommodate arbitrary background electromagnetic fields. Consistent coupling of the underlying classical system to arbitrary fields is introduced; at a critical value of the magnetic field, the particle follows a Hall-like law of motion. The corresponding quantized system reveals a hidden nonlocality if the magnetic field is inhomogeneous. In the quantum Landau problem spectral as well as state structure (finite vs. infinite) asymmetry is found. The bound and scattering states, separated by the critical magnetic field phase, behave as further, distinct phases. (c) 2005 Elsevier B.V. All rights reserved.</t>
  </si>
  <si>
    <t>Peter, Horvathy/0000-0002-6337-4494</t>
  </si>
  <si>
    <t>0550-3213</t>
  </si>
  <si>
    <t>1873-1562</t>
  </si>
  <si>
    <t>MAY 16</t>
  </si>
  <si>
    <t>10.1016/j.nuclphysb.2005.02.027</t>
  </si>
  <si>
    <t>WOS:000228795400004</t>
  </si>
  <si>
    <t>Ardila, DR; Cofré, LV; Barbosa, LB; Andreeta, JP</t>
  </si>
  <si>
    <t>Study of floating zone profiles in materials grown by the laser-heated pedestal growth technique under isostatic atmosphere</t>
  </si>
  <si>
    <t>CRYSTAL RESEARCH AND TECHNOLOGY</t>
  </si>
  <si>
    <t>International School on Crystal Growth, Characterization and Applications</t>
  </si>
  <si>
    <t>DEC 09-13, 2003</t>
  </si>
  <si>
    <t>La Pedrera, URUGUAY</t>
  </si>
  <si>
    <t>Int Union Crystallog,UNESCO,Inst Kristallzucht,Univ Republic, Uruguay, Sci Res Commiss</t>
  </si>
  <si>
    <t>The analysis of the melt profile in floating zone techniques has been made in the past years by raising differential equations in terms of Cartesian coordinates and numerically looking for its solution. Although this method permits to establish quite good approximations to the real melt profile, the solutions are deficient in the prediction of new information that can be related to the thermophysical properties of most materials. We investigated the applicability of a different approach that starting from a novel differential equation permits its fitting to the profile of a real situation and also the determination of some important growth parameters like the range of shape stability. Results concerning melt profiles of materials grown under controlled atmosphere are reported. (C) 2004 WILEY-VCH Verlag GmbH &amp; Co. KGaA, Weinheim.</t>
  </si>
  <si>
    <t>Barbosa, L.B./R-3411-2016</t>
  </si>
  <si>
    <t>0232-1300</t>
  </si>
  <si>
    <t>1521-4079</t>
  </si>
  <si>
    <t>10.1002/crat.200410265</t>
  </si>
  <si>
    <t>WOS:000224399900005</t>
  </si>
  <si>
    <t>Moya, SA; Azócar-Guzmán, I; Guerrero, J; Aguirre, P</t>
  </si>
  <si>
    <t>Synthesis and characterization of monometallic and bimetallic complexes of rhenium(I) and ruthenium(II) with 4,4′-bipyridine as ligand-bridge.</t>
  </si>
  <si>
    <t>A new Rhenium (I) and Ruthenium(II) bimetallic polipyridilcarbonil complex and the corresponding monometallic precursor complexes were prepared. The compounds were characterized physically and spectroscopically (Elemental Analysis, Conductivity, Cyclic Voltammetry, IR-FT, RMN-H and UV-Visible). The results are consistent with the [Re(CO)(3)(2,2'-biquinoline)(4,4'-bipiridine](CF3SO3) and RuCl2 (CO)(2)(2,2'-biquinoline) formulation for the monometallic precursor complexes and with the [(CO)3 (2,2'biquinoline)Re(4,4'-bipiridine)RuCl (CO)(2) (2,2'-biquinoline)] formulation for the bimetallic complex.</t>
  </si>
  <si>
    <t>WOS:000180026700011</t>
  </si>
  <si>
    <t>CAMARA, OR; DEPAULI, CP; VASCHETTO, ME; RETAMAL, B; AQUIRRE, MJ; ZAGAL, JH; BIAGGIO, SR</t>
  </si>
  <si>
    <t>SEMICONDUCTING PROPERTIES OF TIO2 FILMS THERMALLY FORMED AT 480-DEGREES-C</t>
  </si>
  <si>
    <t>JOURNAL OF APPLIED ELECTROCHEMISTRY</t>
  </si>
  <si>
    <t>Titanium oxide films, TiO2, were prepared on metallic titanium substrates employing a thermal treatment at 400 degrees C under normal air atmosphere, with various annealing times (15, 25 and 45 min). Cyclic voltammetry and electrochemical impedance spectroscopy techniques were used to study the electrochemical and electrical characteristics of these films. The potential range for the voltammetric measurements was -0.80 to 8.00 V vs MSE (mercurous sulfate reference electrode). An analysis of the capacitance values of these semiconducting oxide films gave information about their electronic characteristics. From Mott-Schottky plots the donor concentration (N-D) and the flat band potential (E(fb)) were obtained. ND values ranged from 14 x 10(22) cm(-3) to, 3.3 x 10(22) cm(-3), while E(fb) values ranged from -0.40 to -0.98 V vs MSE, depending on the heating times for the oxide growth. The thickness of the space charge region, calculated from the minimum value of the capacitance at high band bending, varied between 1.45 and 2.13 nm.</t>
  </si>
  <si>
    <t>zagal, jose/L-9648-2014; Biaggio, Sonia R./D-9810-2012</t>
  </si>
  <si>
    <t>Biaggio, Sonia R./0000-0003-2127-859X</t>
  </si>
  <si>
    <t>0021-891X</t>
  </si>
  <si>
    <t>10.1007/BF00262963</t>
  </si>
  <si>
    <t>WOS:A1995QL51000009</t>
  </si>
  <si>
    <t>OLEA, A; LISSI, EA</t>
  </si>
  <si>
    <t>QUENCHING OF EXCITED PYRENE BOUND TO CETYLTRIMETHYLAMMONIUM MICELLES BY INORGANIC CATIONS</t>
  </si>
  <si>
    <t>Olea, Andres/AAF-6955-2019</t>
  </si>
  <si>
    <t>Olea, Andres/0000-0001-8007-6264</t>
  </si>
  <si>
    <t>10.1021/la00068a018</t>
  </si>
  <si>
    <t>WOS:A1986A692800018</t>
  </si>
  <si>
    <t>ENCINAS, MV; LISSI, E; RADIC, D; SIGDMAN, R</t>
  </si>
  <si>
    <t>POLYMERIZATION PHOTOINITIATED BY CARBONYL-COMPOUNDS .6. MECHANISM OF BENZIL PHOTOINITIATION</t>
  </si>
  <si>
    <t>10.1002/pol.1984.170221015</t>
  </si>
  <si>
    <t>WOS:A1984TL78800015</t>
  </si>
  <si>
    <t>Cabezas, D; Celentano, DJ; Cruchaga, MA; García-Herrera, C; Monsalve, A</t>
  </si>
  <si>
    <t>Cabezas, Daniel; Celentano, Diego J.; Cruchaga, Marcela A.; Garcia-Herrera, Claudio; Monsalve, Alberto</t>
  </si>
  <si>
    <t>Numerical Analysis of the Laser Forming Process of Cylindrical Surfaces</t>
  </si>
  <si>
    <t>This research reports on numerical simulations of the multi-pass laser forming process aimed at obtaining cylindrical surfaces from planar AISI 304 stainless-steel sheets. The effect of laser power, scanning speed, and distance between irradiation lines on the thermomechanical material response is assessed, with particular emphasis on the final curvature radius, maximum temperature, and final plastic deformation. To this end, a coupled thermomechanical finite element formulation is applied to the analysis of different experimental tests reported in the literature. The predictive capabilities of this model are demonstrated in the analysis of bent parts exhibiting a wide range of curvature radii, whose values were found in this work to inversely correlate with the total line energy input to the workpiece. In such situations, it was found that both the thermal response and the effective plastic strain values obtained in each test correlate directly with the line energy value. Furthermore, the distance between irradiation lines was identified as a key parameter in the formation of cylindrical surfaces, as it significantly influences the displacement and induced deformation. However, no significant impact of this parameter on the effective plastic strain was observed.</t>
  </si>
  <si>
    <t>APR 3</t>
  </si>
  <si>
    <t>10.3390/met15040402</t>
  </si>
  <si>
    <t>WOS:001475220200001</t>
  </si>
  <si>
    <t>Martínez-Gómez, F; Rezende, MC; Rodríguez-Huenchún, V; Ormazábal-Toledo, R</t>
  </si>
  <si>
    <t>Martinez-Gomez, Fabian; Rezende, Marcos Caroli; Rodriguez-Huenchun, Valentina; Ormazabal-Toledo, Rodrigo</t>
  </si>
  <si>
    <t>Increasing the Orthogonality of 4-Pyridiniophenols: An NMR Study of Their Solvatomagnetism</t>
  </si>
  <si>
    <t>The 1H- and 13C-NMR spectra of three substituted N-(4-hydroxyphenyl)pyridinium perchlorates, precursors of solvatochromic 4-pyridiniophenolate betaines, were recorded in deuterated acetone, dimethylsulfoxide, and acetonitrile, and their spectral behavior in these solvents was analyzed as evidence of the solute-solvent interactions present in solution. The effect of the increasing orthogonality between the phenolic and pyridinium fragments was clearly evident from the obtained spectra, thus shedding light on the ground-state structures of their deprotonated solvatochromic derivatives and their interactions with the solvent.</t>
  </si>
  <si>
    <t>Caroli, Marcos/H-3570-2019; Ormazabal-Toledo, Rodrigo/HSH-6230-2023; Ormazabal-Toledo, Rodrigo/I-2490-2013</t>
  </si>
  <si>
    <t>Ormazabal-Toledo, Rodrigo/0000-0003-1777-0426; Martinez, Fabian/0000-0001-5802-9816</t>
  </si>
  <si>
    <t>10.1002/mrc.5512</t>
  </si>
  <si>
    <t>WOS:001402798000001</t>
  </si>
  <si>
    <t>Aravena, M; Palma, S; Vivanco-Avaria, FJ; Nelis, G</t>
  </si>
  <si>
    <t>Aravena, Michael; Palma, Sergio; Vivanco-Avaria, Francisco J.; Nelis, Gonzalo</t>
  </si>
  <si>
    <t>Quantification of fines migration in block caving mining through laboratory experiments</t>
  </si>
  <si>
    <t>RESULTS IN ENGINEERING</t>
  </si>
  <si>
    <t>The migration of fines in block caving mining corresponds to the movement of small-size granular material. This material is directed toward drawpoints, causing dilution of valuable mineral and safety concerns due to the formation of cohesive arcs. Although there are previous studies on the migration of fines through experiments with granular material and 3D simulations, empirical evidence is scarce. Therefore, a solid understanding of the relationship between variables affecting fines migration is lacking. Through experiments in a laboratory- scale physical model, the influence of different variables on the migration of fines is analyzed. The variables considered are the average diameter of the fine material, the content of the fine material, the orientation of the fine/coarse interface and the type of extraction. The results indicate that the migration of fines increases with a higher content of fine material and decreases with greater inclination, making these two variables the most significant. An interactive extraction reduces and delays the migration of fines to the extraction points. The average diameter of the fine material was shown to have a minor influence, which raises the possibility that the migration of fines depends on other variables, such as the uniformity coefficient, angle of repose, among others. The graphs obtained provide valuable information to understand the migration of fines in block caving operations under various conditions. The change in the migration of fines can be estimated by having different variables involved simultaneously. This is a complementary tool to the models currently used in mining to evaluate this phenomenon.</t>
  </si>
  <si>
    <t>Nelis, Gonzalo/J-4506-2015</t>
  </si>
  <si>
    <t>2590-1230</t>
  </si>
  <si>
    <t>10.1016/j.rineng.2024.103576</t>
  </si>
  <si>
    <t>DEC 2024</t>
  </si>
  <si>
    <t>WOS:001389372800001</t>
  </si>
  <si>
    <t>Toledo, K; Kaschel, H; Rodriguez, M</t>
  </si>
  <si>
    <t>Toledo, Karel; Kaschel, Hector; Rodriguez, Mauricio</t>
  </si>
  <si>
    <t>Probabilistic Risk Assessment for Data Rate Maximization in Unmanned Aerial Vehicle-Assisted Wireless Networks</t>
  </si>
  <si>
    <t>DRONES</t>
  </si>
  <si>
    <t>The evolution of beyond fifth generation (B5G) wireless networks poses significant technical and economic challenges across urban, suburban, and rural areas, demanding increased capacity for users whose positions continually change. This study investigated the dynamic positioning of an unmanned aerial vehicle (UAV), acting as a mobile base station (MoBS) to enhance network efficiency and meet ground terminals (GTs) expectations for data rates, particularly in emergency scenarios or temporary events. While UAVs show great promise, existing research often assumes certainty in network architecture, overlooking the complexities of unpredictable user movements. We introduce a decision-making framework utilizing the ordered weighted averaging (OWA) operator to address uncertainties in GT locations, enabling the optimization of UAV trajectories to maximize the overall network data rate. An optimization problem is formulated by modeling GT dynamics through a Markov process and discretizing UAV movements while accounting for communication thresholds and movement constraints. Extensive simulations reveal that our approach significantly improves expected data rates by up to 48% compared to traditional fixed base stations (BSs) and predefined UAV movement patterns. This research underscores the potential of UAV-assisted networks to bolster communication reliability while effectively managing dynamic user movements to maintain optimal quality of service (QoS).</t>
  </si>
  <si>
    <t>Toledo de la Garza, Karel/V-5325-2019</t>
  </si>
  <si>
    <t>Toledo de la Garza, Karel/0000-0001-9896-9570</t>
  </si>
  <si>
    <t>2504-446X</t>
  </si>
  <si>
    <t>10.3390/drones8100592</t>
  </si>
  <si>
    <t>WOS:001342761200001</t>
  </si>
  <si>
    <t>Almendares, L; Núñez-Ferrada, EA; Monasterio, A; Salinas, R; Román, J</t>
  </si>
  <si>
    <t>Almendares, Laura; Nunez-Ferrada, Emerson Andres; Monasterio, Angela; Salinas, Ruth; Roman, Jose</t>
  </si>
  <si>
    <t>NOVEL APPROACH TO FRENCH FRIES: FOOD PRODUCTS FROM POTATO AND RICE EXTRUDED</t>
  </si>
  <si>
    <t>This study aimed to craft an extruded product resembling conventional French fries, utilizing rice as the primary ingredient, and incorporating potato blends to enhance physicochemical and sensory attributes during frying. Mashed potatoes, rice flour, and additives were processed using a twin-screw extruder, followed by frying at 160 degrees C for 2.15 minutes in three stages. In stage I, four formulations were assessed, with the formulation comprising 70% mashed potato, 30% rice flour, and 0.1% salt displaying superior acceptability and minimal oil absorption (8%). Stage II compared vacuum application to non-vacuum conditions, revealing enhanced sensory acceptability with vacuum due to improved texture and firmness. Combining optimal conditions, stage III yielded the best formulation of 70% mashed potatoes, 30% rice flour, 0.1% salt, and 48% moisture. Extrusion conditions result in heightened sensory evaluation across sensorial parameters. This study pioneers a novel avenue for producing healthier rice-based French fry alternatives via extrusion technology, ameliorating frying attributes.</t>
  </si>
  <si>
    <t>almendares, laura/0000-0001-8349-1818; Nunez Ferrada, Emerson Andres/0000-0002-5335-6065; Monasterio, Angela/0000-0001-7309-0746</t>
  </si>
  <si>
    <t>10.35588/ax8yr664</t>
  </si>
  <si>
    <t>WOS:001296167100015</t>
  </si>
  <si>
    <t>Palacios-Prado, N; Corominas-Sustach, F; Perez, A; Verdugo, D; Podobnikar, T</t>
  </si>
  <si>
    <t>Palacios-Prado, Nicolas; Corominas-Sustach, Fabiola; Perez, Andres; Verdugo, Danilo; Podobnikar, Tomaz</t>
  </si>
  <si>
    <t>Encoded Landscapes: A Link between Inka Wall Orientations and Andean Geomorphology</t>
  </si>
  <si>
    <t>LAND</t>
  </si>
  <si>
    <t>While some Inka structures and motifs align with astronomical and horizon markers, a significant portion of their constructions exhibit different patterns. We examined the potential correlation between the orientation patterns of the Inka walls and Andean geomorphology, aiming to uncover the extent to which the physical landscape guided these ancient architectural design methodologies. Using geospatial technology and specially developed peak detection and recognition software, we extensively and meticulously analyzed over 40,000 m of surveyed Inka walls and 20,000 mountain peaks across 11 distinct geographical areas. The analysis revealed a significant correlation between key wall orientations and the parallel peak alignment of the Andean Mountain Range. This suggests a purposeful encoding of landscape orientations into Inka architecture. These findings propose a novel perspective on the intricate relationship between Inka culture and the Andean highlands' topography. Furthermore, this research introduces a distinctive methodological approach to exploring the impact of natural landscapes on architectural planning, establishing a foundation for comparative studies among other ancient civilizations.</t>
  </si>
  <si>
    <t>prado, nicolas/ADB-3232-2022; Podobnikar, Tomaz/LIH-6175-2024; Podobnikar, Tomaz/P-3124-2014</t>
  </si>
  <si>
    <t>Palacios-Prado, Nicolas/0000-0002-3411-8002; Podobnikar, Tomaz/0000-0002-5730-8618</t>
  </si>
  <si>
    <t>2073-445X</t>
  </si>
  <si>
    <t>10.3390/land13040463</t>
  </si>
  <si>
    <t>WOS:001220477400001</t>
  </si>
  <si>
    <t>Duran, C; Fernandez-Campusano, C; Carrasco, R; Carrillo, E</t>
  </si>
  <si>
    <t>Duran, Claudia; Fernandez-Campusano, Christian; Carrasco, Raul; Carrillo, Eduardo</t>
  </si>
  <si>
    <t>DMLBC: Dependable machine learning for seaports using blockchain technology</t>
  </si>
  <si>
    <t>JOURNAL OF KING SAUD UNIVERSITY-COMPUTER AND INFORMATION SCIENCES</t>
  </si>
  <si>
    <t>The technological shifts driven by Industry 4.0 and the impact of the COVID-19 pandemic has ushered new challenges for seaports, necessitating a transformation in their information and communications systems to enhance global competitiveness. As the United Nations (UN) International Maritime Organization mandates the adoption of a Maritime Single Window in short time, seaports are compelled to adapt their operations. Addressing these challenges, this research introduces the Dependable Machine Learning for seaports using Blockchain (DMLBC) method, offering a secure technological system that integrates transactional data among various logistics stakeholders. DMLBC enhances efficiency in document control, traceability, loading processes, and collaborative workflows. The method employs a architecture grounded in Blockchain (BC) and harnesses Machine Learning Techniques. In a practical application, DMLBC is implemented in a real case study, demonstrating its efficacy for decision making of port operations. The research discusses the contributions that the DMLBC method has compared to what exists in the bibliographic review and in other port industries worldwide. Describes future exploration directions and It emphasizes the potential for generating additional predictions by incorporating others Key Performance Indicators (KPI)s, integrating DMLBC with Decision Support System (DSS), and delving into the realm of Post -Quantum Cryptography (PQC) to fortify the security of seaport operations in the evolving technological landscape.</t>
  </si>
  <si>
    <t>Fernández-Campusano, Christian/M-8749-2018; Duran, Claudia/S-1175-2019; Carrasco, Raul/G-5440-2015</t>
  </si>
  <si>
    <t>Duran, Claudia/0000-0002-0903-4333; Carrasco, Raul/0000-0002-5023-9349; Fernandez-Campusano, Christian/0000-0001-7033-4178</t>
  </si>
  <si>
    <t>1319-1578</t>
  </si>
  <si>
    <t>2213-1248</t>
  </si>
  <si>
    <t>10.1016/j.jksuci.2024.101918</t>
  </si>
  <si>
    <t>WOS:001170682600001</t>
  </si>
  <si>
    <t>Adasme, P; Firoozabadi, AD; Cordero, S</t>
  </si>
  <si>
    <t>Adasme, Pablo; Firoozabadi, Ali Dehghan; Cordero, Sergio</t>
  </si>
  <si>
    <t>Optimizing Connectivity and Coverage for Millimeter-Wave-Based Networks</t>
  </si>
  <si>
    <t>SYMMETRY-BASEL</t>
  </si>
  <si>
    <t>In this article, the problem of achieving the minimum backbone connectivity cost while simultaneously maximizing user coverage for 5G millimeter-wave (mmWave)-based networks is considered. Let G=(N,E) be an input graph instance with a set of nodes N (base stations) and a set of edges E. It is assumed that G represents a wireless backbone network. Let M represent a set of users to be covered by G. Note that mmWave technology has been considered in the literature as an important candidate solution for 5G networks due to its low latency. However, there remain some problems to be addressed before using this technology. A serious one is that millimeter waves cannot cover large transmission distances. In this article, the proposed methodology consists of formulating mixed-integer programming models to deal with the problem from a management point of view. Our models allow the determination of which of the nodes of G should be active and connected while simultaneously maximizing the total number of covered users. The models are solved with the CPLEX solver using its branch and cut and automatic Benders decomposition algorithms. For this purpose, symmetric complete and sparse graphs are considered. Using the symmetry concept, it is considered that the distances between base stations and users and between base stations themselves are symmetrical. Finally, an efficient local search meta-heuristic is proposed that allows for finding near-optimal solutions. Our numerical experiments indicate that the problem is hard to solve optimally. Thus, instances with up to 40 nodes and 500 users have been solved to optimality so far. In particular, it is observed that one of the models presents slightly better performance in terms of CPU time. Finally, the heuristic approach allows us to obtain tight solutions with less computational effort when dealing with even larger instances of the problem.</t>
  </si>
  <si>
    <t>Adasme, Pablo/U-1735-2019; Dehghan Firoozabadi, Ali/AAD-4858-2019</t>
  </si>
  <si>
    <t>Adasme, Pablo/0000-0003-2500-3294; Dehghan Firoozabadi, Ali/0000-0002-6391-6863</t>
  </si>
  <si>
    <t>2073-8994</t>
  </si>
  <si>
    <t>10.3390/sym16010123</t>
  </si>
  <si>
    <t>WOS:001151378500001</t>
  </si>
  <si>
    <t>Horvath, C; Vargas-Hernández, Y; Cordero, ML</t>
  </si>
  <si>
    <t>Horvath, Camila; Vargas-Hernandez, Yolanda; Cordero, Maria Luisa</t>
  </si>
  <si>
    <t>Minnaert resonance in an array of two-dimensional bubbles</t>
  </si>
  <si>
    <t>PHYSICAL REVIEW APPLIED</t>
  </si>
  <si>
    <t>Transmission and reflection of sound across a dense layer of long rectangular quasi-two-dimensional bubbles in a polymeric matrix are measured over two frequency ranges, 150-260 and 670-1130 kHz. Contrary to what is expected, considering the high acoustic impedance contrast between air and the matrix, there is high transmission across the layer, especially in the lower-frequency range. These results are explained by a monopolar Minnaert-like resonance of bubbles, which radiates sound in both directions of the bubble layer. The Minnaert resonance is computed for two-dimensional bubbles, revealing a resonance frequency within the lowest-frequency range used. The transmission and reflection coefficients are theoretically computed by considering the bubble array as a homogeneous layer with a resonant acoustic impedance.</t>
  </si>
  <si>
    <t>Cordero, Maria/A-5302-2013</t>
  </si>
  <si>
    <t>Cordero, Maria Luisa/0000-0002-5601-6103; Horvath Godoy, Camila/0000-0002-8147-0631</t>
  </si>
  <si>
    <t>2331-7019</t>
  </si>
  <si>
    <t>OCT 4</t>
  </si>
  <si>
    <t>10.1103/PhysRevApplied.20.044007</t>
  </si>
  <si>
    <t>WOS:001089011200003</t>
  </si>
  <si>
    <t>Venegas, AS; López, JV; Illanes, GM</t>
  </si>
  <si>
    <t>Soto Venegas, A.; Vanegas Lopez, J.; Morales Illanes, G.</t>
  </si>
  <si>
    <t>TRENDS IN MORTALITY DUE TO NEUROLOGICAL DISEASES IN THE AMERICAS REGION BETWEEN 2000 AND 2019</t>
  </si>
  <si>
    <t>GACETA SANITARIA</t>
  </si>
  <si>
    <t>Morales, Gladys/MBI-0581-2025</t>
  </si>
  <si>
    <t>0213-9111</t>
  </si>
  <si>
    <t>1578-1283</t>
  </si>
  <si>
    <t>S230</t>
  </si>
  <si>
    <t>WOS:001161877400568</t>
  </si>
  <si>
    <t>Maith, O; Baladron, J; Einhäuser, W; Hamker, FH</t>
  </si>
  <si>
    <t>Maith, Oliver; Baladron, Javier; Einhaeuser, Wolfgang; Hamker, Fred H.</t>
  </si>
  <si>
    <t>Exploration behavior after reversals is predicted by STN-GPe synaptic plasticity in a basal ganglia model</t>
  </si>
  <si>
    <t>ISCIENCE</t>
  </si>
  <si>
    <t>Humans can quickly adapt their behavior to changes in the environment. Classical reversal learning tasks mainly measure how well participants can disengage from a previously successful behavior but not how alternative responses are explored. Here, we propose a novel 5-choice reversal learning task with alternating posi-tion-reward contingencies to study exploration behavior after a reversal. We compare human exploratory saccade behavior with a prediction obtained from a neuro-computational model of the basal ganglia. A new synaptic plasticity rule for learning the connectivity between the subthalamic nucleus (STN) and external globus pallidus (GPe) results in exploration biases to previously re-warded positions. The model simulations and human data both show that during experimental experience exploration becomes limited to only those positions that have been rewarded in the past. Our study demonstrates how quite complex behavior may result from a simple sub-circuit within the basal ganglia pathways.</t>
  </si>
  <si>
    <t>Hamker, Fred/0000-0001-9104-7143</t>
  </si>
  <si>
    <t>2589-0042</t>
  </si>
  <si>
    <t>MAY 19</t>
  </si>
  <si>
    <t>10.1016/j.isci.2023.106599</t>
  </si>
  <si>
    <t>WOS:001001107500001</t>
  </si>
  <si>
    <t>de la Hoz, FO; Saavedra, E; Pereira, A; Escrig, J</t>
  </si>
  <si>
    <t>de la Hoz, Francisco Olea; Saavedra, Eduardo; Pereira, Alejandro; Escrig, Juan</t>
  </si>
  <si>
    <t>Static and Dynamic Magnetic Properties of Fe3O4 Nanotubes</t>
  </si>
  <si>
    <t>In this paper, our objective was to investigate the static and dynamic magnetic properties of Fe3O4 nanotubes that are 1000 nm long, by varying the external radius and the thickness of the tube wall. We performed a detailed numerical analysis by simulating hysteresis curves with an external magnetic field applied parallel to the axis of the tubes (along the z-axis). Our findings indicate that nanotubes with an external radius of 30 nm exhibit non-monotonic behavior in their coercivity due to a change in the magnetization reversal mechanism, which was not observed in nanotubes with external radii of 80 nm. Additionally, we explored the dynamic susceptibility of these nanotubes and found that the position and number of resonance peaks can be controlled by manipulating the nanotube geometry. Overall, our study provides valuable insights into the behavior of Fe3O4 nanotubes, which can aid in the design and improvement in pseudo-one-dimensional technological devices.</t>
  </si>
  <si>
    <t>Saavedra, Eduardo/IQS-4264-2023; Pereira, Alejandro/X-7172-2018; Escrig, Juan/N-4304-2015</t>
  </si>
  <si>
    <t>Pereira Abarca, Alejandro/0000-0002-4473-0852; Saavedra Diaz, Eduardo Andres/0000-0002-2842-2526; Escrig, Juan/0000-0002-3958-8185</t>
  </si>
  <si>
    <t>10.3390/nano13071265</t>
  </si>
  <si>
    <t>WOS:000970038500001</t>
  </si>
  <si>
    <t>González-Aliste, P; Derpich, I; López, M</t>
  </si>
  <si>
    <t>Gonzalez-Aliste, Pablo; Derpich, Ivan; Lopez, Mario</t>
  </si>
  <si>
    <t>Reducing Urban Traffic Congestion via Charging Price</t>
  </si>
  <si>
    <t>Traffic jams are one of the major transportation problems. The United States spends USD billions to mitigate the problem, and not always with good outcomes. This problem increases and has effects on sustainable transport, such as life quality, pollution, perishables, and costs. Large cities reduce traffic jams through congestion charges. This paper aims to reduce urban traffic congestion by estimating the charge through a multivariable model. It studies the main jammed areas in Santiago, Chile. The data came from published surveys. The model evaluation included Fisher multiple regression (F) and the determination coefficient (R-2). These validations showed that the model is statistically significant. They also showed that the parameter estimation was good. Finally, this model contributes to improving the Sustainable Development Goals, such as SDG 3, SDG 11, and SDG 13, which may be successfully applied to Santiago City, as well as to any city worldwide.</t>
  </si>
  <si>
    <t>Gonzalez Aliste, Pablo/0000-0001-5097-9200; Lopez, Mario/0000-0003-0909-7702; Derpich, Ivan/0000-0001-9759-7285</t>
  </si>
  <si>
    <t>10.3390/su15032086</t>
  </si>
  <si>
    <t>WOS:000932903600001</t>
  </si>
  <si>
    <t>Moraga, F; Nómez, N</t>
  </si>
  <si>
    <t>Moraga, Fernanda; Nomez, Nain</t>
  </si>
  <si>
    <t>Unweaving Literary Borders in the Current Poetry of Women in Chile</t>
  </si>
  <si>
    <t>CATEDRAL TOMADA-REVISTA DE CRITICA LITERARIA LATINOAMERICANA-JOURNAL OF LATIN AMERICAN LITERARY CRITICISM</t>
  </si>
  <si>
    <t>This article focuses on the study of women's poetry written in the 1980s in the midst of the dictatorship and the post-dictatorship in Chile, from the perspective of the use they make of referential genres such as testimony, memory, autobiography, chronicle and diary, among others, building border spaces. These genres considered as narrative, shift the axis of the poetic, expanding its borders as writings framed within a textuality that includes the mosaic, the fragment, the collage among other forms, questioning the history of the lyrical tradition. From this point of view, women's poetry is explored in three moments: from 1982/83 to 1994/95; from 1994/95 to 2004/2005 and from 2004/2005 to 2019. In each of them, we review some books that we consider significant for what we propose here, focusing especially on poems by Carmen Berenguer, Maha Vial and Ivonne Conuecar.</t>
  </si>
  <si>
    <t>2169-0847</t>
  </si>
  <si>
    <t>10.5195/ct/2023.602</t>
  </si>
  <si>
    <t>WOS:001044368200003</t>
  </si>
  <si>
    <t>Navarro, M; Utreras, E; Ugarte, CG; Vidal, CL</t>
  </si>
  <si>
    <t>Morales Navarro, Mario; Guzman Utreras, Eduardo; Baeza Ugarte, Carmen Gloria; Lizama Vidal, Constanza</t>
  </si>
  <si>
    <t>Psychological Factors Associated with Persistence in Beneficiaries of the Effective Support and Access to Higher Education Program</t>
  </si>
  <si>
    <t>REVISTA ELECTRONICA DE INVESTIGACION EDUCATIVA</t>
  </si>
  <si>
    <t>This work presents the results of a study of the relationship between certain personality traits (like responsibility and openness to experience), self-efficacy, and achievement motivation as psychological factors associated with persistence in 279 college students participating in the Effective Support and Access to Higher Education Program (PACE). A qualitative methodology was employed to propose a logistic regression model that led to the conclusion that responsibility, openness to experience, self-efficacy, and achievement motivation are predictors of student persistence. The results offer deeper insight into the personalities of these students, providing background for the psychological counseling they receive as part of the support and preparation in secondary education (PEM) stage of the program.</t>
  </si>
  <si>
    <t>1607-4041</t>
  </si>
  <si>
    <t>e23</t>
  </si>
  <si>
    <t>10.24320/redie.2023.25.e23.4670</t>
  </si>
  <si>
    <t>WOS:001111046600001</t>
  </si>
  <si>
    <t>Yanez, SJ; Dinehart, DW; Pina, JC; Guzmán, CF</t>
  </si>
  <si>
    <t>Yanez, Sergio J.; Dinehart, David W.; Pina, Juan Carlos; Guzman, Carlos Felipe</t>
  </si>
  <si>
    <t>Nonlinear numerical model of headed shear stud anchors for composite open web steel joists</t>
  </si>
  <si>
    <t>STEEL AND COMPOSITE STRUCTURES</t>
  </si>
  <si>
    <t>Empirical relationships that capture the nonlinear behavior of headed steel shear stud anchors have been derived from standard push out tests, where the specimens are comprised of large wide flanged steel sections attached to flat concrete slabs via the anchors. However, many composite systems used in practice utilize much smaller steel members and/or steel decking as part of the slab system. Composite open web steel joist systems generally include both of these elements and consequently the nonlinear performance of the anchor is not accurately represented by existing models. In this paper, a new empirical relation is presented for open web steel joist systems based on experimental results from a modified push out test that more realistically represent a composite open web steel joist system. The methodology for obtaining the proposed nonlinear function where the response of the system is characterized by two parameters (alpha and beta) is presented. The two-step process for obtaining the two parameters is described and the empirical relation is calibrated with the experimental data. In comparison with existing expressions, the new proposal herein more accurately predicts the high initial stiffness of the system and overall nonlinear system performance.</t>
  </si>
  <si>
    <t>Yanez, Sergio/G-5230-2019; Pina, Juan/AAC-3455-2021; Guzmán, Carlos/JFB-1616-2023</t>
  </si>
  <si>
    <t>Yanez, Sergio/0000-0002-8856-0955</t>
  </si>
  <si>
    <t>1229-9367</t>
  </si>
  <si>
    <t>1598-6233</t>
  </si>
  <si>
    <t>AUG 25</t>
  </si>
  <si>
    <t>10.12989/scs.2022.44.4.531</t>
  </si>
  <si>
    <t>WOS:000882961000007</t>
  </si>
  <si>
    <t>Vera, C; Guerrero, C; Illanes, A</t>
  </si>
  <si>
    <t>Vera, Carlos; Guerrero, Cecilia; Illanes, Andres</t>
  </si>
  <si>
    <t>Trends in lactose-derived bioactives: synthesis and purification</t>
  </si>
  <si>
    <t>SYSTEMS MICROBIOLOGY AND BIOMANUFACTURING</t>
  </si>
  <si>
    <t>Lactose obtained from cheese whey is a low value commodity despite its great potential as raw material for the production of bioactive compounds. Among them, prebiotics stand out as valuable ingredients to be added to food matrices to build up functional foods, which currently represent the most active sector within the food industry. Functional foods market has been growing steadily in the recent decades along with the increasing awareness of the World population about healthy nutrition, and this is having a strong impact on lactose-derived bioactives. Most of them are produced by enzyme biocatalysis because of molecular precision and environmental sustainability considerations. The current status and outlook of the production of lactose-derived bioactive compounds is presented with special emphasis on downstream operations which are critical because of the rather modest lactose conversion and product yields that are attainable. Even though some of these products have already an established market, there are still several challenges referring to the need of developing better catalysts and more cost-effective downstream operations for delivering high quality products at affordable prices. This technological push is expected to broaden the spectrum of lactose-derived bioactive compounds to be produced at industrial scale in the near future.</t>
  </si>
  <si>
    <t>vera, Carlos/G-5240-2019</t>
  </si>
  <si>
    <t>Vera Vera, Carlos Felipe/0000-0003-2179-9467; Guerrero, Cecilia/0000-0002-4701-3525</t>
  </si>
  <si>
    <t>2662-7655</t>
  </si>
  <si>
    <t>2662-7663</t>
  </si>
  <si>
    <t>10.1007/s43393-021-00068-2</t>
  </si>
  <si>
    <t>WOS:001205780300009</t>
  </si>
  <si>
    <t>Quiroz, J; Gonzalez, L; Chavez, H; Segundo, F</t>
  </si>
  <si>
    <t>Quiroz, Juan; Gonzalez, Luis; Chavez, Hector; Segundo, Felix</t>
  </si>
  <si>
    <t>Data-Driven, Web-Based Parameter Identification for a Reduced-Order Model of the Chilean Power System</t>
  </si>
  <si>
    <t>ENERGIES</t>
  </si>
  <si>
    <t>The current need for power-system control-room operational tools to increase real-time situational awareness has led to various proposals on data analytics algorithms to obtain operational information from SCADA and PMU power system networks. Most of the proposals are implemented in simulation, with reduced practical significance for system operators. This work proposes a web-based simple algorithm to identify the dynamic parameters of a reduced-order model of power system frequency dynamics that is implemented with industrial hardware on a PMU network in the Chilean power system. To demonstrate the applicability of the proposed tool, the algorithm is implemented in a web page with real-time monitoring of the frequency of the Chilean power system, so that utilities and academic institutions with access to PMU measurements can apply the proposed concepts regardless of the topology of the monitored system.</t>
  </si>
  <si>
    <t>Gonzalez, Luis/IUO-1204-2023; Quiroz, Juan/IUO-1104-2023</t>
  </si>
  <si>
    <t>Segundo Sevilla, Felix Rafael/0000-0002-9562-3547; Chavez, Hector/0000-0003-2849-0876</t>
  </si>
  <si>
    <t>1996-1073</t>
  </si>
  <si>
    <t>10.3390/en15093384</t>
  </si>
  <si>
    <t>WOS:000794864100001</t>
  </si>
  <si>
    <t>Adasme, P; Seguel, F; Firoozabadi, AD</t>
  </si>
  <si>
    <t>Adasme, Pablo; Seguel, Fabian; Dehghan Firoozabadi, Ali</t>
  </si>
  <si>
    <t>Novel cluster partitioning models for visible light communication networks</t>
  </si>
  <si>
    <t>PHOTONIC NETWORK COMMUNICATIONS</t>
  </si>
  <si>
    <t>In this paper, we consider the problem of clustering nodes in a wireless visible light communication (VLC) network while simultaneously forming a spanning tree backbone. More precisely, let G = (V, E) be a complete Euclidean input graph instance with a set of wireless node devices V and connection links E representing the VLC network. We consider the problem of partitioning k &lt; vertical bar V vertical bar nodes into disjoint cliques of the size of at most left perpendicular k/l right perpendicular + 1 nodes where t &lt;= k (k, t is an element of Z(+)) in such a way that a unique vertex of each clique is used to form a spanning tree backbone. The underlying idea is to form clusters of nodes while simultaneously providing connectivity between them. Thus, we maximize the total power received and total residual energy of the k chosen nodes of the network for such a structure. We also consider the simplified version of the problem in which no backbone structure is required. Recall that clustering the nodes of a wireless network allows handling efficiently problems related to scalability and routing. In order to achieve the grouping task optimally, we propose mixed-integer linear and quadratic programming models based on classical combinatorial optimization problems. In order to compare our proposed models, we assume that every node in the network can communicate through a direct-line-of-sight VLC channel. Our numerical results indicate that the linearized quadratic models are preferable as they allow solving to optimality most of the tested instances and in less computational effort.</t>
  </si>
  <si>
    <t>Dehghan Firoozabadi, Ali/AAD-4858-2019; Seguel, Fabian/ABC-4765-2020; Adasme, Pablo/U-1735-2019</t>
  </si>
  <si>
    <t>Adasme, Pablo/0000-0003-2500-3294; Seguel, Fabian/0000-0001-6567-8988</t>
  </si>
  <si>
    <t>1387-974X</t>
  </si>
  <si>
    <t>1572-8188</t>
  </si>
  <si>
    <t>10.1007/s11107-022-00963-1</t>
  </si>
  <si>
    <t>WOS:000753233700001</t>
  </si>
  <si>
    <t>Baigorrotegui, G</t>
  </si>
  <si>
    <t>Baigorrotegui, Gloria</t>
  </si>
  <si>
    <t>Governing by working around experimental data infrastructures. Digital monitoring from homes in a polluted Patagonian city</t>
  </si>
  <si>
    <t>REVUE D ANTHROPOLOGIE DES CONNAISSANCES</t>
  </si>
  <si>
    <t>This article is about the governance of an experimental data infrastructure, linked to the installation of digital monitors in ten houses in Coyhaique, connected to the National Monitoring Network implemented in five Chilean cities. The involvement of people and their home data in an open access platform that subsequently increases their disconnections and data loss is amazing. First, STS literature on governance based on data infrastructure and experimental narratives is introduced, second, three types of workarounds are presented, common in the interaction of users and designers of experimental data platforms. The methodology includes interviews with its implementers, field visits and digital ethnographies. The difficulties and workarounds of the project are highlighted and finally, its results are analyzed. Experimental narratives and ventriloquisms, as situated workarounds practices, make possible a more contingent and subversive governance. This research warns about the fragile production of some data and knowledge, postponing or hiding others, supported by promises to improve the intelligence, standardization, and objectivity of public policies via experimental digital data infrastructure projects.</t>
  </si>
  <si>
    <t>1760-5393</t>
  </si>
  <si>
    <t>WOS:000972463200005</t>
  </si>
  <si>
    <t>Martínez, MG; Neculhueque, CS</t>
  </si>
  <si>
    <t>Gonzalez Martinez, Marco; Sottorff Neculhueque, Carlos</t>
  </si>
  <si>
    <t>URBAN TRANSFORMATIONS AND COLLECTIVE TRANSPORT THROUGH CHILEAN LITERATURE IN THE FIRST HALF OF THE 20TH CENTURY. THE NOVEL AS AN INPUT FOR WORK AND HISTORICAL REFLECTION</t>
  </si>
  <si>
    <t>REVISTA NOTAS HISTORICAS Y GEOGRAFICAS</t>
  </si>
  <si>
    <t>In this article we aim to explore the usefulness of some components of literature, specifically the genre of the novel and how it is useful for the generation of historical narrative writing. Our choice aimed to revise the so-called realistic or social novels of the early twentieth century. For this, an analysis of the novels El roto (1920) by Joaquin Edwards Bello, La viuda del conventillo (1930) by Alberto Romero and La sangre y la esperanza (1943) by Nicomedes Guzman is carried out. The study of the works identifies how the collective transport that circulated through Santiago de Chile during the first half of the 20th century was represented. This analytical bet allows incorporating a broader register to the historical understanding of the process of physical and social transformations of the city, which were not perceived either linearly or similarly by the various social groups that inhabited this urban space.</t>
  </si>
  <si>
    <t>0717-036X</t>
  </si>
  <si>
    <t>0719-4404</t>
  </si>
  <si>
    <t>WOS:000715741600008</t>
  </si>
  <si>
    <t>Estenssoro, F; Orellana, J</t>
  </si>
  <si>
    <t>Estenssoro, Fernando; Orellana, Jose</t>
  </si>
  <si>
    <t>The Anglo-Saxon Critical Geopolitics and Its Critics. A Theoretical Debate that Contributes to the Analysis in World Politics</t>
  </si>
  <si>
    <t>ESTUDIOS AVANZADOS</t>
  </si>
  <si>
    <t>This is a theoretical article that exposes the meaning and the main proposals of the so-called critical geopolitics, as well as which are the main criticisms that have arisen from classical and neo-classical geopolitics. In this sense, it is pointed out that the critical geopolitics pro-posal, made by a group of Anglo-Saxon political geographers, has resulted in an important stimulus to the epistemological debate in Political Geography, as well as in other disciplines that study world politics, such as Political Science and International Relations, among others. This debate has occurred, mainly (although not only) in the Anglo-Saxon academy, being less developed and known in the Latin American academy. Likewise, this debate is contex-tualized in the historical development of political geography as an academic discipline.</t>
  </si>
  <si>
    <t>0718-5022</t>
  </si>
  <si>
    <t>0718-5014</t>
  </si>
  <si>
    <t>10.35588/estudav.v0i35.5324</t>
  </si>
  <si>
    <t>WOS:000739816200005</t>
  </si>
  <si>
    <t>Espinoza, LU</t>
  </si>
  <si>
    <t>Ubilla Espinoza, Lorena</t>
  </si>
  <si>
    <t>LEGAL AND LABOR BORDERS: URBAN FELONS, IMPRISONMENT EXPERIENCES AND POLICE ORDER IN HIJO DE LADRON</t>
  </si>
  <si>
    <t>REVISTA CHILENA DE LITERATURA</t>
  </si>
  <si>
    <t>One of the consequences of the modernization process occurred during the first quarter of the 20th Century was the strengthening of the means used for the repression of crime. Under the slogan of fighting crime, a series of measures were also taken to repress those who did not respond to the work ethics or the political behavior expected by the ruling class and the media they would control. This article proposes that by conducting a historical analysis of Hijo de ladron, Manuel Rojas' iconic novel, we can have access to the representations of the criminal as well as the prison experience lived by the poor in the city, within the context of the modernizing offensive launched by the state apparatus.</t>
  </si>
  <si>
    <t>0718-2295</t>
  </si>
  <si>
    <t>WOS:000662264600012</t>
  </si>
  <si>
    <t>Vergara-Novoa, C; Sepúlveda-Rojas, JP; Alfaro, MD; Soto, P; Benitez-Fuentes, PA</t>
  </si>
  <si>
    <t>Vergara-Novoa, Cristian; Pedro Sepulveda-Rojas, Juan; Alfaro, Miguel D.; Soto, Pablo; Andres Benitez-Fuentes, Paulo</t>
  </si>
  <si>
    <t>Analysis of revenues, costs and average costs of highway concessions in Chile</t>
  </si>
  <si>
    <t>TRANSPORT POLICY</t>
  </si>
  <si>
    <t>In this document we present an analysis of the revenues generated, the total costs and average costs incurred by Chile's highway concessionaires between the years of 1995 and 2014. We have collected financial data from the Chilean Assets and Insurances Authority's website, and with this data, we have determined that the highway concessions system (as a whole) generated revenues of around 25,137 million dollars and incurred total costs of 21,193 million dollars during this period. Therefore, they have gained a profit of 3944 million dollars. Moreover, the accumulated investment by 2014 was approximately 12,000 million dollars and, therefore, the capital revenue was 26%. However, since the concessionaires' capital structure, in general, considers 20% as equity and 80% as debt, then the equity's return rate could have been over 100%. Additionally, we estimated the average costs (unitary costs), and found that this industry presents natural monopoly characteristics because its average cost decreases as vehicle flow increases. Furthermore, we compared the average costs of main concessionaires with their weighted average fares and discovered that some of fares are over valuated between 30 and 330%.</t>
  </si>
  <si>
    <t>Pacheco, Pablo/B-6687-2012; Sepulveda-Rojas, Juan Pedro/C-1799-2013</t>
  </si>
  <si>
    <t>Sepulveda-Rojas, Juan Pedro/0000-0002-6725-7295; Alfaro, Miguel/0000-0002-1633-8853</t>
  </si>
  <si>
    <t>0967-070X</t>
  </si>
  <si>
    <t>1879-310X</t>
  </si>
  <si>
    <t>10.1016/j.tranpol.2019.08.008</t>
  </si>
  <si>
    <t>WOS:000566491300013</t>
  </si>
  <si>
    <t>Sánchez-Ramírez, C; Alegre, LM</t>
  </si>
  <si>
    <t>Sanchez-Ramirez, C.; Alegre, L. M.</t>
  </si>
  <si>
    <t>ACUTE CHANGES IN FOOT MORPHOLOGY AND PLANTAR PRESSURES DURING BAREFOOT RUNNING</t>
  </si>
  <si>
    <t>REVISTA INTERNACIONAL DE MEDICINA Y CIENCIAS DE LA ACTIVIDAD FISICA Y DEL DEPORTE</t>
  </si>
  <si>
    <t>The acute changes that occur in foot morphology and the distribution of plantar pressures during barefoot running after applying a barefoot running protocol was analyzed. A total of 42 subjects of both sexes participated in the study, divided into shod (SH) (n=20) and barefoot (BF) (n=22). The foot's anthropometry, arch index (AI) and plantar pressures were evaluated before and after the intervention, which consisted in running at 3.05 m.s(-1) during 20 min. The nondominant foot of the BF group decreased the height of its plantar arch (AI pre=0.20, AI post=0.22, p=0.01, ES=0.4). Furthermore, the barefoot race caused in the nondominant feet smaller decreases of plantar pressure and smaller decreases of the plantar support surface than running with shoes.</t>
  </si>
  <si>
    <t>Alegre, Luis M./K-5777-2012</t>
  </si>
  <si>
    <t>Alegre, Luis M./0000-0002-4502-9275</t>
  </si>
  <si>
    <t>1577-0354</t>
  </si>
  <si>
    <t>10.15366/rimcafd2020.78.002</t>
  </si>
  <si>
    <t>WOS:000539584400002</t>
  </si>
  <si>
    <t>Figueroa, JA; Saldías, G; Teillier, S; Carrera, E; Castro, SA</t>
  </si>
  <si>
    <t>Figueroa, Javier A.; Saldias, Gabriela; Teillier, Sebastian; Carrera, Estefania; Castro, Sergio A.</t>
  </si>
  <si>
    <t>Seed banks in urban vacant lots of a Latin American megacity are easily germinable and strongly dominated by exotic flora</t>
  </si>
  <si>
    <t>URBAN ECOSYSTEMS</t>
  </si>
  <si>
    <t>Seed banks in the soil play a role in the temporal continuity and succession of vegetation in urban vacant lots. Therefore, it is necessary to know the composition, abundance and dynamics of the seeds stored in the lots' soils to understand their effect on spontaneously established urban plants. We hypothesized that soil seed banks in the urban vacant lots of Santiago, Chile, have a high abundance of seeds and an easily germinable bank of mainly exotic annual weeds. Additionally, 5 drivers (lot age, lot area, distance to urban centre, distance to urban boundary, and population density) were associated with the density of seed banks in the soil of urban lots. In 20 lots studied, 18 soil samples (150 cm(3) per sample) were collected, 9 samples at a depth of 0-5 cm, and 9 samples at &gt;5-10 cm. This seed bank was studied by seed germination in each of the soil samples. Thirty-eight species recorded in the seed banks were exotic (83.7% were European, Mediterranean or Eurasian) and only three native. Two species could be identified up to genus only. We recorded in total 2934 seedlings in the upper soil layer and 506 seedlings in the lower soil layer from the 20 lots analyzed. The species frequency in the upper seed bank was positively and significantly correlated with the frequency of the lower seed bank and with species frequency for above-ground vegetation. In the upper soil layer, our results showed that smaller lots located in the most densely populated neighborhoods contain more weed seed density in the soil than greater lots located in less densely populated areas. The rest of the factors evaluated were not associated with the density of the seed banks in the soil. The results indicate that research in seed banks in urban habitats should be expanded and deepened, since the seed banks are determinants in the spatio-temporal abundance and diversity of above-ground spontaneous urban lot flora.</t>
  </si>
  <si>
    <t>Saldías, Gonzalo/C-3577-2016</t>
  </si>
  <si>
    <t>1083-8155</t>
  </si>
  <si>
    <t>1573-1642</t>
  </si>
  <si>
    <t>10.1007/s11252-020-00986-4</t>
  </si>
  <si>
    <t>MAR 2020</t>
  </si>
  <si>
    <t>WOS:000521784100001</t>
  </si>
  <si>
    <t>Tarride, MI; Villena, B; González, J</t>
  </si>
  <si>
    <t>Tarride, Mario Ivan; Villena, Brenda; Gonzalez, Julia</t>
  </si>
  <si>
    <t>Organizational Diseases</t>
  </si>
  <si>
    <t>CYBERNETICS AND SYSTEMS</t>
  </si>
  <si>
    <t>The current work contributes to the understanding of the organizational phenomenon, from healthy organizations point of view. These were defined in previous works, such as those that are in a state of complete structural, strategic and social well-being, with capacity for adaptation and development, and not only in absence of disease. It is proposed here, in addition, a definition of organizational disease, using as methodological operator the concept of Ashby's functional homomorphism, from the allopathic human disease. As an example, organizational homomorphisms are developed for three major human diseases.</t>
  </si>
  <si>
    <t>0196-9722</t>
  </si>
  <si>
    <t>1087-6553</t>
  </si>
  <si>
    <t>10.1080/01969722.2020.1723873</t>
  </si>
  <si>
    <t>FEB 2020</t>
  </si>
  <si>
    <t>WOS:000513302700001</t>
  </si>
  <si>
    <t>Fuentes-Sepúlveda, R; García-Herrera, C; Vasco, DA; Salinas-Lira, C; Ananías, RA</t>
  </si>
  <si>
    <t>Fuentes-Sepulveda, Rodrigo; Garcia-Herrera, Claudio; Vasco, Diego A.; Salinas-Lira, Carlos; Ananias, Ruben A.</t>
  </si>
  <si>
    <t>Thermal Characterization of Pinus radiata Wood Vacuum-Impregnated with Octadecane</t>
  </si>
  <si>
    <t>The incorporation of phase change materials (PCM) in construction components has become an alternative to reduce the effect of thermal loads in buildings with low thermal inertia. This study put together the effective heat storage capacity of an organic phase change material (O-PCM, octadecane) with the construction and production potential of Pinus radiata in Chile. The wood is impregnated with octadecane by using the Bethell method, showing that it has good retention of the impregnator, and that its size was not modified. Differential scanning calorimetry analysis (DSC) showed that the composite material could achieve fusion enthalpy values from 36 (20.8 MJ/m(3)) to 122 J/g (108.9 MJ/m(3)). The transient line heat source method used, indicated that impregnation of Pinus radiata with octadecane increases its specific heat at temperatures from 15 to 20 degrees C, while its thermal conductivity decreases in the radial and the tangent directions, and increases in the longitudinal direction, showing a decrease in the orthotropic behavior of the wood. The ability of Pinus radiata wood to store latent heat positioned it as a candidate material to be considered in the building industry as a heat storage system.</t>
  </si>
  <si>
    <t>Ananias, Ruben/B-9518-2009; García-Herrera, Claudio/ABE-8991-2020; Vasco, Diego/Y-2934-2019</t>
  </si>
  <si>
    <t>Garcia-Herrera, Claudio/0000-0002-1283-8551; ANANIAS, Ruben A./0000-0002-3155-0457; Vasco, Diego Andres/0000-0001-7456-4683</t>
  </si>
  <si>
    <t>10.3390/en13040942</t>
  </si>
  <si>
    <t>WOS:000522492700170</t>
  </si>
  <si>
    <t>Precedents of the satisfaction of mobile shoppers. A cross-country analysis</t>
  </si>
  <si>
    <t>ELECTRONIC COMMERCE RESEARCH AND APPLICATIONS</t>
  </si>
  <si>
    <t>This investigation into m-commerce suggests a model in which some experiential dimensions of online shopping act as antecedents of m-shopper satisfaction. Causal relationships are tested by a model of structural equations. A non-probabilistic convenience sample composed of mobile buyers from Chile and Mexico is used. The results show that the m-shopper's satisfaction with their online shopping experience is a consequence of the reputation and trust that they perceive of mobile commerce. In turn, it is confirmed that satisfaction is a reaction to the affective evaluation of the mobile shopper. Affective evaluation is understood as the result of the hedonic and functional attributes perceived by mobile shoppers in their online shopping experience. Among m-shoppers from Chile and Mexico, differences are observed in the relationships between reputation and trust and between functional benefit and affective evaluation. This study contains some implications for mobile commerce managers who want to improve mobile buyer satisfaction.</t>
  </si>
  <si>
    <t>1567-4223</t>
  </si>
  <si>
    <t>1873-7846</t>
  </si>
  <si>
    <t>10.1016/j.elerap.2019.100919</t>
  </si>
  <si>
    <t>WOS:000517564000019</t>
  </si>
  <si>
    <t>Nazer, JR; Llorca-Jaña, M</t>
  </si>
  <si>
    <t>Ricardo Nazer, Juan; Llorca-Jana, Manuel</t>
  </si>
  <si>
    <t>Chile's national electricity company (ENDESA): a successful case of state-led national electrification, c. 1936-1981</t>
  </si>
  <si>
    <t>REVISTA DE HISTORIA INDUSTRIAL</t>
  </si>
  <si>
    <t>This article provides a detailed account of the electrification of a backward economy; how Chile developed from consuming less than 130 kWh per inhabitant, with an electricity matrix dominated by thermal power plants, and little involvement from the public sector, to consuming over 800 kWh per person, largely because of hydropower stations, which greatly improved the living standards of the population. This change was mainly attributable to the design and implementation of an ambitious National Electrification Plan, implemented by the state from the 1940s to the 1970s, which relied heavily on capital investments. This national accomplishment was not down to private enterprise; it was directly orchestrated and executed by a public sector company, ENDESA, although relying heavily on foreign loans. The article explains what made this success possible: qualified workers, generous financing by external institutions, the availability of rich water resources, and a lack of environmental concerns.</t>
  </si>
  <si>
    <t>Llorca-Jaña, Manuel/AAB-9317-2020</t>
  </si>
  <si>
    <t>1132-7200</t>
  </si>
  <si>
    <t>WOS:000592491100005</t>
  </si>
  <si>
    <t>Vidal, J; Carvajal, A; Huiliñir, C; Salazar, R</t>
  </si>
  <si>
    <t>Vidal, Jorge; Carvajal, Andrea; Huilinir, Cesar; Salazar, Ricardo</t>
  </si>
  <si>
    <t>Slaughterhouse wastewater treatment by a combined anaerobic digestion/solar photoelectro-Fenton process performed in semicontinuous operation</t>
  </si>
  <si>
    <t>CHEMICAL ENGINEERING JOURNAL</t>
  </si>
  <si>
    <t>A new semicontinuous anaerobic digestion/solar photoelectro-Fenton (SPEF) process for the treatment of slaughterhouse wastewater is studied. An Upflow Anaerobic Sludge Blanket (UASB) reactor was used at two different organic load rates (OLR) (3.94 and 8.15 g COD L-1 d(-1)), while the SPEF was carried out in a photoelectrochemical reactor using a filter press cell with a DSA anode and an air diffusion cathode. The results showed that the UASB reactor achieved up to 70% COD removal for the highest OLR, with a low efficiency of suspended solid removal. The anaerobic effluent was treated by the SPEF process, resulting in 88% and 72% COD removal for the initial concentrations of 195 +/- 14 mg L-1 and 867 +/- 52 mg L-1, respectively, and a turbidity reduction of up to 80%. The treatment of wastewater by SPEF using a current density of 10 mA cm(-2) was five times less costly than that of 25 mA cm(-2), with an associated cost of 1.4 USD h(-1) for the treatment. The proposed semicontinuous processes eliminate at least 91% of the total COD, thus representing a new option for the treatment of slaughterhouse wastewater.</t>
  </si>
  <si>
    <t>Huilinir, Cesar/IYS-6899-2023; Salazar, Ricardo/L-7870-2013; Carvajal Guevara, Andrea/G-1602-2011</t>
  </si>
  <si>
    <t>Huilinir, Cesar/0000-0002-3487-684X; Vidal, Jorge/0000-0002-1334-377X; Carvajal Guevara, Andrea/0000-0003-0973-8901; Salazar-Gonzalez, Ricardo/0000-0003-2180-6022</t>
  </si>
  <si>
    <t>1385-8947</t>
  </si>
  <si>
    <t>1873-3212</t>
  </si>
  <si>
    <t>10.1016/j.cej.2019.122097</t>
  </si>
  <si>
    <t>WOS:000487764800036</t>
  </si>
  <si>
    <t>Aedo, R</t>
  </si>
  <si>
    <t>Aedo, Roberto</t>
  </si>
  <si>
    <t>DAYS OF THEIR WRITING, SOLAR OF FOREIGNERS: ROOTING AND BANISHMENT IN THREE CHILEAN POETS (LIHN, URIBE, TEILLIER)</t>
  </si>
  <si>
    <t>In this article, we study a certain modality of the theme of the traveling in the work of three Chilean poets: Enrique Lihn, Armando Uribe and Jorge Teillier. In this context, we establish that in these works and also in others since ancient times (despite the differences that they have among themselves), this modality takes the form of displacement as exile; as banishment. Likewise, we argue that, in close relation their respective life stories, the work of each of these poets is related to an important historical-cultural process in Latin America: the widespread influence and cultural hegemony of Europe, particularly that of French culture, the forced exile resulting from the civil-military dictatorships of the second half of the twentieth century and, finally, the complex process of country-city migration, respectively. Last but not least, we sustain that the figure of the foreigner in these works updates the double condition of the poet as marginalized and marginal, and that of poetry as a space for expressing one's roots, criticism as well as resistance to the values of the capitalist model of production's social order.</t>
  </si>
  <si>
    <t>WOS:000552459700005</t>
  </si>
  <si>
    <t>Amigo, N; Palza, H; Canales, D; Sepúlveda, F; Vasco, DA; Sepúlveda, F; Zapata, PA</t>
  </si>
  <si>
    <t>Amigo, Nicolas; Palza, Humberto; Canales, Daniel; Sepulveda, Francesca; Vasco, Diego A.; Sepulveda, Francisco; Zapata, Paula A.</t>
  </si>
  <si>
    <t>Effect of starch nanoparticles on the crystallization kinetics and photodegradation of high density polyethylene</t>
  </si>
  <si>
    <t>COMPOSITES PART B-ENGINEERING</t>
  </si>
  <si>
    <t>Starch nanoparticles (SNp) with a diameter of ca. 70 nm were synthesized and used as fillers to prepare high density polyethylene (PE) composites by in situ polymerization. The effect of these particles on the thermal degradation, isothermal and nonisothermal crystallization, and photodegradation of PE was studied. SNp decreased the thermal degradation temperature of PE as tested by thermogravimetric analysis and increased the relative crystallinity and crystallization rate under isothermal conditions. This nucleating agent effect was confirmed by nonisothermal crystallizations as composites presented higher crystallization temperatures than neat PE. The photodegradation tests under UV radiation during 28 days showed that NPp promoted the polymer degradation by increasing the amount of carbonyl groups and by forming cavities at the nanoparticle/PE interface. Our findings open up new strategies for using SNp as filler in PE matrices to increase not only its photodegradation, but also its thermal properties.</t>
  </si>
  <si>
    <t>Sepúlveda, Francesca/AAW-8092-2021; Vasco, Diego/AAA-4480-2020; Canales Arévalo, Daniel/HSG-6748-2023; Sepúlveda, Francesca/IZD-9869-2023; Palza, Humberto/H-2782-2014</t>
  </si>
  <si>
    <t>Zapata, Paula Andrea/0000-0003-3361-6226; Vasco, Diego Andres/0000-0001-7456-4683; Canales, Daniel A./0000-0002-2691-6864; Palza, Humberto/0000-0001-5246-6791; Sepulveda Palma, Francisco Hernan/0000-0002-1930-3859; Sepulveda Espinoza, Francesca Antonella/0000-0001-5135-8123</t>
  </si>
  <si>
    <t>1359-8368</t>
  </si>
  <si>
    <t>1879-1069</t>
  </si>
  <si>
    <t>10.1016/j.compositesb.2019.106979</t>
  </si>
  <si>
    <t>WOS:000485853800010</t>
  </si>
  <si>
    <t>Fajardo, A; Tapia, D; Pizarro, J; Segura, R; Jara, P</t>
  </si>
  <si>
    <t>Fajardo, A.; Tapia, D.; Pizarro, J.; Segura, R.; Jara, P.</t>
  </si>
  <si>
    <t>Determination of norepinephrine using a glassy carbon electrode modified with graphene quantum dots and gold nanoparticles by square wave stripping voltammetry</t>
  </si>
  <si>
    <t>In this work, a glassy carbon electrode modified with graphene quantum dots and gold nanoparticles (GCE/GQDs/AuNPs) was developed for norepinephrine (NE) determination using squarewave stripping voltammetry. GQDs were synthesized by citric acid pyrolysis and characterized by UV-Vis and fluorescence spectroscopy. The chemically synthesized AuNPs were characterized by transmission electron microscopy and UV-Vis spectroscopy (Plasmon Band). GCE/GQDs surface was characterized by Raman spectroscopy and scanning electron microscopy. The conditions for the determination of NE with GCE/GQDs/AuNPs were optimized. The linear range was observed between 0.5 and 7.5 mu molL(-1), with a detection limit (LOD) of 0.15 mu molL(-1). The proposed methodology was validated with spiked samples for good precision and accuracy. GCE/GQDs/AuNPs were used in pharmaceutical preparations (NE ampoules) and in rat brain tissue with satisfactory results. [GRAPHICS] .</t>
  </si>
  <si>
    <t>Tapia, Diego/KIG-4786-2024; Segura, Rodrigo/J-6696-2016</t>
  </si>
  <si>
    <t>Segura, Rodrigo/0000-0001-5747-2357</t>
  </si>
  <si>
    <t>1572-8838</t>
  </si>
  <si>
    <t>10.1007/s10800-019-01288-0</t>
  </si>
  <si>
    <t>WOS:000461351200007</t>
  </si>
  <si>
    <t>Medina-Tapia, M; Robuste, F</t>
  </si>
  <si>
    <t>Medina-Tapia, Marcos; Robuste, Francesc</t>
  </si>
  <si>
    <t>Implementation of Connected and Autonomous Vehicles in Cities Could Have Neutral Effects on the Total Travel Time Costs: Modeling and Analysis for a Circular City</t>
  </si>
  <si>
    <t>Autonomous vehicles promise to revolutionize the automobile market, although their implementation could take several decades in which both types of cars will coexist on the streets. We formulate a model for a circular city based on continuous approximations, considering demand surfaces over the city. Numerical results from our model predict direct and indirect effects of connected and autonomous vehicles. Direct effects will be positive for our cities: (a) less street supply is needed to accommodate the traffic; (b) congestion levels decrease: travel costs may decrease by 30%. Some indirect effects will counterbalance these positive effects: (c) a decrease of 20% in the value of travel time can reduce the total cost by a third; (d) induced demand could be as high as 50%, bringing equivalent total costs in the future scenario; (e) the vehicle-kilometers traveled could also affect the future scenario; and (f) increases in city size and urban sprawl. As a conclusion, the implementation of autonomous vehicles could be neutral for the cities regarding travel time costs. City planning agencies still have to promote complementary modes such as active mobility (walking and bicycle), transit (public transportation), and shared mobility (shared autonomous vehicles and mobility as a service).</t>
  </si>
  <si>
    <t>Robuste, Francesc/C-4396-2015; Medina-Tapia, Marcos/F-8779-2016</t>
  </si>
  <si>
    <t>Robuste, Francesc/0000-0001-9433-5386; Medina-Tapia, Marcos/0000-0002-3961-5075</t>
  </si>
  <si>
    <t>JAN 2</t>
  </si>
  <si>
    <t>10.3390/su11020482</t>
  </si>
  <si>
    <t>WOS:000457129900186</t>
  </si>
  <si>
    <t>González, MA; Quezada, L; Palominos, P</t>
  </si>
  <si>
    <t>Angel Gonzalez, Miguel; Quezada, Luis; Palominos, Pedro</t>
  </si>
  <si>
    <t>Designing a balanced scorecard using a scenario approach</t>
  </si>
  <si>
    <t>ACADEMIA-REVISTA LATINOAMERICANA DE ADMINISTRACION</t>
  </si>
  <si>
    <t>Purpose The purpose of this paper is to design a method or process that relates dynamic environmental conditions with the strategic objectives present in a company's strategy map, thereby allowing rapid analysis and the generation of new strategies that the company can adopt in a timely manner in order to maintain and/or improve its competitive position in the market. Design/methodology/approach One training session and three workshops were run involving the company staff. The intervention team reviewed and analyzed the results achieved and prepared the final presentation. Finally, they were asked to evaluate the intervention methodology with respect to usefulness and ease of use. Findings The developed methodology allows companies to obtain a broader vision of their future prospects. The executives' participation in the process provided them a vision and understanding of the most relevant and sensitive variables of their environment. Originality/value This paper allows the identification of the possible scenarios and their incorporation into a strategy map, which may help companies deal with the changes in their competitive environment. The strategy maps generated for each of the scenarios provide useful information with respect to presented events.</t>
  </si>
  <si>
    <t>Quezada, Luis/W-8168-2019</t>
  </si>
  <si>
    <t>1012-8255</t>
  </si>
  <si>
    <t>2056-5127</t>
  </si>
  <si>
    <t>10.1108/ARLA-02-2017-0033</t>
  </si>
  <si>
    <t>WOS:000484332400002</t>
  </si>
  <si>
    <t>Soto, I; Adasme, P; San Juan, E; Valencia, C; Meza, CA</t>
  </si>
  <si>
    <t>Soto, Ismael; Adasme, Pablo; San Juan, Enrique; Valencia, Claudio; Azurdia Meza, Cesar</t>
  </si>
  <si>
    <t>New triangular VLC cell plus protocol to uplink the data in VSAT/GPS format</t>
  </si>
  <si>
    <t>The purpose of this document is to present a new triangular VLC cell and a new protocol to upload the data in GPS format to a remote control station, for the supervision of a person or device in an underground tunnel. Trilateration and calibration studies of a VSAT satellite signal are carried out. In addition, the performance studies of the solution are presented.</t>
  </si>
  <si>
    <t>Adasme, Pablo/U-1735-2019; Meza, Cesar/D-6948-2014</t>
  </si>
  <si>
    <t>10.1109/chilecon47746.2019.8988057</t>
  </si>
  <si>
    <t>WOS:000542919100160</t>
  </si>
  <si>
    <t>Winkler, MI; Villarroel, R; Pasmanik, D</t>
  </si>
  <si>
    <t>Ines Winkler, Maria; Villarroel, Raul; Pasmanik, Diana</t>
  </si>
  <si>
    <t>The promise of confidentiality: new lights for scientific research and professional practice in mental health</t>
  </si>
  <si>
    <t>ACTA BIOETHICA</t>
  </si>
  <si>
    <t>In this paper the concept of confidentiality is revisited in the light of the challenges arising from technological and communications advances and their applications in clinical practice and scientific research. The analysis is based on the presentation of philosophical background as well as the distinction and precision regarding related concepts: intimacy, privacy, anonymity, and professional secret. A counterpoint between privacy rights of patients and participants of scientific research and professional secrecy and confidentiality as professional duty is done. Also new challenges to privacy are developed in professional practice and scientific research in mental health, like the protection of confidentiality of the electronic clinical file. The authors conclude emphasizing the need to include the subject in the ethical and legal reflection in research and professional education.</t>
  </si>
  <si>
    <t>1726-569X</t>
  </si>
  <si>
    <t>10.4067/S1726-569X2018000100127</t>
  </si>
  <si>
    <t>WOS:000434512900014</t>
  </si>
  <si>
    <t>Yáñez, M; Moya, SA; Zúñiga, C; Cárdenas-Jirón, G</t>
  </si>
  <si>
    <t>Yanez-S, Mauricio; Moya, Sergio A.; Zuniga, Cesar; Cardenas-Jiron, Gloria</t>
  </si>
  <si>
    <t>Theoretical assessment of TD-DFT applied to a ferrocene-based complex</t>
  </si>
  <si>
    <t>COMPUTATIONAL AND THEORETICAL CHEMISTRY</t>
  </si>
  <si>
    <t>We present a theoretical study of the electronic absorption spectrum of the 2-ferrocenyl-1,8-naphthyridine (FcNP) complex using the time-dependent density functional theory (TD-DFT) approach. The calculations were carried out at the DFT/LANL2DZ(Fe)/6-31++G(d) level of theory with nine DFT functionals of the type GGA (PBE, B97D), HGGA (B3LYP, PBEO), HMGGA (M05, M06) and range-separated (wB97XD, CAM-B3LYP, LC-wPBE) in the condensed phase (CH2Cl2). The experimental spectrum for FcNP presents three electronic absorption bands (A, B, C) in the UV region and one band (D) in the visible region. We found that there is no unique functional that reproduces the entire electronic spectrum. GGA and LC-wPBE functionals predict large errors (up to 0.57 eV) for the UV bands. On the contrary, HGGA (PBEO), HMGGA (M05, M06) and range-separated (wB97XD, CAM-B3LYP) functionals give small errors for these bands, 0.18, 0.12 and 0.25 eV, respectively. Band D is well described by all the functionals with errors up to 0.26 eV, except by the M05 and M06 functionals, which fail in this region with significant errors (0.52 and 0.56 eV). The analysis of the excitation energies shows that the PBEO, wB97XD and CAM-B3LYP functionals predict the best agreement with the experimental data. The two stronger bands (A, B) in the UV region are assigned to a ligand ligand charge transfer (L-LCT) that involves the Cyclopentadienyl rings (Cp) and the naphthyridine fragment (NP), and then associated with pi -&gt; pi* electronic transitions. The two weaker bands (C, D) are assigned to a charge transfer from ligand (Cp) to metal (Fe)-ligand (NP) (L-MLCT) which is mainly addressed through the dxy and dz(2) atomic orbitals, respectively. No charge transfer is observed between metal and NP ligand. It was shown that the theoretical methods used for understanding the electronic absorption properties of FcNP were adequate because the results showed an excellent agreement with experimental ones. (C) 2017 Elsevier B.V. All rights reserved.</t>
  </si>
  <si>
    <t>Cardenas-Jiron, Gloria/0000-0003-4305-8088; Zuniga, Cesar/0009-0004-8736-6861</t>
  </si>
  <si>
    <t>2210-271X</t>
  </si>
  <si>
    <t>1872-7999</t>
  </si>
  <si>
    <t>10.1016/j.comptc.2017.08.032</t>
  </si>
  <si>
    <t>WOS:000413381900007</t>
  </si>
  <si>
    <t>Bazán, JL; Torres-Avilés, F; Suzuki, AK; Louzada, F</t>
  </si>
  <si>
    <t>Bazan, J. L.; Torres-Aviles, F.; Suzuki, A. K.; Louzada, F.</t>
  </si>
  <si>
    <t>Power and reversal power links for binary regressions: An application for motor insurance policyholders</t>
  </si>
  <si>
    <t>APPLIED STOCHASTIC MODELS IN BUSINESS AND INDUSTRY</t>
  </si>
  <si>
    <t>In binary regression, symmetric links such as logit and probit are usually considered as standard. However, in the presence of unbalancing of ones and zeros, these links can be inappropriate and inflexible to fit the skewness in the response curve and likely to lead to misspecification. This is the case of covering some type of insurance, where it can be observed that the probability of a given binary response variable approaches zero at different rates than it approaches one. Furthermore, when usual links are considered, there is not a skewness parameter associated with the distribution chosen that, regardless of the linear predictor, is easily interpreted. In order to overcome such problems, a proposal for the construction of a set of new skew links is developed in this paper, where some of their properties are discussed. In this context, power links and their reversal versions are presented. A Bayesian inference approach using MCMC is developed for the presented models. The methodology is illustrated considering a sample of motor insurance policyholders selected randomly by gender. Results suggest that the proposed link functions are more appropriate than other alternative link functions commonly used in the literature. Copyright (c) 2016 John Wiley &amp; Sons, Ltd.</t>
  </si>
  <si>
    <t>Torres-Avilés, Francisco/J-8269-2013; Louzada, Francisco/E-8463-2011; Bazan Guzman, Jorge Luis/D-7849-2015; Suzuki, Adriano/I-1410-2013</t>
  </si>
  <si>
    <t>Louzada, Francisco/0000-0001-7815-9554; Bazan Guzman, Jorge Luis/0000-0003-3918-8795; Suzuki, Adriano/0000-0002-4256-4694</t>
  </si>
  <si>
    <t>1524-1904</t>
  </si>
  <si>
    <t>1526-4025</t>
  </si>
  <si>
    <t>10.1002/asmb.2215</t>
  </si>
  <si>
    <t>WOS:000394598100005</t>
  </si>
  <si>
    <t>Cruz-Rizo, A; Gutiérrez-Granados, S; Salazar, R; Peralta-Hernández, JM</t>
  </si>
  <si>
    <t>Cruz-Rizo, Alejandra; Gutierrez-Granados, Silvia; Salazar, Ricardo; Peralta-Hernandez, Juan M.</t>
  </si>
  <si>
    <t>Application of electro-Fenton/BDD process for treating tannery wastewaters with industrial dyes</t>
  </si>
  <si>
    <t>Degradation of the industrial dyes, Blue BR (BBR) 200 mg/L and Black TRS (BTRS) 100 mg/L, has been studied by the electro-Fenton/BDD process (EF/BDD). Each dye was tested in 0.05 mM Na2SO4 with 0.5 mM Fe2+ at pH 3.0 and in NaCl 0.05 mM, and electrolyzed in an undivided BDD/BDD flow reactor under galvanostatic conditions with 8, 15 and 31 mA/cm(2). Dyes were oxidized via hydroxyl radicals ((OH)-O-center dot) formed at the BDD anode from water oxidation coupled with Fenton's reaction cathodically electro-generating hydrogen peroxide (H2O2). Under Na2SO4 medium a 78% decolorization is achieved and an almost 90% under NaCl. Through the color abatement rate the dyes behavior was analyzed at the beginning of the oxidation process. Dissolved Organic Carbon (DOC) was tested to evaluate the degradation. From DOC removal, it was established an increasing relative oxidation power of the EF/BDD with respect to the supporting electrolyte Na2SO4 &lt; NaCl, according with their decolorization trend. This study highlights the potential of the electro-Fenton/BDD process for the degradation of industrial dyes present in wastewaters under appropriate experimental conditions. (C) 2016 Elsevier B.V. All rights reserved.</t>
  </si>
  <si>
    <t>Gutierrez-Granados, Silvia/IUQ-8021-2023; Salazar, Ricardo/L-7870-2013</t>
  </si>
  <si>
    <t>Salazar-Gonzalez, Ricardo/0000-0003-2180-6022; Gutierrez Granados, Silvia/0000-0002-9830-4234</t>
  </si>
  <si>
    <t>JAN 1</t>
  </si>
  <si>
    <t>10.1016/j.seppur.2016.08.029</t>
  </si>
  <si>
    <t>WOS:000385602300034</t>
  </si>
  <si>
    <t>Dammert, L; Guardia, MD</t>
  </si>
  <si>
    <t>Dammert, Lucia; Guardia, Manuel Dammert</t>
  </si>
  <si>
    <t>Violence and Resilience in Latin American Cities</t>
  </si>
  <si>
    <t>LATIN AMERICAN POLITICS AND SOCIETY</t>
  </si>
  <si>
    <t>Dammert, Lucia/U-2327-2019; guardia, manuel/Z-1186-2019</t>
  </si>
  <si>
    <t>Dammert-Guardia, Manuel/0000-0001-7583-1878</t>
  </si>
  <si>
    <t>1531-426X</t>
  </si>
  <si>
    <t>1548-2456</t>
  </si>
  <si>
    <t>WIN</t>
  </si>
  <si>
    <t>10.1017/S1531426X0000251X</t>
  </si>
  <si>
    <t>WOS:000387321300015</t>
  </si>
  <si>
    <t>Grosjean, G; Hubert, M; Lagubeau, G; Vandewalle, N</t>
  </si>
  <si>
    <t>Grosjean, Galien; Hubert, Maxime; Lagubeau, Guillaume; Vandewalle, Nicolas</t>
  </si>
  <si>
    <t>Realization of the Najafi-Golestanian microswimmer</t>
  </si>
  <si>
    <t>A paradigmatic microswimmer is the three-linked-spheres model, which follows a minimalist approach for propulsion by shape shifting. As such, it has been the subject of numerous analytical and numerical studies. In this Rapid Communication, an experimental three-linked-spheres swimmer is created by self-assembling ferromagnetic particles at an air-water interface. It is powered by a uniform oscillating magnetic field. A model, using two harmonic oscillators, reproduces the experimental findings. Because the model remains general, the same approach could be used to design a variety of efficient microswimmers.</t>
  </si>
  <si>
    <t>Grosjean, Galien/T-1650-2019; Hubert, Maxime/HPC-6632-2023; Grosjean, Galien/O-7701-2016</t>
  </si>
  <si>
    <t>Hubert, Maxime/0000-0001-9412-372X; Grosjean, Galien/0000-0001-5154-417X; Lagubeau, Guillaume/0000-0003-2710-3299; Vandewalle, Nicolas/0000-0002-1824-2011</t>
  </si>
  <si>
    <t>2470-0045</t>
  </si>
  <si>
    <t>2470-0053</t>
  </si>
  <si>
    <t>10.1103/PhysRevE.94.021101</t>
  </si>
  <si>
    <t>WOS:000380964400001</t>
  </si>
  <si>
    <t>Cecchi, PA; Aldecoa, RT</t>
  </si>
  <si>
    <t>Cecchi, P. A.; Tiedra de Aldecoa, Rafael</t>
  </si>
  <si>
    <t>Furstenberg Transformations on Cartesian Products of Infinite-Dimensional Tori</t>
  </si>
  <si>
    <t>POTENTIAL ANALYSIS</t>
  </si>
  <si>
    <t>We consider in this note Furstenberg transformations on Cartesian products of infinite-dimensional tori. Under some appropriate assumptions, we show that these transformations are uniquely ergodic with respect to the Haar measure and have countable Lebesgue spectrum in a suitable subspace. These results generalise to the infinite-dimensional setting previous results of H. Furstenberg, A. Iwanik, M. Lemanzyk, D. Rudolph and the second author in the one-dimensional setting. Our proofs rely on the use of commutator methods for unitary operators and Bruhat functions on the infinite-dimensional torus.</t>
  </si>
  <si>
    <t>Cecchi Bernales, Paulina/0009-0002-3669-6081</t>
  </si>
  <si>
    <t>0926-2601</t>
  </si>
  <si>
    <t>1572-929X</t>
  </si>
  <si>
    <t>10.1007/s11118-015-9497-y</t>
  </si>
  <si>
    <t>WOS:000369254900003</t>
  </si>
  <si>
    <t>Duran, C; Cordava, F; Palominos, F</t>
  </si>
  <si>
    <t>Duran, Claudia; Cordava, Felisa; Palominos, Fredi</t>
  </si>
  <si>
    <t>Multi-criteria analysis of strategic synergy relationships between a medium-sized port and its macro-environment</t>
  </si>
  <si>
    <t>In this work a medium-sized port is analysed, which acts as a mixed network, interacting with private companies, trade associations, social groups and components of the State. Each public and private actor declares strategic phrases and rubrics in his/her mission, they can relate to the political, economic, social, technological and environmental multi-criteria macro-environment classification (PESTA). It can be seen that two port actors manage to engage in a synergic manner when they have a common strategic approach. In this research, a Multi-criteria Strategic Matrix (MSM) has been designed to display if each actor complies with one or more criteria of the macro-environment; then, the MSM is analysed and the specific/relative weight of each criteria is estimated, in addition to the possible combinations of strategic synergy generated in the port mixed network. Then, by using arrays of contingency and the Test Chi-square, any dependencies between criteria of the macro-environment are studied.</t>
  </si>
  <si>
    <t>CORDOVA, FELISA/S-1093-2019; Duran, Claudia/S-1175-2019; Palominos, Fredi/U-4690-2019</t>
  </si>
  <si>
    <t>WOS:000390556300059</t>
  </si>
  <si>
    <t>Arancibia-Miranda, N; Silva-Yumi, J; Escudey, M</t>
  </si>
  <si>
    <t>Arancibia-Miranda, Nicolas; Silva-Yumi, Jorge; Escudey, Mauricio</t>
  </si>
  <si>
    <t>Effect of cations in the background electrolyte on the adsorption kinetics of copper and cadmium and the isoelectric point of imogolite</t>
  </si>
  <si>
    <t>Modification of surface charge and changes in the isoelectric point (IEP) of synthetic imogolite were studied for various cations in the background electrolyte (K+, NH4+, Mg2+, and Ca2+). From the electrophoretic mobility data, it was established that the K+ (KCl) concentration does not affect the IEP of imogolite; therefore, KCl is a suitable background electrolyte. In terms of the magnitude of changes in the IEP and surface charge, the cations may be ranked in the following order: Mg2+ approximate to Ca2+ &gt;&gt; NH4+ &gt;&gt; K+. Four different kinetic models were used to evaluate the influence of Mg2+, Ca2+, NH4+, and K+ on the adsorption of Cd and Cu on synthetic imogolite. When adsorption occurs in the presence of cations with the exception of K+, the kinetics of the process is well described by the pseudo-first order model. On the other hand, when adsorption is conducted in the presence of K+, the adsorption kinetics is well described by the pseudo-second order, Elovich, and Weber-Morris models. From the surface charge measurements, the affinity between imogolite and the cations and their effect on the adsorption of trace elements, namely Cu and Cd, were established. (C) 2015 Elsevier B.V. All rights reserved.</t>
  </si>
  <si>
    <t>Arancibia-Miranda, Nicolás/I-6743-2013; Yumi, Jorge/AAO-4302-2020</t>
  </si>
  <si>
    <t>Arancibia-Miranda, Nicolas/0000-0002-0142-6922; Silva Yumi, Jorge/0000-0002-6005-9915</t>
  </si>
  <si>
    <t>10.1016/j.jhazmat.2015.08.007</t>
  </si>
  <si>
    <t>WOS:000367411000075</t>
  </si>
  <si>
    <t>Grosjean, G; Lagubeau, G; Darras, A; Hubert, M; Lumay, G; Vandewalle, N</t>
  </si>
  <si>
    <t>Grosjean, G.; Lagubeau, G.; Darras, A.; Hubert, M.; Lumay, G.; Vandewalle, N.</t>
  </si>
  <si>
    <t>Remote control of self-assembled microswimmers</t>
  </si>
  <si>
    <t>Physics governing the locomotion of microorganisms and other microsystems is dominated by viscous damping. An effective swimming strategy involves the non-reciprocal and periodic deformations of the considered body. Here, we show that a magnetocapillary-driven self-assembly, composed of three soft ferromagnetic beads, is able to swim along a liquid-air interface when powered by an external magnetic field. More importantly, we demonstrate that trajectories can be fully controlled, opening ways to explore low Reynolds number swimming. This magnetocapillary system spontaneously forms by self-assembly, allowing miniaturization and other possible applications such as cargo transport or solvent flows.</t>
  </si>
  <si>
    <t>Hubert, Maxime/HPC-6632-2023; Grosjean, Galien/T-1650-2019; Grosjean, Galien/O-7701-2016; Darras, Alexis/N-1296-2015</t>
  </si>
  <si>
    <t>Hubert, Maxime/0000-0001-9412-372X; Grosjean, Galien/0000-0001-5154-417X; Darras, Alexis/0000-0003-1258-8465; Lagubeau, Guillaume/0000-0003-2710-3299; Vandewalle, Nicolas/0000-0002-1824-2011</t>
  </si>
  <si>
    <t>10.1038/srep16035</t>
  </si>
  <si>
    <t>WOS:000364147800001</t>
  </si>
  <si>
    <t>Mora, A; Skurtys, O; Osorio, F</t>
  </si>
  <si>
    <t>IOP</t>
  </si>
  <si>
    <t>Mora, A.; Skurtys, O.; Osorio, F.</t>
  </si>
  <si>
    <t>Rheological Characterization of Polyoxyethylene (POE) and Carboxymethyl Cellulose (CMC) Suspensions with Added Solids</t>
  </si>
  <si>
    <t>1ST INTERNATIONAL CONFERENCE ON RHEOLOGY AND MODELING OF MATERIALS (IC-RMM1)</t>
  </si>
  <si>
    <t>Journal of Physics Conference Series</t>
  </si>
  <si>
    <t>1st International Conference on Rheology and Modeling of Materials ((IC-RMM)</t>
  </si>
  <si>
    <t>OCT 07-11, 2013</t>
  </si>
  <si>
    <t>HUNGARY</t>
  </si>
  <si>
    <t>Int Assoc Study Clays,Associazione Italiana REOLOGIA,Biomaterials Network,European Soc Rheol,Groupe Francais Ceramique,Int Commiss Glass,Igrex Engn Serv Ltd,Academ Journals,Appl Rheol,Ceram Forum Int,Rheol Bulletin,Technologija Hrane,Moscow State Univ,Nordic Rheol Soc,Inst Strength Phys &amp; Mat Sci,Soc Rheol,Univ Miskolc, Miskolci Egyetem,Epitoanyag Journal Silicate Based &amp; Composite Mat,Refractiries World Forum,Int Sci Advisory Board,Int Org Board</t>
  </si>
  <si>
    <t>The rheological properties of high molecular weight POE and CMC suspensions by adding micro-metric solid particles such as fibers or spheres were studied. The volume fraction, Phi, was varied between 0 and 0.4. Their rheological properties were obtained after fitting a Cross model. For POE suspending fluid with spherical particle, the behavior of the normalized steady shear viscosity, mu/mu(0), as function of the fraction volume followed a Thomas model. However, for CMC suspensions, mu/mu(0) seems to be lineal with F. For a pure fluid or a suspension with Phi = 0; 2, the suspension presented an elastic behavior whereas it was observed a viscous behavior when the volume fraction was increased.</t>
  </si>
  <si>
    <t>skurtys, olivier/HNS-4835-2023; osorio, fernando/AAY-7304-2021</t>
  </si>
  <si>
    <t>osorio, fernando/0000-0001-7206-0924; skurtys, olivier/0000-0003-1432-7242</t>
  </si>
  <si>
    <t>1742-6588</t>
  </si>
  <si>
    <t>10.1088/1742-6596/602/1/012013</t>
  </si>
  <si>
    <t>WOS:000354704800013</t>
  </si>
  <si>
    <t>Ponce, MSH; Rosas, RPE; Lorca, MBF</t>
  </si>
  <si>
    <t>Herrera Ponce, Maria Soledad; Elgueta Rosas, Raul Pedro; Fernandez Lorca, Maria Beatriz</t>
  </si>
  <si>
    <t>Social capital, social participation and life satisfaction among Chilean older adults</t>
  </si>
  <si>
    <t>REVISTA DE SAUDE PUBLICA</t>
  </si>
  <si>
    <t>OBJECTIVE: To examine factors associated with social participation and their relationship with self-perceived well-being in older adults. METHODS: This study was based on data obtained from the National Socioeconomic Characterization (CASEN) Survey conducted in Chile, in 2011, on a probability sample of households. We examined information of 31,428 older adults living in these households. Descriptive and explanatory analyses were performed using linear and multivariate logistic regression models. We assessed the respondents' participation in different types of associations: egotropic, sociotropic, and religious. RESULTS: Social participation increased with advancing age and then declined after the age of 80. The main finding of this study was that family social capital is a major determinant of social participation of older adults. Their involvement was associated with high levels of self-perceived subjective well-being. We identified four settings as sources of social participation: home-based; rural community-based; social policy programs; and religious. Older adults were significantly more likely to participate when other members of the household were also involved in social activities evidencing an intergenerational transmission of social participation. Rural communities, especially territorial associations, were the most favorable setting for participation. There has been a steady increase in the rates of involvement of older adults in social groups in Chile, especially after retirement. Religiosity remains a major determinant of associativism. The proportion of participation was higher among older women than men but these proportions equaled after the age of 80. CONCLUSIONS: Self-perceived subjective well-being is not only dependent upon objective factors such as health and income, but is also dependent upon active participation in social life, measured as participation in associations, though its effects are moderate.</t>
  </si>
  <si>
    <t>Ponce, Maria/AFP-3635-2022</t>
  </si>
  <si>
    <t>Fernandez Lorca, M.Beatriz/0000-0001-5400-3168; Herrera, M. Soledad/0000-0001-5178-806X</t>
  </si>
  <si>
    <t>0034-8910</t>
  </si>
  <si>
    <t>1518-8787</t>
  </si>
  <si>
    <t>10.1590/S0034-8910.2014048004759</t>
  </si>
  <si>
    <t>WOS:000344469200004</t>
  </si>
  <si>
    <t>Vásquez, OC</t>
  </si>
  <si>
    <t>Vasquez, Oscar C.</t>
  </si>
  <si>
    <t>On the complexity of the single machine scheduling problem minimizing total weighted delay penalty</t>
  </si>
  <si>
    <t>OPERATIONS RESEARCH LETTERS</t>
  </si>
  <si>
    <t>We consider a single machine scheduling problem for a fixed penalty function f. For this problem every job j has a priority w(j), and a processing time p(j) and the goal is to find an order on the given jobs that minimizes Sigma w(j)f (C-j), where C-j is the completion time of job j. This paper studies the complexity of this problem for various classes of penalty functions. (C) 2014 Elsevier B.V. All rights reserved.</t>
  </si>
  <si>
    <t>Vasquez, Oscar C./0000-0002-1393-4692</t>
  </si>
  <si>
    <t>0167-6377</t>
  </si>
  <si>
    <t>1872-7468</t>
  </si>
  <si>
    <t>10.1016/j.orl.2014.05.009</t>
  </si>
  <si>
    <t>WOS:000340221300008</t>
  </si>
  <si>
    <t>Acuña, G; Curilem, M; Cubillos, F</t>
  </si>
  <si>
    <t>Acuna, Gonzalo; Curilem, Millaray; Cubillos, Francisco</t>
  </si>
  <si>
    <t>Development of a Software Sensor based on a NARMAX-Support Vector Machine Model for Semi-Autogenous Grinding</t>
  </si>
  <si>
    <t>REVISTA IBEROAMERICANA DE AUTOMATICA E INFORMATICA INDUSTRIAL</t>
  </si>
  <si>
    <t>State estimation in complex processes such as the semi-autogenous grinding process (SAG) in copper mining is an important and difficult task due to difficulties for real-time and on-line measuring of some relevant process variables. This paper extends a comparison, initiated in previous work of the same authors, between NARX and NARMAX dynamic models built using Artificial Neural Networks (ANN) and Support Vector Machines (SVM), when acting as estimators of one of the most important state variables for SAG milling operation. To accomplish this comparison we propose a simple and original methodology to develop NARMAX models with SVM. The results show that SVM-NARMAX models outperform SVM-NARX models because they incorporate previous prediction errors in order to improve prediction of the future evolution of the process. Advantages of SVM over those RNA models are also highlighted. NARMAX-SVM has a significantly lower MSE than all other models. In terms of the milling process, it provides a useful tool for estimating important state variables that are not easily available on-line and in real time thus aiding control and monitoring of the process.</t>
  </si>
  <si>
    <t>CUBILLOS, FRANCISCO/0000-0001-7863-4394; Acuna Leiva, Gonzalo Pedro/0000-0002-0519-7792; Curilem, Millaray/0000-0001-8685-221X</t>
  </si>
  <si>
    <t>1697-7912</t>
  </si>
  <si>
    <t>1697-7920</t>
  </si>
  <si>
    <t>10.1016/j.riai.2013.09.008</t>
  </si>
  <si>
    <t>WOS:000330335400010</t>
  </si>
  <si>
    <t>Lacoste, P; Aranda, M; Yuri, JA; Castro, A; Solar, M; Soto, N; Polanco, C</t>
  </si>
  <si>
    <t>Lacoste, Pablo; Aranda, Marcela; Antonio Yuri, Jose; Castro, Amalia; Solar, Mario; Soto, Natalia; Polanco, Carolina</t>
  </si>
  <si>
    <t>Olive culture and cultivation in Chile and Cuyo, 1550-1850</t>
  </si>
  <si>
    <t>COLONIAL LATIN AMERICAN HISTORICAL REVIEW-SECOND SERIES</t>
  </si>
  <si>
    <t>Castro, Amalia/LXV-4156-2024</t>
  </si>
  <si>
    <t>1063-5769</t>
  </si>
  <si>
    <t>WOS:000317145700003</t>
  </si>
  <si>
    <t>Lizama, C; Mesquita, JG</t>
  </si>
  <si>
    <t>Lizama, Carlos; Mesquita, Jaqueline G.</t>
  </si>
  <si>
    <t>Almost automorphic solutions of non-autonomous difference equations</t>
  </si>
  <si>
    <t>In the present paper, we study the non-autonomous difference equations given by u(k + 1) = A(k)u(k) + f (k) and u(k + 1) = A(k)u(k)+ g(k, u(k)) for k is an element of Z, where A(k) is a given non-singular n x n matrix with elements a(ij)(k), 1 &lt;= i, j &lt;= n, f : Z -&gt; E-n is a given n x 1 vector function, g : Z x E-n -&gt; E-n and u(k) is an unknown n x 1 vector with components u(i)(k), 1 &lt;= i &lt;= n. We obtain the existence of a discrete almost automorphic solution for both the equations, assuming that A(k) and f (k) are discrete almost automorphic functions and the associated homogeneous system admits an exponential dichotomy. Also, assuming the function g satisfies a global Lipschitz type condition, we prove the existence and uniqueness of an almost automorphic solution of the nonlinear difference equation. (C) 2013 Elsevier Inc. All rights reserved.</t>
  </si>
  <si>
    <t>Godoy Mesquita, Jaqueline/A-2356-2012; Lizama, Carlos/E-5909-2011</t>
  </si>
  <si>
    <t>Godoy Mesquita, Jaqueline/0000-0002-1255-9384; Lizama, Carlos/0000-0002-9807-1100</t>
  </si>
  <si>
    <t>10.1016/j.jmaa.2013.05.032</t>
  </si>
  <si>
    <t>WOS:000321880600016</t>
  </si>
  <si>
    <t>PSEUDO ASYMPTOTIC SOLUTIONS OF FRACTIONAL ORDER SEMILINEAR EQUATIONS</t>
  </si>
  <si>
    <t>BANACH JOURNAL OF MATHEMATICAL ANALYSIS</t>
  </si>
  <si>
    <t>Using a generalization of the semigroup theory of linear operators, we prove existence and uniqueness of mild solutions for the semilinear fractional order differential equation D(t)(alpha+1)tu(t) + mu D(t)(beta)u(t) - Au(t) = f(t,u(t)), t &gt; 0, 0 &lt; alpha &lt;= beta &lt;= 1, mu &gt;= 0, with the property that the solution can be written as u = f + h where f belongs to the space of periodic (resp. almost periodic, compact almost automorphic, almost automorphic) functions and h belongs to the space P-0(R+, X) := {phi epsilon BC(R+, X) : lim(T -&gt;infinity) 1/T integral(T)(0) parallel to phi(s)parallel to ds = 0}. Moreover, this decomposition is unique.</t>
  </si>
  <si>
    <t>1735-8787</t>
  </si>
  <si>
    <t>10.15352/bjma/1363784222</t>
  </si>
  <si>
    <t>WOS:000316048400004</t>
  </si>
  <si>
    <t>Iturralde, D; Soto, I; Fuentealba, D; Bravo, J; Becerra, N</t>
  </si>
  <si>
    <t>Velasquez, CE</t>
  </si>
  <si>
    <t>Iturralde, Daniel; Soto, Ismael; Fuentealba, Diego; Bravo, Jorge; Becerra, Nestor</t>
  </si>
  <si>
    <t>A new system based on Web services and RFID for tracking people in a pervasive mining environment</t>
  </si>
  <si>
    <t>2013 IEEE LATIN-AMERICA CONFERENCE ON COMMUNICATIONS (LATINCOM)</t>
  </si>
  <si>
    <t>IEEE Latin-America Conference on Communications (LATINCOM)</t>
  </si>
  <si>
    <t>NOV 24-26, 2013</t>
  </si>
  <si>
    <t>IEEE Commun Soc,Inst Elect &amp; Elect Engineers</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</si>
  <si>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</si>
  <si>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Fuentealba, Diego/AAM-8509-2020</t>
  </si>
  <si>
    <t>Iturralde, Daniel/0000-0003-2134-0453; Soto, Ismael/0000-0002-5501-5651; Fuentealba, Diego/0000-0001-5284-0448</t>
  </si>
  <si>
    <t>978-1-4799-1148-6</t>
  </si>
  <si>
    <t>WOS:000352135900021</t>
  </si>
  <si>
    <t>Akyildiz, FT; Siginer, DA</t>
  </si>
  <si>
    <t>Akyildiz, F. Talay; Siginer, Dennis A.</t>
  </si>
  <si>
    <t>Discussion: Effect of Corrugated Roughness on Developed Laminar Flow in Microtubes, (Duan, Z. and Muzychka, Y. M., 2008, ASME Trans. J. Fluids Eng., 130, p. 031102)</t>
  </si>
  <si>
    <t>JOURNAL OF FLUIDS ENGINEERING-TRANSACTIONS OF THE ASME</t>
  </si>
  <si>
    <t>Fully developed continuum flow through corrugated tubes with slip at the boundary is solved by perturbations and the results are compared with the work of Duan and Muzychka (Duan and Muzychka, 2008, Effects of Corrugated Roughness on Developed Laminar Flow in Microtubes, ASME Trans. J. Fluids Eng., 130, p. 031102). This note brings out and corrects the errata and extends the results obtained. [DOI: 10.1115/1.4006746]</t>
  </si>
  <si>
    <t>Akyildiz, Fahir/JWG-1446-2024; Akyildiz, Fahir/N-4520-2013</t>
  </si>
  <si>
    <t>0098-2202</t>
  </si>
  <si>
    <t>10.1115/1.4006746</t>
  </si>
  <si>
    <t>WOS:000314759800016</t>
  </si>
  <si>
    <t>Hasanoglu, A; Rebolledo, F; Plaza, A; Torres, A; Romero, J</t>
  </si>
  <si>
    <t>Hasanoglu, A.; Rebolledo, F.; Plaza, A.; Torres, A.; Romero, J.</t>
  </si>
  <si>
    <t>Effect of the operating variables on the extraction and recovery of aroma compounds in an osmotic distillation process coupled to a vacuum membrane distillation system</t>
  </si>
  <si>
    <t>The coupled operation of osmotic distillation (OD) and vacuum membrane distillation (VMD) for concentration of fruit juices and simultaneous recovery of their aroma compounds was studied. The simulated aqueous fruit juices containing four common aroma compounds were concentrated using osmotic distillation where the feed solution was in contact with a brine solution of CaCl2, through a hydrophobic macroporous membrane contactor. Aroma compounds absorbed in the extraction brine were extracted using a membrane evaporator under vacuum and collected into a cold trap. This way, both concentration and aroma recovery of fruit juices were achieved simultaneously using two hollow fiber membrane modules. The transfer of the aroma compounds was evaluated by using different operating variables such as hydrodynamic conditions, brine concentration and vacuum pressure. The experiments show that the loss of aroma compounds during the concentration processes can be avoided by means of extraction of the aroma compounds from the brine separately, resulting in an average of 75% recovery in aroma compounds. In general, the process of aroma removal and recovery is faster than the concentration process of the fruit juices by osmotic distillation at a technical and commercial level (higher than 45 degrees Brix). Thus, the simultaneous operation of these two membrane processes can be used to decrease the energy requirements for a given production capacity. (C) 2012 Elsevier Ltd. All rights reserved.</t>
  </si>
  <si>
    <t>Romero, Julio/I-6705-2013; Hasanoğlu, Ayça/AAZ-4636-2020</t>
  </si>
  <si>
    <t>Romero, Julio/0000-0002-1229-1592; Hasanoglu, Ayca/0000-0002-2988-8504; Plaza, Andrea/0000-0001-9475-007X</t>
  </si>
  <si>
    <t>10.1016/j.jfoodeng.2012.03.004</t>
  </si>
  <si>
    <t>WOS:000304577500013</t>
  </si>
  <si>
    <t>Véron, L; Yarur, C</t>
  </si>
  <si>
    <t>Veron, Laurent; Yarur, Cecilia</t>
  </si>
  <si>
    <t>Boundary value problems with measures for elliptic equations with singular potentials</t>
  </si>
  <si>
    <t>JOURNAL OF FUNCTIONAL ANALYSIS</t>
  </si>
  <si>
    <t>We study the boundary value problem with Radon measures for nonnegative solutions of L(V)u := -Delta u + Vu = 0 in a bounded smooth domain Omega, when V is a locally bounded nonnegative function. Introducing some specific capacity, we give sufficient conditions on a Radon measure mu on a partial derivative Omega so that the problem can be solved. We study the reduced measure associated to this equation as well as the boundary trace of positive solutions. In Appendix A A. Ancona solves a question raised by M. Marcus and L. Veron concerning the vanishing set of the Poisson kernel of L v for an important class of potentials V. (C) 2011 Elsevier Inc. All rights reserved.</t>
  </si>
  <si>
    <t>Véron, Laurent/B-2088-2012</t>
  </si>
  <si>
    <t>0022-1236</t>
  </si>
  <si>
    <t>1096-0783</t>
  </si>
  <si>
    <t>10.1016/j.jfa.2010.12.032</t>
  </si>
  <si>
    <t>WOS:000299127800001</t>
  </si>
  <si>
    <t>Cuevas, C; Henríquez, HR; Lizama, C</t>
  </si>
  <si>
    <t>Cuevas, Claudio; Henriquez, Hernan R.; Lizama, Carlos</t>
  </si>
  <si>
    <t>On the existence of almost automorphic solutions of Volterra difference equations</t>
  </si>
  <si>
    <t>JOURNAL OF DIFFERENCE EQUATIONS AND APPLICATIONS</t>
  </si>
  <si>
    <t>Given a complex summable sequence a(n) and a discrete almost automorphic function f (n) with values in a complex Banach space X, we give criteria for the existence of discrete almost automorphic solutions of the linear Volterra difference equation u(n + 1) = lambda Sigma(n)(j=-infinity) a(n - j)u(j) + f(n), n is an element of Z, for lambda in a distinguished subset of the complex plane, determined by a(n). We also prove the existence of a discrete almost automorphic solution of the nonlinear Volterra difference equation u(n + 1) = lambda Sigma(n)(j=infinity) a(n - j)u(j) + f (n, u(n), n is an element of Z, where f (n, x) is a discrete almost automorphic function in n for each x [ X that satisfies a global Lipschitz condition and takes values in X. Finally, we treat the same type of problemfor Volterra functional difference equations.</t>
  </si>
  <si>
    <t>Cuevas, Claudio/A-5896-2012; Lizama, Carlos/E-5909-2011</t>
  </si>
  <si>
    <t>Lizama, Carlos/0000-0002-9807-1100</t>
  </si>
  <si>
    <t>1023-6198</t>
  </si>
  <si>
    <t>1563-5120</t>
  </si>
  <si>
    <t>10.1080/10236198.2011.603311</t>
  </si>
  <si>
    <t>WOS:000310578700011</t>
  </si>
  <si>
    <t>Moraga, NO; Lemus-Mondaca, RA</t>
  </si>
  <si>
    <t>Moraga, Nelson O.; Lemus-Mondaca, Roberto A.</t>
  </si>
  <si>
    <t>Numerical conjugate air mixed convection/non-Newtonian liquid solidification for various cavity configurations and rheological models</t>
  </si>
  <si>
    <t>Unsteady 2D natural convection/phase change of a non-Newtonian liquid inside a square container caused by external mixed convection of a Newtonian fluid with various cavity configurations has been studied numerically. Air was chosen as external cooling fluid and modified non-Newtonian water as the internal solidifying fluid. Conjugate convective fluid and heat transport, described in terms of nonlinear coupled continuity, momentum, and energy equations, were solved by using the finite volume method with the SIMPLE algorithm. Effects of four external fluid inlet/outlet locations and four non-Newtonian rheological models were studied. Results for the time evolution of streamlines, isotherms and freezing curves are analyzed. The effect of the cavity inlet/outlet configuration on streamlines of the external fluid is remarkable, near the region close to the non-Newtonian liquid filled container. (C) 2011 Elsevier Ltd. All rights reserved.</t>
  </si>
  <si>
    <t>Lemus-Mondaca, Roberto/E-8348-2017</t>
  </si>
  <si>
    <t>Lemus-Mondaca, Roberto/0000-0002-1252-2573</t>
  </si>
  <si>
    <t>1879-2189</t>
  </si>
  <si>
    <t>23-24</t>
  </si>
  <si>
    <t>10.1016/j.ijheatmasstransfer.2011.07.032</t>
  </si>
  <si>
    <t>WOS:000295115900036</t>
  </si>
  <si>
    <t>de Andrade, B; Lizama, C</t>
  </si>
  <si>
    <t>de Andrade, Bruno; Lizama, Carlos</t>
  </si>
  <si>
    <t>Existence of asymptotically almost periodic solutions for damped wave equations</t>
  </si>
  <si>
    <t>In this paper, a class of nonlinear damped wave equations of the form alpha u''' (t) + u ''(t) = beta Au(t) + gamma Au' (t) + f (t, u(t)), t &gt;= 0, satisfying alpha beta &lt; gamma with prescribed initial conditions are studied. Some sufficient conditions are established for the existence and uniqueness of an asymptotically almost periodic solution. These results have significance in the study of vibrations of flexible structures possessing internal material damping. Finally, an example is presented to illustrate the feasibility and effectiveness of the results. (C) 2011 Elsevier Inc. All rights reserved.</t>
  </si>
  <si>
    <t>de Andrade, Bruno/A-9668-2013; Lizama, Carlos/E-5909-2011</t>
  </si>
  <si>
    <t>de Andrade, Bruno/0000-0001-6428-3167; Lizama, Carlos/0000-0002-9807-1100</t>
  </si>
  <si>
    <t>10.1016/j.jmaa.2011.04.078</t>
  </si>
  <si>
    <t>WOS:000291714400021</t>
  </si>
  <si>
    <t>Adiego, B; Martinez-Ten, P; Perez-Pedregosa, J; Illescas, T; Barron, E; Wong, AE; Sepulveda, W</t>
  </si>
  <si>
    <t>Adiego, Begona; Martinez-Ten, Pilar; Perez-Pedregosa, Javier; Illescas, Tamara; Barron, Esther; Wong, Amy E.; Sepulveda, Waldo</t>
  </si>
  <si>
    <t>Antenatally Diagnosed Renal Duplex Anomalies Sonographic Features and Long-term Postnatal Outcome</t>
  </si>
  <si>
    <t>Objectives-The purpose of this study was to assess the diagnostic accuracy and infant outcomes of antenatally detected renal duplex anomalies. Methods-An observational longitudinal study of cases of renal duplex anomalies diagnosed on prenatal sonography was conducted. Information on the prenatal sonographic findings, antenatal course, and perinatal outcome was obtained by reviewing the sonography reports and delivery records. Postnatal follow-up, including neonatal and infant evaluations, was obtained from hospital records. Results-During a 7-year period, a total of 24 cases of renal duplex anomalies were identified prenatally. Three cases were excluded from subsequent analysis because of termination of pregnancy after the diagnosis of a severe brain abnormality, loss to follow-up, and an inability to confirm the prenatal diagnosis on neonatal renal sonography. Among the 21 confirmed cases, the presence of two separate renal pelvises was the most common prenatal sonographic feature (n = 15 [71%]), followed by dilatation of a single moiety with a dilated ipsilateral ureter or ureterocele (n = 6 [29%]). In 43% of cases, the renal duplex anomalies had no adverse associations, but in 48%, they were complicated by a urinary tract infection, and 48% of the infants required a surgical procedure during early childhood. Conclusions-Renal duplex anomalies can be accurately diagnosed by prenatal sonography even when there is minimal dilatation of the renal pelvis. Antenatal diagnosis allows planning of postnatal care, which may prevent urinary tract infections and renal function impairment. The natural history of antenatally diagnosed duplex anomalies seems to be overall benign, with urinary tract infections and the need for surgery being the most common complications in affected infants.</t>
  </si>
  <si>
    <t>Adiego-Burgos, Begona/I-2742-2018</t>
  </si>
  <si>
    <t>Adiego-Burgos, Begona/0000-0002-8582-1814</t>
  </si>
  <si>
    <t>10.7863/jum.2011.30.6.809</t>
  </si>
  <si>
    <t>WOS:000291521500010</t>
  </si>
  <si>
    <t>Plyushchay, MS; Nieto, LM</t>
  </si>
  <si>
    <t>Plyushchay, Mikhail S.; Nieto, Luis-Miguel</t>
  </si>
  <si>
    <t>Self-isospectrality, mirror symmetry, and exotic nonlinear supersymmetry</t>
  </si>
  <si>
    <t>We study supersymmetry of a self-isospectral one-gap Poschl-Teller system in the light of a mirror symmetry that is based on spatial and shift reflections. The revealed exotic, partially broken, nonlinear supersymmetry admits seven alternatives for a grading operator. One of its local, first order supercharges may be identified as a Hamiltonian of an associated one-gap, nonperiodic Bogoliubov-de Gennes system. The latter possesses a nonlinear supersymmetric structure, in which any of the three nonlocal generators of a Clifford algebra may be chosen as the grading operator. We find that the supersymmetry generators for both systems are the Darboux-dressed integrals of a free spin-1/2 particle in the Schrodinger picture, or of a free massive Dirac particle. Nonlocal Foldy-Wouthuysen transformations are shown to be involved in the supersymmetric structure.</t>
  </si>
  <si>
    <t>Nieto, Luis M./L-1692-2014</t>
  </si>
  <si>
    <t>Nieto, Luis M./0000-0002-2849-2647</t>
  </si>
  <si>
    <t>SEP 24</t>
  </si>
  <si>
    <t>10.1103/PhysRevD.82.065022</t>
  </si>
  <si>
    <t>WOS:000282132400004</t>
  </si>
  <si>
    <t>Analysis of Type I Error Rates of Univariate and Multivariate Procedures in Repeated Measures Designs</t>
  </si>
  <si>
    <t>We compared the robustness of univariate and multivariate statistical procedures to control Type I error rates when the normality and homocedasticity assumptions were not fulfilled. The procedures we evaluated are the mixed model adjusted by means of the SAS Proc Mixed module, and Bootstrap-F approach, Brown-Forsythe multivariate approach, Welch-James multivariate approach, and Welch-James multivariate approach with robust estimators. The results suggest that the Kenward Roger, Brown-Forsythe, Welch-James, and Improved Generalized Aprroximate procedures satisfactorily kept Type I error rates within the nominal levels for both the main and interaction effects under most of the conditions assessed.</t>
  </si>
  <si>
    <t>Vallejo, Guillermo/0000-0002-8010-6854; Guillermo, Vallejo/0000-0001-6569-9279; Fernandez, Paula/0000-0003-0140-7702</t>
  </si>
  <si>
    <t>1532-4141</t>
  </si>
  <si>
    <t>PII 919417809</t>
  </si>
  <si>
    <t>10.1080/03610910903548952</t>
  </si>
  <si>
    <t>WOS:000274980300013</t>
  </si>
  <si>
    <t>Seco, GV; García, MPF; Rojas, PEL</t>
  </si>
  <si>
    <t>Vallejo Seco, Guillermo; Fernandez Garcia, Maria Paula; Livacic Rojas, Pablo Esteban</t>
  </si>
  <si>
    <t>Generalization of the Brown-Forsythe approach to factorial designs</t>
  </si>
  <si>
    <t>10th Congress on Methodology of Social Science and Health</t>
  </si>
  <si>
    <t>Barcelona, SPAIN</t>
  </si>
  <si>
    <t>Generalization of the Brown-Forsythe approach to factorial designs. The current paper proposes a solution that generalizes ideas of Brown and Forsythe to the problem of comparing hypotheses in two-way classification designs with heteroscedastic error structure. Unlike the standard analysis of variance, the proposed approach does not require the homogeneity assumption. A comprehensive simulation study, in which sample size of the cells, relationship between the cell sizes and unequal variance, degree of variance heterogeneity, and population distribution shape were systematically manipulated, shows that the proposed approximation was generally robust when normality and heterogeneity were jointly violated.</t>
  </si>
  <si>
    <t>WOS:000260211000071</t>
  </si>
  <si>
    <t>Ribera, A; Cotoras, M; Zuñiga, GE</t>
  </si>
  <si>
    <t>Ribera, Alejandra; Cotoras, Milena; Zuniga, Gustavo E.</t>
  </si>
  <si>
    <t>Effect of extracts from in vitro-grown shoots of Quillaja saponaria Mol. on Botrytis cinerea Pers</t>
  </si>
  <si>
    <t>WORLD JOURNAL OF MICROBIOLOGY &amp; BIOTECHNOLOGY</t>
  </si>
  <si>
    <t>The ethanolic and aqueous extracts from in vitro shoots of Quillaja saponaria Mol. (Quillay) were studied for their antifungal activity against the phytopathogenic fungus Botrytis cinerea Pers. These extracts reduced conidial germination and mycelial growth of B. cinerea, ethanolic extracts being more active than aqueous extracts. In addition, the damage areas produced by this fungus on tomato leaves and strawberry fruits pre-treated with quillay extracts were diminished. The fungitoxic effect of in vitro-grown quillay extract was similar to those obtained with commercial fungicides of both natural (BC-1000) and synthetic (iprodione-dicarboximide) origin. On the other hand, the antifungal action of quillay extracts obtained from adult trees naturally grown was only slightly superior to the fungitoxic activity of the extract from in vitro plants. HPLC analysis of the extract showed that it contained saponins and some phenolic compounds such as chlorogenic, caffeic, vanillic, and salicylic acids, and scopoletin, which have been identified as antifungal agents on phytopathogenic fungi. The results obtained in this work, suggests that extracts of in vitro-grown quillay have an important protective effect against B. cinerea and support the use of an in vitro culture system as a biotechnological alternative to obtain environmental safe antifungal quillay extracts to control B. cinerea, contributing to the preservation of this indigenous Chilean species.</t>
  </si>
  <si>
    <t>Zuñiga, Gustavo/P-8306-2015</t>
  </si>
  <si>
    <t>Zuniga, Gustavo/0000-0002-8286-9468</t>
  </si>
  <si>
    <t>0959-3993</t>
  </si>
  <si>
    <t>1573-0972</t>
  </si>
  <si>
    <t>10.1007/s11274-008-9673-y</t>
  </si>
  <si>
    <t>WOS:000257961500022</t>
  </si>
  <si>
    <t>Valencia, C; Soto, I; Carrasco, R</t>
  </si>
  <si>
    <t>Valencia, C.; Soto, I.; Carrasco, R.</t>
  </si>
  <si>
    <t>Secure data compression with sphere packing</t>
  </si>
  <si>
    <t>ELECTRONICS LETTERS</t>
  </si>
  <si>
    <t>A system that accomplishes compression using sphere packing with the support of a hyper-elliptic curve providing encryption is presented. In addition, with use of channel code algorithms, high consistency is achieved and the expansion factor is calculated. Results of simulation are also presented where the hyper-elliptic curve encryption is concatenated with sphere packing, followed by a non-binary low density parity check encoder and sphere packing modulation. A gain of 8 dB over uncoded QPSK modulation for BER = 10(-4) is achieved on a two tap fading channel. Finally, system complexity is presented for a system based on symbols and a system based on bits.</t>
  </si>
  <si>
    <t>Soto, Ismael/0000-0002-5501-5651</t>
  </si>
  <si>
    <t>0013-5194</t>
  </si>
  <si>
    <t>1350-911X</t>
  </si>
  <si>
    <t>NOV 8</t>
  </si>
  <si>
    <t>10.1049/el:20070944</t>
  </si>
  <si>
    <t>WOS:000251759200036</t>
  </si>
  <si>
    <t>Karczewska, A; Lizama, C</t>
  </si>
  <si>
    <t>Karczewska, Anna; Lizama, Carlos</t>
  </si>
  <si>
    <t>Stochastic Volterra equations driven by cylindrical Wiener process</t>
  </si>
  <si>
    <t>JOURNAL OF EVOLUTION EQUATIONS</t>
  </si>
  <si>
    <t>In this paper, stochastic Volterra equations driven by cylindrical Wiener process in Hilbert space are investigated. Sufficient conditions for existence of strong solutions are given. The key role is played by convergence of alpha-times resolvent families.</t>
  </si>
  <si>
    <t>; Lizama, Carlos/E-5909-2011</t>
  </si>
  <si>
    <t>Karczewska, Anna/0000-0001-7160-7908; Lizama, Carlos/0000-0002-9807-1100</t>
  </si>
  <si>
    <t>1424-3199</t>
  </si>
  <si>
    <t>10.1007/s00028-007-0302-2</t>
  </si>
  <si>
    <t>WOS:000246183800006</t>
  </si>
  <si>
    <t>Aliaga, C; Arenas, A; Aspée, A; López-Alarón, C; Lissi, EA</t>
  </si>
  <si>
    <t>Aliaga, Carolina; Arenas, Andrea; Aspee, Alexis; Lopez-Alaron, Camilo; Lissi, Eduardo A.</t>
  </si>
  <si>
    <t>Generation, spectroscopic characterization by EPR, and decay of a pyranine-derived radical</t>
  </si>
  <si>
    <t>The pyraninoxyl radical is readily formed from the MnO2-promoted oxidation of pyranine. The free radical can be formed in high concentrations (mm), and presents a characteristic EPR spectrum that indicates a high spin-density delocalization. It is relatively stable under nitrogen (half-life ca. 50 min) but readily decays in presence of O-2. In spite of its high stability, the radical readily reacts with antioxidants (phenols and ascorbic acid) with a partial recovery of the parent pyranine. High concentrations of the pyraninoxyl radical (ca. 9 mu M) are present when pyranine is exposed to a free radical source (10 mm 2,2'-azobis[2-amidinopropane], 37 degrees). The fact that these radicals readily react with antioxidants (ascorbic acid and caffeic acid) supports the proposal that protection by antioxidants of peroxyl radical-promoted pyranine bleaching is mainly due to the occurrence of a repair mechanism.</t>
  </si>
  <si>
    <t>Lopez, Camilo/J-5770-2013; Aliaga, Carolina/G-6024-2019</t>
  </si>
  <si>
    <t>Aliaga, Carolina/0000-0002-1352-3164; Lopez, Camilo/0000-0002-0174-8972; Arenas, Andrea/0009-0002-0882-4947</t>
  </si>
  <si>
    <t>10.1002/hlca.200790208</t>
  </si>
  <si>
    <t>WOS:000250496100015</t>
  </si>
  <si>
    <t>Letelier, MF; Siginer, DA</t>
  </si>
  <si>
    <t>On the fully developed tube flow of a class of non-linear viscoelastic fluids</t>
  </si>
  <si>
    <t>The fully developed pipe flow of a class of non-linear viscoelastic fluids is investigated. Analytical expressions are derived for the stress components, the friction factor and the velocity field. The friction factor which depends on the Deborah and Reynolds numbers is substantially smaller than the corresponding value for the Newtonian flow field with implications concerning the volume flow rate. We show that non-affine models in the class of constitutive equations considered such as Johnson-Segalman and some versions of the Phan-Thien-Tanner models are not representative of physically realistic flow fields for all Deborah numbers. For a fixed value of the slippage factor they predict physically admissible flow fields only for a limited range of Deborah numbers smaller than a critical Deborah number. The latter is a function of the slippage. (C) 2004 Elsevier Ltd. All rights reserved.</t>
  </si>
  <si>
    <t>10.1016/j.ijnonlinmec.2004.07.009</t>
  </si>
  <si>
    <t>WOS:000226407300005</t>
  </si>
  <si>
    <t>Segnini, S; Pedreschi, F; Dejmek, P</t>
  </si>
  <si>
    <t>Volume measurement method of potato chips</t>
  </si>
  <si>
    <t>INTERNATIONAL JOURNAL OF FOOD PROPERTIES</t>
  </si>
  <si>
    <t>A simple method is proposed to quantify volume of potato chips by measuring the displaced volume of a finely granular material (tape seeds) by the volume of the chips. Firstly, compaction of the seeds was studied to evaluate the reproducibility and accuracy of the technique. The results obtained indicate an encouraging potential of the technique to estimate the apparent volume of potato chips and give some indications of variation of chip apparent density with some important technological parameters such as chip thickness, frying temperature, and pretreatment of the slices before frying (e.g., blanching). This technique showed that the apparent volume of un-blanched potato slices increased clearly (P = 0.007) with frying temperature (from 120degreesC to 190degreesC) until the chips reached final moisture contents &lt;3% (wet basis). For 180 and 190degreesC, the final apparent volume of these samples indicated that the chips expanded in similar to6% beyond its original volume before frying (14.1 mL). For potato slices blanched in hot water (80degreesC and 3.5 min) and fried under the same temperature intervals and conditions, this trend was not statistically significant (P = 0.088), and the average apparent volume of the chips was 10.9 mL which correspond as an average to a shrinkage of similar to23%.</t>
  </si>
  <si>
    <t>pedreschi, franco/F-8844-2013; Dejmek, Petr/B-5210-2008</t>
  </si>
  <si>
    <t>Dejmek, Petr/0000-0001-9170-2689</t>
  </si>
  <si>
    <t>1094-2912</t>
  </si>
  <si>
    <t>10.1081/JFP-120022494</t>
  </si>
  <si>
    <t>WOS:000221189200004</t>
  </si>
  <si>
    <t>Monsalve, A; Gutiérrez, I</t>
  </si>
  <si>
    <t>Application of a modified rigid plastic model to the out-plane fracture of 'easy open end cans'</t>
  </si>
  <si>
    <t>INTERNATIONAL JOURNAL OF FRACTURE</t>
  </si>
  <si>
    <t>Models, using simple energy balance, have been developed, by different authors, to describe the ductile materials behaviour in mode III sheer fracture, The application of these models to the field of the opening of different types of can ends and mainly to the easy open ends (EOE) seems to be a powerful tool for design. In the present work, a simple experimental procedure, using scored testing pieces to reproduce similar conditions to those in the case of the EOE has been used. A model to describe the fracture process, under this condition has been developed, through the modification of the Mai and Cotterell rigid plastic model equations taking into account the bending elasticity and the strained nature of the steel at the score.</t>
  </si>
  <si>
    <t>Gutiérrez, Isabel/GQA-7549-2022</t>
  </si>
  <si>
    <t>Gutierrez, Isabel/0000-0001-5381-4284; Monsalve, Alberto/0000-0002-5772-8815</t>
  </si>
  <si>
    <t>0376-9429</t>
  </si>
  <si>
    <t>10.1023/A:1007625512996</t>
  </si>
  <si>
    <t>WOS:000088936600002</t>
  </si>
  <si>
    <t>Llambías, FJG; Escalona, N; Pfaff, C; Scott, C; Goldwasser, J</t>
  </si>
  <si>
    <t>Comparison of surface coverage values of tungsten-alumina catalysts determined by different methods</t>
  </si>
  <si>
    <t>REACTION KINETICS AND CATALYSIS LETTERS</t>
  </si>
  <si>
    <t>Apparent surface coverage (ASC) of a series of tungsten-alumina catalysts was determined by the electrophoretic migration method (EM). A linear increase in W coverage with increasing W loading (up to 13.1 wt.% W) was observed. The results were in close agreement with those obtained previously by ion scattering spectroscopy (ISS) and low temperature CO adsorption.</t>
  </si>
  <si>
    <t>Escalona, Nestor/F-3593-2016</t>
  </si>
  <si>
    <t>Scott, Carlos Eduardo/0000-0002-5341-3971; Escalona Burgos, Nestor/0000-0002-2628-4609</t>
  </si>
  <si>
    <t>0133-1736</t>
  </si>
  <si>
    <t>WOS:000079504700005</t>
  </si>
  <si>
    <t>Orellana, P; Pacheco, M</t>
  </si>
  <si>
    <t>Resonant tunneling through a double barrier system with a lateral confinement</t>
  </si>
  <si>
    <t>XIth Southern Workshop on Solid State Physics</t>
  </si>
  <si>
    <t>OCT 22-25, 1997</t>
  </si>
  <si>
    <t>VILLARRICA, CHILE</t>
  </si>
  <si>
    <t>Ctr Latinamer Fis,Comis Nacl Ciencia &amp; Tecnol,Soc Chilena Fis,Univ La Frontera, Fac Ingn,Univ La Frontera, Dept Phys,Univ Concepcion, Fac Ciencias Fis &amp; Matemat,Pontificia Univ Catolica Chile, Fac Fis,Univ Santiago Chile, Fac Ciencias,Univ Bio Bio, Fac Ciencias,Univ Diego Portales, Fac Ciencias Ingn</t>
  </si>
  <si>
    <t>We study the transport through of a double barrier heterostructure with a lateral confinement. In this system the region between the barriers simulates a quantum wire. The shape of the I-V and G-V curves are characteristic of a double-barrier system with a superpossed structure which is a consequence of the lateral confinement. We also include nonlinearities due to the electron-electron interaction and we calculate selfconsistently the main transport properties of the system. We investigate the effect of the nonlinear term in different confinement regimes.</t>
  </si>
  <si>
    <t>Orellana, Pedro/L-4895-2018; Pacheco, Monica/AAG-8440-2019; Pacheco, Monica/L-9669-2014</t>
  </si>
  <si>
    <t>Pacheco, Monica/0000-0002-4293-5213; Orellana, Pedro/0000-0001-7688-4111</t>
  </si>
  <si>
    <t>WOS:000076407000015</t>
  </si>
  <si>
    <t>Bifani, V; Fernandez, AJ; Osorio, F</t>
  </si>
  <si>
    <t>Rheological characterization of broccoli pulp: (Brassica oleracea L., var. italica)</t>
  </si>
  <si>
    <t>AFINIDAD</t>
  </si>
  <si>
    <t>Using a Brookfield HBDV I+ viscosimeter with a coaxial cylinders system, the consistency coefficient and flow behavior index were obtained for broccoli pulp with a water contents of 93,76; 94,76; 95,76 and 96,76 g/100g pulp, in a temperature range from 16,5 to 75 degrees C. Power law model described satisfactorily the flow behavior of pulps. Consistency coefficient showed dependence with both temperature and water contents. Activation energy, associated with the flow was 16,4 kJ/mol, for 96,76 % water content; this value showed a low temperature effect on rheological behavior, over the range of temperatures studied in this work.</t>
  </si>
  <si>
    <t>osorio, fernando/AAY-7304-2021</t>
  </si>
  <si>
    <t>osorio, fernando/0000-0001-7206-0924</t>
  </si>
  <si>
    <t>0001-9704</t>
  </si>
  <si>
    <t>WOS:000073009500012</t>
  </si>
  <si>
    <t>Denicola, A; Souza, JM; Radi, R; Lissi, E</t>
  </si>
  <si>
    <t>Nitric oxide diffusion in membranes determined by fluorescence quenching</t>
  </si>
  <si>
    <t>Quenching of pyrene derivative fluorescence by nitric oxide was used to evaluate the apparent diffusion coefficients of nitric oxide in artificial and biological membranes. The apparent second-order quenching constants of nitric oxide were obtained from Stern-Volmer plots using methyl- and undecylpyrene derivatives incorporated into liposomes and erythrocyte plasma membranes in order to assess the ability of nitric oxide to interact with molecules located at different positions in the membrane. Diffusion coefficients were estimated from the determined second-order quenching constants and compared to that of oxygen obtained under the same conditions. Oxygen and nitric oxide presented similar diffusional behavior in agreement with their similarity in structures, with the differences observed attributable to the higher lipophilicity of oxygen compared to nitric oxide. In solution, both showed the same quenching efficiency while in liposomes and erythrocyte ghosts oxygen diffusion was twice that of nitric oxide (k(O2)/k(NO) = 2) Nitric oxide diffusion coefficients determined at 20 degrees C ranged from 1.3 x 10(-5) cm(2) s(-1) in liposomes to 0.4 X 10(-5) cm(2) s(-1) in surface erythrocyte plasma membranes. Both nitric oxide and oxygen had larger quenching constants for the undecyl derivative compared to the methylpyrene compound incorporated into erythrocyte plasma membranes, indicating an increased solubility of both gases toward the center of the membrane. (C) 1996 Academic Press, Inc.</t>
  </si>
  <si>
    <t>Denicola, Ana/0000-0002-5181-9708</t>
  </si>
  <si>
    <t>10.1006/abbi.1996.0162</t>
  </si>
  <si>
    <t>WOS:A1996UD39600028</t>
  </si>
  <si>
    <t>Encinas, MV; Previtali, CM; Bertolotti, S</t>
  </si>
  <si>
    <t>Anthracene singlet quenching by indoles in media of different polarities: Mechanism and chemical photoreaction</t>
  </si>
  <si>
    <t>JOURNAL OF THE CHEMICAL SOCIETY-FARADAY TRANSACTIONS</t>
  </si>
  <si>
    <t>The quenching of excited singlet anthracene by indole derivatives in solvents of different polarity has been studied using static and time-resolved techniques. The quenching process is dependent on the nature of the indole derivative and on the polar properties of the medium. In non-polar solvents photoreaction takes place with unit efficiency in compounds which have a hydrogen atom bound to the nitrogen. The efficiency decreases in polar solvents and is considerably suppressed in aqueous solvent mixtures. The results here obtained indicate that charge transfer is the primary step for the photoreaction in polar solvents. For compounds with the indolic N-H group, direct hydrogen transfer is the dominant mechanism in non-polar media. The importance of radical ion formation in these anthracene-indole systems is investigated as a function of the indole structure and solvent polarity.</t>
  </si>
  <si>
    <t>0956-5000</t>
  </si>
  <si>
    <t>JAN 7</t>
  </si>
  <si>
    <t>10.1039/ft9969200017</t>
  </si>
  <si>
    <t>WOS:A1996TY88700003</t>
  </si>
  <si>
    <t>Eugenin, J</t>
  </si>
  <si>
    <t>Zapata, P; Eyzaguirre, C; Torrance, RW</t>
  </si>
  <si>
    <t>Central pH chemosensitivity in the newborn opossum Monodelphis domestica</t>
  </si>
  <si>
    <t>FRONTIERS IN ARTERIAL CHEMORECEPTION</t>
  </si>
  <si>
    <t>ADVANCES IN EXPERIMENTAL MEDICINE AND BIOLOGY</t>
  </si>
  <si>
    <t>XIIIth International Symposium on Arterial Chemoreceptors</t>
  </si>
  <si>
    <t>MAR 25-29, 1996</t>
  </si>
  <si>
    <t>CATHOLIC UNIV CHILE, EXPTL CTR, SANTIAGO, CHILE</t>
  </si>
  <si>
    <t>Int Soc Arterial Chemorecept,Catholic Univ Chile,Natl Commiss Sci &amp; Technol Res, Chile,Andes Fdn,3rd World Acad Sci,Merck, Chile,Nestle, Chile</t>
  </si>
  <si>
    <t>CATHOLIC UNIV CHILE, EXPTL CTR</t>
  </si>
  <si>
    <t>0065-2598</t>
  </si>
  <si>
    <t>0-306-45490-4</t>
  </si>
  <si>
    <t>WOS:A1996BH18J00031</t>
  </si>
  <si>
    <t>TRAVISANY, V; HENRIQUEZ, F; NYSTROM, JO</t>
  </si>
  <si>
    <t>MAGNETITE LAVA FLOWS IN THE PLEITO-MELON DISTRICT OF THE CHILEAN IRON BELT</t>
  </si>
  <si>
    <t>ECONOMIC GEOLOGY AND THE BULLETIN OF THE SOCIETY OF ECONOMIC GEOLOGISTS</t>
  </si>
  <si>
    <t>Henriquez, Fernando/C-9830-2009</t>
  </si>
  <si>
    <t>Henriquez, Fernando/0000-0002-8494-1435</t>
  </si>
  <si>
    <t>0361-0128</t>
  </si>
  <si>
    <t>10.2113/gsecongeo.90.2.438</t>
  </si>
  <si>
    <t>WOS:A1995RD03400015</t>
  </si>
  <si>
    <t>ZAGAL, JH; AGUIRRE, MJ; PARODI, CG; STURM, J</t>
  </si>
  <si>
    <t>ELECTROCATALYTIC ACTIVITY OF VITAMIN-B12 ADSORBED ON GRAPHITE ELECTRODE FOR THE OXIDATION OF CYSTEINE AND GLUTATHIONE AND THE REDUCTION OF CYSTINE</t>
  </si>
  <si>
    <t>We have investigated the electrocatalytic activity of vitamin B12 adsorbed on ordinary pyrolytic graphite (OPG) for the oxidation of cysteine and glutathione and for the reduction of cystine, using cyclic voltammetry and rotating-disc techniques. The activity of the bare graphite substrate is very low for all reactions studied. The presence of monolayer levels of vitamin B12 on OPG substantially decreases the overpotential of these reactions. Tafel plots of slope RT/F are obtained for the oxidation of cysteine, suggesting a mechanism controlled by the CO(II/III) couple in the vitamin. Similar slopes are obtained for the oxidation of glutathione, but they gradually change to 2 RT/F for acid pH. No linear Tafel regions are obtained for cysteine reduction and the process occurs on Co(I).</t>
  </si>
  <si>
    <t>Aguirre, Maria/A-3935-2013; zagal, jose/L-9648-2014</t>
  </si>
  <si>
    <t>0022-0728</t>
  </si>
  <si>
    <t>AUG 29</t>
  </si>
  <si>
    <t>10.1016/0022-0728(94)03365-X</t>
  </si>
  <si>
    <t>WOS:A1994PD15700025</t>
  </si>
  <si>
    <t>URZUA, A; VILLARROEL, L; TORRES, R; TEILLIER, S</t>
  </si>
  <si>
    <t>FLAVONOIDS IN THE RESINOUS EXUDATE OF CHILEAN HELIOTROPIUM SPECIES FROM COCHRANEA SECTION</t>
  </si>
  <si>
    <t>6-7</t>
  </si>
  <si>
    <t>10.1016/0305-1978(93)90082-3</t>
  </si>
  <si>
    <t>WOS:A1993MG11300015</t>
  </si>
  <si>
    <t>VAZQUEZ, JL; YARUR, C</t>
  </si>
  <si>
    <t>ISOLATED SINGULARITIES OF THE SCHRODINGER-EQUATION WITH A GOOD POTENTIAL</t>
  </si>
  <si>
    <t>TRANSACTIONS OF THE AMERICAN MATHEMATICAL SOCIETY</t>
  </si>
  <si>
    <t>Vazquez, Juan Luis/E-3406-2013</t>
  </si>
  <si>
    <t>Vazquez, Juan Luis/0000-0002-9871-257X</t>
  </si>
  <si>
    <t>0002-9947</t>
  </si>
  <si>
    <t>WOS:A1989AW80600010</t>
  </si>
  <si>
    <t>ABUIN, EB; LISSI, EA; MARQUEZ, A</t>
  </si>
  <si>
    <t>METHYL-METHACRYLATE POLYMERIZATION IN PRESENCE OF POLYSTYRENE</t>
  </si>
  <si>
    <t>10.1002/pol.1978.170161127</t>
  </si>
  <si>
    <t>WOS:A1978FY56300027</t>
  </si>
  <si>
    <t>Gallegos, JA; Barbosa, KA</t>
  </si>
  <si>
    <t>Gallegos, Javier A.; Barbosa, Karina A.</t>
  </si>
  <si>
    <t>Set-Theoretical Stability Analysis of LPV Systems via Minkowski-Lyapunov Functions</t>
  </si>
  <si>
    <t>IEEE TRANSACTIONS ON AUTOMATIC CONTROL</t>
  </si>
  <si>
    <t>A set-theoretical approach based on Minkowski-Lyapunov functions is proposed to study the stability of polytopic systems in the linear parameter-varying (LPV) form. In contrast to the one based on quadratic Lyapunov functions, the proposed approach provides necessary and sufficient conditions for stability in both discrete and continuous time. Remarkably, the resulting conditions are computationally tractable and can be verified using algorithms with guaranteed convergence, in contrast to other set-theoretical tools. In addition, the proposed method is shown to be flexible enough to incorporate knowledge of the system, such as restrictions on the rate of variation of the parameters or the kind of disturbances and/or unmodeled dynamics encompassed, allowing to establish nonconservative robust stability conditions. Two illustrative examples are added to show the main advantages.</t>
  </si>
  <si>
    <t>0018-9286</t>
  </si>
  <si>
    <t>1558-2523</t>
  </si>
  <si>
    <t>10.1109/TAC.2024.3441325</t>
  </si>
  <si>
    <t>WOS:001387962800004</t>
  </si>
  <si>
    <t>Ibacache, JA; Espinoza, M; Basualto-Díaz, P; Pinto, V; Modak, B; Zapata, P; Valenzuela, B</t>
  </si>
  <si>
    <t>Ibacache, Juana A.; Espinoza, Mario; Basualto-Diaz, Paz; Pinto, Victoria; Modak, Brenda; Zapata, Paula; Valenzuela, Beatriz</t>
  </si>
  <si>
    <t>Synthesis of 6-bromo-7-arylaminoisoquinoline-5,8-quinones and its effects on Piscirickettsia salmonis infection in vitro</t>
  </si>
  <si>
    <t>Among the most important aquaculture resources for our country, salmon and trout stand out. Their production has increased significantly in recent decades, making them two of the most valuable resources in economic terms. However, high aquaculture production has allowed many pathogens to proliferate, causing infectious diseases and significant production losses. Piscirickettsia salmonis is a gram-negative, facultative intracellular bacterium that is responsible for causing severe disease in a variety of salmonid fish species. Despite the significant impact of P. salmonis on aquaculture, effective treatments for this disease remain limited. Current prevention and control strategies often include antibiotics and vaccines. However, these treatments have shown varying degrees of efficacy. A promising approach involves synthesizing bioactive analog compounds with antibacterial properties. Quinones, secondary metabolites that are abundant in nature, have become a focal point of interest due to their diverse physiological activities, including antibiotic, insecticidal, antifungal, and anticancer properties. In this study, it is shown the synthesis of series 6-bromo-7-arylaminoisoquinoline-5,8-quinones, the characterization of these compounds using classical spectroscopic methods such as one-dimensional nuclear magnetic resonance (NMR), FT-IR (infrared), mass spectrometry, and the biological activity against Piscirickettsia salmonis. The brominated derivative compounds showed no cytotoxicity at any concentration evaluated. Furthermore, the infectivity of P. salmonis after treatment with the analog compounds indicated that derivatives methyl 6-bromo-7-((4-methoxyphenyl)amino)-1,3-dimethy-5,8-dioxo-5,8-dihydroisoquinoline-4-carboxylate (4b) and methyl 7-((4 '-amino-[1,1 '-biphenyl]-4-yl)amino)-6-bromo-1,3-dimethy-5,8-dioxo-5,8-dihydroisoquinoline-4-carboxylate (4g) reduced the bacterial load at 25 mu g/mL concentration.</t>
  </si>
  <si>
    <t>Modak Canobra, Brenda/0000-0001-5292-0480; Zapata, Paula Andrea/0000-0003-3361-6226</t>
  </si>
  <si>
    <t>e14014</t>
  </si>
  <si>
    <t>10.1111/jfd.14014</t>
  </si>
  <si>
    <t>WOS:001308384900001</t>
  </si>
  <si>
    <t>Vidal, C; Lopez-Polo, J; Osorio, FA</t>
  </si>
  <si>
    <t>Vidal, Constanza; Lopez-Polo, Johana; Osorio, Fernando A.</t>
  </si>
  <si>
    <t>Physical Properties of Cellulose Derivative-Based Edible Films Elaborated with Liposomes Encapsulating Grape Seed Tannins</t>
  </si>
  <si>
    <t>Combined use of edible films (EF) with nanoencapsulation systems could be an effective alternative for improving the films' physical properties and maintaining bioactive compounds' stability. This research work focuses on the combined use of EF of cellulose-derived biopolymers enriched with liposomes that encapsulate grape seed tannins and on the subsequent evaluation of the physical properties and wettability. Tannin-containing liposomal suspensions (TLS) showed 570.8 +/- 6.0 nm particle size and 99% encapsulation efficiency. In vitro studies showed that the release of tannins from liposomes was slower than that of free tannins, reaching a maximum release of catechin of 0.13 +/- 0.01%, epicatechin of 0.57 +/- 0.01%, and gallic acid of 3.90 +/- 0.001% over a 144 h period. Adding liposomes to biopolymer matrices resulted in significant decrease (p &lt; 0.05) of density, surface tension, tensile strength, elongation percentage, and elastic modulus in comparison to the control, obtaining films with greater flexibility and lower breaking strength. Incorporating TLS into EF formulations resulted in partially wetting the hydrophobic surface, reducing adhesion and cohesion compared to EF without liposomes. Results indicate that the presence of liposomes improves films' physical and wettability properties, causing them to extend and not contract when applied to hydrophobic food surfaces.</t>
  </si>
  <si>
    <t>10.3390/antiox13080989</t>
  </si>
  <si>
    <t>WOS:001306882000001</t>
  </si>
  <si>
    <t>Núñez, D; Jiménez, P; Martín, MCS; Cortés, C; Cárdenas, M; Michelson, S; Garay, T; Vecchiola, M; Céspedes, A; Maldonado, JE; Vásquez-Martínez, Y</t>
  </si>
  <si>
    <t>Nunez, Daniela; Jimenez, Pablo; Martin, Marcelo Cortez-San; Cortes, Carolina; Cardenas, Matias; Michelson, Sofia; Garay, Tamara; Vecchiola, Maggie; Cespedes, Alejandra; Maldonado, Jonathan E.; Vasquez-Martinez, Yesseny</t>
  </si>
  <si>
    <t>Molecular and Phylogenomic Analysis of a Vancomycin Intermediate Resistance USA300LV Strain in Chile</t>
  </si>
  <si>
    <t>MICROORGANISMS</t>
  </si>
  <si>
    <t>Antimicrobial resistance is a major global health problem, and, among Gram-positive bacteria, methicillin-resistant Staphylococcus aureus (MRSA) represents a serious threat. MRSA causes a wide range of infections, including bacteremia, which, due to the limited use of beta-lactams, is difficult to treat. This study aimed to analyze 51 MRSA isolates collected in 2018 from samples of patients with bacteremia from two hospitals of the Metropolitan Health Service of Santiago, Chile, both in their resistance profile and in the identification of virulence factors. In addition, genomic characterization was carried out by the WGS of an isolate that was shown to be the one of greatest concern (N degrees. 42) due to its intermediate resistance to vancomycin, multiple virulence factors and being classified as ST8 PVL-positive. In our study, most of the isolates turned out to be multidrug-resistant, but there are still therapeutic options, such as tetracycline, rifampicin, chloramphenicol and vancomycin, which are currently used for MRSA infections; however, 18% were PVL positive, which suggests greater virulence of these isolates. It was determined that isolate N degrees 42 is grouped within the USA300-LV strains (ST8, PVL+, COMER+); however, it has been suggested that, in Chile, a complete displacement of the PVL-negative ST5 clone has not occurred.</t>
  </si>
  <si>
    <t>; Maldonado Soto, Jonathan Elias/J-6429-2012</t>
  </si>
  <si>
    <t>Cardenas, Matias/0000-0001-8247-3669; Vasquez Martinez, Yesseny Amneris/0000-0002-4184-9815; Maldonado Soto, Jonathan Elias/0000-0002-9967-0885</t>
  </si>
  <si>
    <t>2076-2607</t>
  </si>
  <si>
    <t>10.3390/microorganisms12071284</t>
  </si>
  <si>
    <t>WOS:001277245700001</t>
  </si>
  <si>
    <t>Lopez-Munoz, E; Sanchez-Ramirez, C; Perez-Meneses, R; Perez-Jimenez, D</t>
  </si>
  <si>
    <t>Lopez-Munoz, Esteban; Sanchez-Ramirez, Celso; Perez-Meneses, Ruben; Perez-Jimenez, Daniela</t>
  </si>
  <si>
    <t>Objective Structured Practical Examination as an Assessment Methodology in Human Anatomy Subject: A Practical Implementation Approach</t>
  </si>
  <si>
    <t>Learning in human anatomy has traditionally been assessed by recognizing anatomical structures. Despite their popularity, they can have a subjective component. The Objective Structured Practical Examination (EPOE) has been presented as a more global way of assessment. The aim of this study was to demonstrate the effect on academic performance after the implementation of the EPOE in practical activities. In this study 2312 students were divided into Traditional Methodology (n=1155) and EPOE Methodology (n=1157). In turn, students were identified according to career: Nursing (n=1182), Speech Therapy (n=185), Physical Therapy (n=514), and Occupational Therapy (n=431). Subject conditions were maintained in both groups with three practical evaluations. The grades obtained were analyzed. Assessments 1 and 2 showed no differences between groups. Evaluation 3, which evaluated the nervous system, showed a significant decrease of 0.5 points in the EPOE group. The type of methodology factor was significant in evaluation 3 (p &lt; 0.001; ?2p = 0.029) and the average of 3 evaluations (p &lt; 0.029; ?2p = 0.002). The career factor was significant for all three evaluations. The interaction of both factors did not show statistical significance. The post hoc analysis showed significant differences between nursing students and the other careers since they obtained better scores in all evaluations (p &lt; 0.05). EPOE methodology did not produce drastic changes in students' academic performance and had a broad potential for development due to its non-invasive and non -traumatic comprehensive assessment nature. The nature of the contents should be considered in the design of the teaching -learning methodology and the evaluation methodology, aligning at the micro -curricular level with these fundamental aspects of training new health professionals.</t>
  </si>
  <si>
    <t>WOS:001208078600034</t>
  </si>
  <si>
    <t>Lizama, C; Murillo-Arcila, M</t>
  </si>
  <si>
    <t>Lizama, Carlos; Murillo-Arcila, Marina</t>
  </si>
  <si>
    <t>On the existence of chaos for the fourth-order Moore-Gibson-Thompson equation</t>
  </si>
  <si>
    <t>CHAOS SOLITONS &amp; FRACTALS</t>
  </si>
  <si>
    <t>We analyze the existence of chaos for the fourth-order Moore-Gibson-Thompson equation. We obtain sufficient conditions on the parameters of the equation so that it exhibits a chaotic behavior in the Devaney sense. Such dynamic behavior is achieved in Herzog-like spaces revealing the structure of critical parameters.</t>
  </si>
  <si>
    <t>Murillo, Marina/ABI-7284-2020; Lizama, Carlos/E-5909-2011</t>
  </si>
  <si>
    <t>Lizama, Carlos/0000-0002-9807-1100; murillo arcila, marina/0000-0001-6589-0452</t>
  </si>
  <si>
    <t>0960-0779</t>
  </si>
  <si>
    <t>1873-2887</t>
  </si>
  <si>
    <t>10.1016/j.chaos.2023.114123</t>
  </si>
  <si>
    <t>OCT 2023</t>
  </si>
  <si>
    <t>WOS:001088549200001</t>
  </si>
  <si>
    <t>Klose, V; Dupre, ML; Ferreira, AZ</t>
  </si>
  <si>
    <t>Buron Klose, Veronica; Imperatore Dupre, Maria Loreto; Zuleta Ferreira, Arturo</t>
  </si>
  <si>
    <t>Current considerations in the management of positional plagiocephaly</t>
  </si>
  <si>
    <t>Since the American Academy of Pediatrics recommended the supine sleeping position for infants to prevent SIDS, positional plagiocephaly (PP) prevalence has increased. There are great controversies regarding the possible consequences of PP and the degree of severity required for them to manifest. There is no consensus on the efficacy of PP therapies, such as positioning, kinesiology, and cranial orthoses. This review aims to analyze the existing literature to update the causes, main characteristics, and evidence on the treatment of PP. Intervention from the newborn period is important, encompas-sing both prevention and management education, as well as early screening, evaluating the possible presence of congenital muscular torticollis, to start early treatment. The presence of PP can be a risk marker for psychomotor development.</t>
  </si>
  <si>
    <t>Imperatore Dupre, Maria Loreto/0009-0008-1324-4385</t>
  </si>
  <si>
    <t>****_****</t>
  </si>
  <si>
    <t>10.32641/andespediatr.v94i2.4665</t>
  </si>
  <si>
    <t>WOS:001001813600002</t>
  </si>
  <si>
    <t>Pontigo, D; Wiche, O; Wilkens, M; Schlömann, M; Ortiz, C</t>
  </si>
  <si>
    <t>Pontigo, Darlyng; Wiche, Oliver; Wilkens, Marcela; Schloemann, Michael; Ortiz, Claudia</t>
  </si>
  <si>
    <t>Culture supernatants of the cyanobacterium Trichormus sp. promote the growth of the grass Polypogon australis Brong: Role of P and Mn</t>
  </si>
  <si>
    <t>ALGAL RESEARCH-BIOMASS BIOFUELS AND BIOPRODUCTS</t>
  </si>
  <si>
    <t>The potential of some soil cyanobacteria to influence plant development through the release of biologically active substances has been extensively characterized. The use of cyanobacterial culture supernatants is among the strategies for this purpose, as they contain compounds that can influence plant development. However, there is little information on how the remaining nutrients from the culture medium used, could contribute to the effect observed in the treated plants. In the present work, Trichormus sp., a native Chilean cyanobacterium isolated from drylands whose supernatants improved the cumulative germination and the shoot and root growth of native grass Polypogon australis, was selected. The observed effects were significant when compared with water a control but did not significantly differ when the BG-11 nutrient medium was used as a control. The nutrient content of Trichormus sp. supernatants was characterized throughout the growth phases of the culture on BG-11 medium, showing an important decrease in P (100 %) and Mn (84 %) content after the late exponential phase. Based on these results, a P and Mn-free BG-11 medium (BG-11 M) was prepared. In a bioassay with P. australis, the BG-11 M effect was compared with Trichormus sp. supernatants, which contained 40 % of P and 46 % of with respect to the original BG-11 medium. The results showed that the BG-11 M was less effective in promoting the shoot growth of P. australis than the supernatants, indicating that both elements, P and Mn, have a role in development of P. australis. We emphasize the need to consider the composition of nutrients remaining on culture medium when evaluating the effects of cyanobacterial cultures on plant growth and development.</t>
  </si>
  <si>
    <t>Wiche, Oliver/JYP-6050-2024</t>
  </si>
  <si>
    <t>2211-9264</t>
  </si>
  <si>
    <t>10.1016/j.algal.2023.103032</t>
  </si>
  <si>
    <t>MAR 2023</t>
  </si>
  <si>
    <t>WOS:000952505700001</t>
  </si>
  <si>
    <t>On the dynamics of the damped extensible beam 1D-equation</t>
  </si>
  <si>
    <t>We show that the solutions of the linearized damped extensible beam equation exhibit a chaotic or stable behavior that depends on the distribution of the physical parameters of the equation. Such dynamical behavior is achieved in Herzog-like spaces. Our results provide new insights into the damped extensible beam equation by finding a critical parameter whose sign determines such qualitative properties.&amp; COPY; 2022 Elsevier Inc. All rights reserved.</t>
  </si>
  <si>
    <t>murillo arcila, marina/0000-0001-6589-0452; Lizama, Carlos/0000-0002-9807-1100</t>
  </si>
  <si>
    <t>522 (2023) 126954</t>
  </si>
  <si>
    <t>10.1016/j.jmaa.2022.126954</t>
  </si>
  <si>
    <t>WOS:001031926000001</t>
  </si>
  <si>
    <t>Torres-Ortega, J; Campos, JLM</t>
  </si>
  <si>
    <t>Torres-Ortega, Jorge; Monzon Campos, Jose Luis</t>
  </si>
  <si>
    <t>Future Intentions of Entrepreneurship in Chilean and Basque High School Students</t>
  </si>
  <si>
    <t>CIRIEC-ESPANA REVISTA DE ECONOMIA PUBLICA SOCIAL Y COOPERATIVA</t>
  </si>
  <si>
    <t>Entrepreneurial initiatives -whether social or commercial- generate a significant economic and social impact. For this reason, supporting entrepreneurship and entrepreneurs has become a real necessity today, since the development and growth of our territories and countries depend to a large extent on it. In this context, achieving a deeper understanding of the main determinants of entrepreneurship is undoubtedly of great value for economies and society in general. This is particularly important in the case of adolescents, given the need to stimulate entrepreneurship from an early age. The present article aims to make a contribution in this sense, with the central objective of characterizing and comparing high school students from two different countries from the point of view of a series of personal and family characteristics, relating them to their future entrepreneurial intentions, whether in the field of commercial and/or social entrepreneurship. To achieve this objective, the same survey was applied to a sample of Chilean (n=4661) and Basque (n=5767) students. The results reveal that Chilean students exhibit a greater inclination to follow an entrepreneurial career than their Basque peers. Likewise, it is observed that a set of traits that shape an entrepreneurial personality are associated with higher future entrepreneurial intentions in both groups of students. Those who develop intentions of social entrepreneurship, on the other hand, are more closely linked to the possession of social sensitivity and a sense of ethics.</t>
  </si>
  <si>
    <t>Campos, Jose/A-6893-2017; TORRES-ORTEGA, JORGE/AAP-5339-2020</t>
  </si>
  <si>
    <t>0213-8093</t>
  </si>
  <si>
    <t>1989-6816</t>
  </si>
  <si>
    <t>10.7203/CIRIEC-E.103.20933</t>
  </si>
  <si>
    <t>WOS:000729001600011</t>
  </si>
  <si>
    <t>Camargo, M; Palominos, P; Marche, B; Toledo, F; Boly, V; Alfaro, M</t>
  </si>
  <si>
    <t>Camargo, Mauricio; Palominos, Pedro; Marche, Brunelle; Toledo, Francisco; Boly, Vincent; Alfaro, Miguel</t>
  </si>
  <si>
    <t>A multi-stakeholder system-based methodology to evaluate the needs of innovation ecosystems</t>
  </si>
  <si>
    <t>RESEARCH IN ENGINEERING DESIGN</t>
  </si>
  <si>
    <t>The current nature of innovation projects, which integrate a growing number of stakeholders, is increasing the complexity and scope of the product development process. The understanding of the complex and synergistic dynamics between the entire set of stakeholders requires well-adapted approaches to deal with this complexity since the early stages of a project. The present paper proposes a new methodology, based on the Kano model and needs trade-off methodology for a multi-stakeholders' ecosystem during early design stages, enabling to identify and anticipate the needs of an ecosystem of stakeholders. The resulting aggregated Kano matrix enables a holistic vision of the aggregated stakeholders' needs, and then identify emerging needs of the entire ecosystem. The proposed methodology is illustrated through a case study concerning an innovative project of self-directed learning tool apps for smartphones.</t>
  </si>
  <si>
    <t>CAMARGO, Mauricio/HJP-7111-2023; MARCHE, Brunelle/AGN-3903-2022</t>
  </si>
  <si>
    <t>MARCHE, Brunelle/0000-0001-9894-0284; Palominos, Pedro/0000-0002-5695-3025</t>
  </si>
  <si>
    <t>0934-9839</t>
  </si>
  <si>
    <t>1435-6066</t>
  </si>
  <si>
    <t>10.1007/s00163-021-00368-7</t>
  </si>
  <si>
    <t>JUN 2021</t>
  </si>
  <si>
    <t>WOS:000657436100001</t>
  </si>
  <si>
    <t>del Campo, NM; Lukic, MDR</t>
  </si>
  <si>
    <t>del Campo, Norma Munoz; Rocha Lukic, Melina de Souza</t>
  </si>
  <si>
    <t>Cognitive and Institutional Determinants of Public Policy Changes: A Comparative Analysis of Brazil and Chile</t>
  </si>
  <si>
    <t>LATIN AMERICAN POLICY</t>
  </si>
  <si>
    <t>This article aims to connect cognitive and institutional theories to explain how policies evolve. Because of the limits to the model proposed by cognitive theories, the article shows that this framework can be complemented with the model of institutional change proposed by historical institutionalism theories. Therefore, it centers on the dynamics of change beyond theories based on critical junctures or exogenous shocks, focusing on continuities rather than changes. The study is based on two policy change case studies-tax policy in Brazil, and environmental policies in Chile. We suggest a model that can explain gradual cognitive changes by proposing two different forms of policy change: ideational anchorage and cognitive layering.</t>
  </si>
  <si>
    <t>Munoz-del-Campo, Norma/0000-0003-0812-5214; de Souza Rocha Lukic, Melina/0000-0002-0966-8539</t>
  </si>
  <si>
    <t>2041-7365</t>
  </si>
  <si>
    <t>2041-7373</t>
  </si>
  <si>
    <t>10.1111/lamp.12195</t>
  </si>
  <si>
    <t>OCT 2020</t>
  </si>
  <si>
    <t>WOS:000584631600001</t>
  </si>
  <si>
    <t>Sánchez, DA; Díaz-Robles, LA; Cubillos, F; Gómez, J; Reyes, A; Vallejo, F; Pino-Cortés, E</t>
  </si>
  <si>
    <t>Sanchez, Daniel A.; Diaz-Robles, Luis A.; Cubillos, Francisco; Gomez, Jaime; Reyes, Alejandro; Vallejo, Fidel; Pino-Cortes, Ernesto</t>
  </si>
  <si>
    <t>Drying process study of hydrothermal carbonized biomass</t>
  </si>
  <si>
    <t>DRYING TECHNOLOGY</t>
  </si>
  <si>
    <t>Residual biomass is a low-cost raw material, although it must overcome some limitations such as its low calorific value, seasonal availability, and high humidity, which reduces its quality as a fuel. Hydrothermal Carbonization (HTC) is an operation that increases the energy density of raw biomass, obtaining a final solid (hydrochar) with higher calorific value and hydrophobic properties. This work studies the drying process of the hydrochar obtained fromPinus radiatasawdust in an indirect rotary dryer. The process was modeled by the Schlunder and Mollekopf penetration model. The fit obtained with the experimental data indicates an acceptable performance. The mass transfer coefficient varied between 69.4 and 131.7 W/m(2)center dot K (average solid temperature) and from 83.9 to 165.8 W/m(2)center dot K (100 degrees C as solid temperature). The mixing number (N-mix) determined was between 19.19 and 24.39, comparable to that reported in the literature. The significant effects on the process were heating steam pressure and the turning speed of the drum. Finally, through a response surface analysis, the optimum nondimensional drying rate value was determined:V-sec= 0.0040 kg(H2O)/kg(db)center dot s.</t>
  </si>
  <si>
    <t>Cortés, Ernesto/Z-2777-2019; Diaz-Robles, Luis/D-3450-2013; Vallejo, Fidel/AAM-6353-2020</t>
  </si>
  <si>
    <t>Gomez Lopez, Jaime Eduardo/0000-0002-6175-1583; Vallejo, Fidel Ernesto/0000-0001-5835-298X; Pino-Cortes, Ernesto/0000-0001-5133-2812</t>
  </si>
  <si>
    <t>0737-3937</t>
  </si>
  <si>
    <t>1532-2300</t>
  </si>
  <si>
    <t>JAN 11</t>
  </si>
  <si>
    <t>10.1080/07373937.2020.1786110</t>
  </si>
  <si>
    <t>JUL 2020</t>
  </si>
  <si>
    <t>WOS:000546307000001</t>
  </si>
  <si>
    <t>Ubilla, C; Ramírez, N; Valdivia, F; Vera, C; Illanes, A; Guerrero, C</t>
  </si>
  <si>
    <t>Ubilla, Claudia; Ramirez, Nicolas; Valdivia, Felipe; Vera, Carlos; Illanes, Andres; Guerrero, Cecilia</t>
  </si>
  <si>
    <t>Synthesis of Lactulose in Continuous Stirred Tank Reactor With β-Galactosidase of Apergillus oryzae Immobilized in Monofunctional Glyoxyl Agarose Support</t>
  </si>
  <si>
    <t>Lactulose synthesis from fructose and lactose in continuous stirred tank (CSTR) reactor operation with glyoxyl-agarose immobilized Aspergillus oryzae b-galactosidase is reported for the first time. The effect of operational variables: inlet concentrations of sugar substrates, temperature, feed substrate molar ratio, enzyme loading and feed flow rate was studied on reactor performance. Even though the variation of each one affected to a certain extent lactulose yield (Y-Lactulose), specific productivity ( pi(Lactulose)) and selectivity of the reaction (lactulose/transgalactosylated oligosaccharides molar ratio) (S-Lu/TOS), the most significant effects were obtained by varying the inlet concentrations of sugar substrates and the feed substrate molar ratio. Maximum Y-Lactulose of 0.54 g center dot g(-1) was obtained at 50 degrees C, pH 4.5, 50% w/w inlet concentrations of sugar substrates, feed flowrate of 12 mL center dot min(-1), fructose/lactose molar ratio of 8 and reactor enzyme load of 29.06 IUH center dot mL(-1). At such conditions S-Lu/TOS was 3.7, lactose conversion (X-Lactose) was 0.39 and total transgalactosylation yield was 0.762 g center dot g(-1), meaning that 76% of the reacted lactose corresponded to transgalactosylation and 24% to hydrolysis, which is a definite advantage of this mode of operation. Even though X-Lactose in CSTR was lower than in other reported modes of operation for lactulose synthesis, transgalactosylation was more favored over hydrolysis which reduced the inhibitory effect of galactose on beta-galactosidase.</t>
  </si>
  <si>
    <t>Guerrero, Cecilia/0000-0002-4701-3525; Vera Vera, Carlos Felipe/0000-0003-2179-9467</t>
  </si>
  <si>
    <t>JUN 30</t>
  </si>
  <si>
    <t>10.3389/fbioe.2020.00699</t>
  </si>
  <si>
    <t>WOS:001050652400001</t>
  </si>
  <si>
    <t>Delgado, L; Galvez, D; Hassan, A; Palominos, P; Morel, L</t>
  </si>
  <si>
    <t>Delgado, Lorena; Galvez, Daniel; Hassan, Alaa; Palominos, Pedro; Morel, Laure</t>
  </si>
  <si>
    <t>Innovation Spaces in Universities: Support for Collaborative Learning</t>
  </si>
  <si>
    <t>JOURNAL OF INNOVATION ECONOMICS &amp; MANAGEMENT</t>
  </si>
  <si>
    <t>Innovation spaces are rapidly increasing in number around the world. Many universities are currently opting for the construction of a space of this kind on their premises. Innovation spaces offer an opportunity for the development of competences. In this work we study how innovation spaces can support collaborative learning. Several common factors between innovation spaces and collaborative learning are studied and identified. Based on these factors, a design and an action plan are defined for an innovation space within a public university. The proposed design and action plan are tested in a case study featuring the entrepreneurship and innovation laboratory of the Industrial Engineering Department of the University of Santiago (LEIND). The results are evaluated based on interviews with students, and these interviews validate the positive impact of LEIND in the development of their innovation and entrepreneurship projects. Work in collaboration with other actors at LEIND is highlighted as a positive outcome.</t>
  </si>
  <si>
    <t>Hassan, Alaa/0000-0003-2477-1726; Palominos, Pedro/0000-0002-5695-3025</t>
  </si>
  <si>
    <t>2032-5355</t>
  </si>
  <si>
    <t>10.3917/jie.031.0123</t>
  </si>
  <si>
    <t>WOS:000509345800006</t>
  </si>
  <si>
    <t>Kalmbach, O; Hackl, CM; Rojas, F</t>
  </si>
  <si>
    <t>Kalmbach, Oliver; Hackl, Christoph M.; Rojas, Felix</t>
  </si>
  <si>
    <t>A Generic Switching State-Space Model for Modular Multilevel Cascade Converters</t>
  </si>
  <si>
    <t>2020 IEEE 11TH INTERNATIONAL SYMPOSIUM ON POWER ELECTRONICS FOR DISTRIBUTED GENERATION SYSTEMS (PEDG)</t>
  </si>
  <si>
    <t>IEEE International Symposium on Power Electronics for Distributed Generation Systems</t>
  </si>
  <si>
    <t>IEEE 11th International Symposium on Power Electronics for Distributed Generation Systems (PEDG)</t>
  </si>
  <si>
    <t>SEP 28-OCT 01, 2020</t>
  </si>
  <si>
    <t>IEEE,IEEE Croatia Sect,Croatia Sect PEL Chapter,Croatia Sect IE Chapter,Croatian Soc Commun, Comp, Elect, Measurement &amp; Control,Fac Elect Engn &amp; Comp,Tech Univ Kosice, Fac Elect Engn &amp; Informat,Slovakian Electrotechn Soc</t>
  </si>
  <si>
    <t>This paper presents a generic switching state-space model for modular multilevel cascade converters in double-star connection (MMCC-DS) which can either be used with chopper cells (CC; half bridges) or bridge cells (BC; full bridges) and allows to consider arbitrary switch(ing) faults. The output terminals of the MMCC-DS are connected to a general resistive-inductive (RL) load with additional voltage sources in star connection. The model is derived and described in detail by using Kirchhoff's current and voltage laws (KCL, KVL) and allows for currents flowing through the anti-parallel diodes of the active switches in each cell. The model is implemented in Matlab/Simulink 2019b and PLECS for a simulative validation and comparison of the proposed model.</t>
  </si>
  <si>
    <t>Hackl, Christoph/AAC-7066-2019; Rojas, Felix/U-3305-2019</t>
  </si>
  <si>
    <t>Kalmbach, Oliver/0000-0003-4901-3120; Rojas, Felix/0000-0001-6145-2826</t>
  </si>
  <si>
    <t>2329-5759</t>
  </si>
  <si>
    <t>978-1-7281-6990-3</t>
  </si>
  <si>
    <t>10.1109/pedg48541.2020.9244315</t>
  </si>
  <si>
    <t>WOS:000851397200076</t>
  </si>
  <si>
    <t>Bravo, MA; Gonzalez, A; Valverde, B; Quiroz, W; Toledo-Neira, C</t>
  </si>
  <si>
    <t>Bravo, Manuel A.; Gonzalez L, Albani; Valverde O, Barbara; Quiroz, Waldo, V; Toledo-Neira, Carla</t>
  </si>
  <si>
    <t>Evaluation of three-way fluorescence data-based for simultaneous determination of polycyclic aromatic hydrocarbons in tea infusion samples at sub-ppb levels by second-order multivariate calibration</t>
  </si>
  <si>
    <t>MICROCHEMICAL JOURNAL</t>
  </si>
  <si>
    <t>In this work, two fast and low solvent-consumption analytical methods were evaluated for the determination of the eight polycyclic aromatic hydrocarbons (PAHs), commonly named PAH8, in tea infusion samples by second-order multivariate calibration. The analytical performance of the excitation-emission matrix fluorescence (EEMF) and retention time-emission spectra matrices (RTEFM) data was compared, and these methods were applied to the analysis of real samples. Better figures of merit were obtained with EEMF (detection limit: 0.05-0.22 mu g L-1; analytical sensitivity: 14.8-68.9) than with those of RTEFM (detection limit: 1.5-12.1 mu g L-1; analytical sensitivity: 0.4-4.9). However, in the analysis of tea infusion samples, the method based on RTEFM showed a lower prediction error (4.0-9.7%) and better accuracy than did the reference method. Finally, the proposed methods were applied to real tea infusions obtained from green and black tea samples containing PAHs at ng L-1 levels, including a preconcentration step on a C-18 SPE cartridge, demonstrating the analytical potential of these methods.</t>
  </si>
  <si>
    <t>Bravo, Manuel/0000-0002-4548-6265; Toledo Neira, Carla Beatriz/0000-0003-2872-3043</t>
  </si>
  <si>
    <t>0026-265X</t>
  </si>
  <si>
    <t>1095-9149</t>
  </si>
  <si>
    <t>10.1016/j.microc.2019.104208</t>
  </si>
  <si>
    <t>WOS:000497250700002</t>
  </si>
  <si>
    <t>Kozlova, O; Noguera-Santaella, J</t>
  </si>
  <si>
    <t>Kozlova, Olesia; Noguera-Santaella, Jose</t>
  </si>
  <si>
    <t>Relative efficiency of oil price versus oil output in promoting economic growth: Is OPEC's strategy right?</t>
  </si>
  <si>
    <t>EMPIRICAL ECONOMICS</t>
  </si>
  <si>
    <t>A dilemma faced by oil exporting countries is the relative efficiency of the traditional OPEC cartel policy of setting quotas to target a certain crude oil price level versus the policy usually followed by non-OPEC countries of choosing the crude oil output level that maximizes profits, taking the oil price level as given. This paper contributes to the oil and macroeconomics literature by using panel cointegration techniques that consider cross-sectional dependence and structural breaks to study the relative efficiency of these policies to promote economic growth in oil exporting countries.</t>
  </si>
  <si>
    <t>0377-7332</t>
  </si>
  <si>
    <t>1435-8921</t>
  </si>
  <si>
    <t>10.1007/s00181-018-1537-1</t>
  </si>
  <si>
    <t>WOS:000494824300009</t>
  </si>
  <si>
    <t>Tapiero, Y; Rivas, BL; Sánchez, J</t>
  </si>
  <si>
    <t>Tapiero, Yesid; Rivas, Bernabe L.; Sanchez, Julio</t>
  </si>
  <si>
    <t>ACTIVATED POLYPROPYLENE MEMBRANES WITH ION-EXCHANGE POLYMERS TO TRANSPORT CHROMIUM IONS IN WATER</t>
  </si>
  <si>
    <t>Polypropylene (PP) membranes were modified by in situ radical-polymerizations of functional monomers forming networks inside the pores. The main experimental conditions studied include the functional monomer concentration and crosslinking concentration. The modified membranes were characterized by scanning electron microscopy, charge density properties, and Dorman dialysis for chromium ion transport. The experimental data of the transport of Cr(III) and Cr(VI) ions were fitted to mathematical models (a polynomial fit as the first step and then the change in the concentration rates of both phases). The 4-order polynomial equation for the Cr(III) ions and the 7-order polynomial equation for the Cr(VI) ions provide better fits to the data and aid in predicting the chromium concentration values for any time.</t>
  </si>
  <si>
    <t>WOS:000509863600004</t>
  </si>
  <si>
    <t>Oporto, CI; Villarroel, CA; Tapia, SM; García, V; Cubillos, FA</t>
  </si>
  <si>
    <t>Oporto, Christian I.; Villarroel, Carlos A.; Tapia, Sebastian M.; Garcia, Veronica; Cubillos, Francisco A.</t>
  </si>
  <si>
    <t>Distinct Transcriptional Changes in Response to Patulin Underlie Toxin Biosorption Differences in Saccharomyces cerevisiae</t>
  </si>
  <si>
    <t>TOXINS</t>
  </si>
  <si>
    <t>Patulin (4-hydroxy-4H-furo[3,2c] pyran-2[6H]-one) is a mycotoxin produced by a suite of fungi species. Patulin is toxic to humans and is a sporadic contaminant in products that were made from fungi-infected fruits. The baker yeast Saccharomyces cerevisiae (S. cerevisiae) has been shown to decrease patulin levels likely by converting it to the less harmful E-ascladiol, yet this capacity is dependent on the strain utilized. In this study we show that four representative strains of different S. cerevisiae lineages differ in their ability to tolerate and decrease patulin levels in solution, demonstrating that some strains are better suitable for patulin biocontrol. Indeed, we tested the biocontrol capacities of the best patulin-reducer strain (WE) in contaminated apple juice and demonstrated their potential role as an efficient natural biocontrol solution. To investigate the mechanisms behind the differences between strains, we explored transcriptomic changes of the top (WE strain) and worst (WA strain) patulin-biocontroller strains after being exposed to this toxin. Large and significant gene expression differences were found between these two strains, the majority of which represented genes associated with protein biosynthesis, cell wall composition and redox homeostasis. Interestingly, the WE isolate exhibited an overrepresentation of up-regulated genes involved in membrane components, suggesting an active role of the membrane towards patulin detoxification. In contrast, WA upregulated genes were associated with RNA metabolism and ribosome biogenesis, suggesting a patulin impact upon transcription and translation activity. These results suggest that different genotypes of S. cerevisiae encounter different stresses from patulin toxicity and that different rates of detoxification of this toxin might be related with the plasma membrane composition. Altogether, our data demonstrates the different molecular mechanisms in S. cerevisiae strains withstanding patulin exposure and opens new avenues for the selection of new patulin biocontroller strains.</t>
  </si>
  <si>
    <t>García, Verónica/AAM-1175-2021; Cubillos, Francisco/MIT-2389-2025</t>
  </si>
  <si>
    <t>Tapia, Sebastian/0000-0001-6047-8178; Villarroel, Carlos/0000-0002-6089-3088; garcia, veronica/0000-0002-5312-925X</t>
  </si>
  <si>
    <t>2072-6651</t>
  </si>
  <si>
    <t>10.3390/toxins11070400</t>
  </si>
  <si>
    <t>WOS:000482110000038</t>
  </si>
  <si>
    <t>Chávez, A; Prado, H; Reyes, EG</t>
  </si>
  <si>
    <t>Chavez, A.; Prado, H.; Reyes, E. G.</t>
  </si>
  <si>
    <t>A Laplace transform approach to linear equations with infinitely many derivatives and zeta-nonlocal field equations</t>
  </si>
  <si>
    <t>ADVANCES IN THEORETICAL AND MATHEMATICAL PHYSICS</t>
  </si>
  <si>
    <t>We study existence, uniqueness and regularity of solutions for linear equations in infinitely many derivatives. We develop a natural framework based on Laplace transform as a correspondence between appropriate L-p and Hardy spaces: this point of view allows us to interpret rigorously operators of the form f (partial derivative(t)) where f is an analytic function such as (the analytic continuation of) the Riemann zeta function. We find the most general solution to the equation f(partial derivative(t))phi = J(t), t &gt;= 0, in a convenient class of functions, we define and solve its corresponding initial value problem, and we state conditions under which the solution is of class C-k, k &gt;= 0. More specifically, we prove that if some a priori information is specified, then the initial value problem is well-posed and it can be solved using only a finite number of local initial data. Also, motivated by some intriguing work by Dragovich and Aref 'eva-Volovich on cosmology, we solve explicitly field equations of the form zeta(partial derivative(t) + h)phi = J(t), t &gt;= 0, in which zeta is the Riemann zeta function and h &gt; 1. Finally, we remark that the L-2 case of our general theory allows us to give a precise meaning to the often-used interpretation of f (partial derivative(t)) as an operator defined by a power series in the differential operator partial derivative(t).</t>
  </si>
  <si>
    <t>Reyes, Enrique/AAD-1308-2019; Chávez, Alan/JAO-5359-2023</t>
  </si>
  <si>
    <t>Chavez Obregon, Alan Jhonatan/0000-0001-5120-0705; Reyes, Enrique G./0000-0001-8460-444X</t>
  </si>
  <si>
    <t>1095-0761</t>
  </si>
  <si>
    <t>1095-0753</t>
  </si>
  <si>
    <t>WOS:000551075000002</t>
  </si>
  <si>
    <t>San Juan, E; Firoozabadi, AD; Adasme, P; Soto, I; Cañete, L</t>
  </si>
  <si>
    <t>San Juan, Enrique; Firoozabadi, Ali Dehghan; Adasme, Pablo; Soto, Ismael; Canete, Lucio</t>
  </si>
  <si>
    <t>Spanish Syllables Recognition by Wavelet and Cross Covariance</t>
  </si>
  <si>
    <t>This paper shows the recognition of syllables through the using of Wavelet Transform and statistical tools such as cross covariance and the Pearson correlation coefficient. The considered syllables in this work are Consonant-Vowel (CV) and Vowel-Consonant (VC) given that they constitute 60% of those present in the Spanish language. The signals of the syllables are processed through a focused analysis with the application of time windows (segmentation the syllables in their respective phonemes) to later perform a multi-resolution analysis using the Wavelet Transform. For the recognition of the CV or VC structure, the cross covariance and the Pearson correlation coefficient are used. The results shows the performance of proposed method in comparison with other methods.</t>
  </si>
  <si>
    <t>Arratia, Lucio/AAV-6112-2020; Dehghan Firoozabadi, Ali/AAD-4858-2019; Adasme, Pablo/U-1735-2019</t>
  </si>
  <si>
    <t>Dehghan Firoozabadi, Ali/0000-0002-6391-6863; Canete Arratia, Lucio/0000-0002-1191-8728</t>
  </si>
  <si>
    <t>10.1109/chilecon47746.2019.8987522</t>
  </si>
  <si>
    <t>WOS:000542919100026</t>
  </si>
  <si>
    <t>Velásquez-Yévenes, L; Quezada-Reyes, V</t>
  </si>
  <si>
    <t>Velasquez-Yevenes, Lilian; Quezada-Reyes, Victor</t>
  </si>
  <si>
    <t>Influence of seawater and discard brine on the dissolution of copper ore and copper concentrate</t>
  </si>
  <si>
    <t>HYDROMETALLURGY</t>
  </si>
  <si>
    <t>It is well known that the Chilean mining industry is facing a shortage of water resources for the sustainable operation not only of existing plants but also of future projects. In addition, the depletion of oxide ores and those containing secondary sulfide copper will leave chalcopyrite ores as the main source of copper for future plants. To assure a sustainable hydrometallurgy plant, alternative water resources such as seawater and discard brine from desalination plants should be used together with a leaching process that can enhance the dissolution of chalcopyrite. This paper reports a study on the dissolution kinetics of finely ground copper oxide ore, chalcopyrite ore, and chalcopyrite concentrate leached in shake flasks, agitated reactors and columns using seawater and discard brine as the leaching solution. The type of chloride solution did not affect the dissolution of the copper oxide mineral. Regardless of the chloride solution used in the leaching test stirred at room temperature, the chalcopyrite dissolution did not exceed 4%, but increased to 90% when the temperature was increased to 50 degrees C. Column leaching of chalcopyrite ore with a P-80 of 5 mm achieved a maximum dissolution of 43% of copper using discard brine at ambient temperature. The results show that curing time of the packed bed before the commencement of column irrigation and intermittent irrigation during leaching appeared to be important parameters to enhance dissolution of copper. Less irrigation time and more resting time can be beneficial for an industrial-scale heap leach plant.</t>
  </si>
  <si>
    <t>Quezada, Víctor/HGD-1444-2022; , LILIAN/JGD-3871-2023</t>
  </si>
  <si>
    <t>Quezada Reyes, Victor/0000-0001-6211-6082; , LILIAN/0000-0002-2617-8566</t>
  </si>
  <si>
    <t>0304-386X</t>
  </si>
  <si>
    <t>1879-1158</t>
  </si>
  <si>
    <t>10.1016/j.hydromet.2018.07.009</t>
  </si>
  <si>
    <t>WOS:000446144500011</t>
  </si>
  <si>
    <t>Caron, PA; Cruchaga, MA; Larreteguy, AE</t>
  </si>
  <si>
    <t>Caron, P. A.; Cruchaga, M. A.; Larreteguy, A. E.</t>
  </si>
  <si>
    <t>Study of 3D sloshing in a vertical cylindrical tank</t>
  </si>
  <si>
    <t>Moving liquid-gas interfaces appear frequently in both natural processes and engineering applications. In the case of partially filled tanks, for instance, the accurate description of the free surface transient behavior during transportation or earthquakes is of paramount importance for structural stability analyses. This work presents new experimental data of sloshing at laboratory scale in a vertical cylindrical tank with different filling levels, along with numerical simulations of selected cases using an open source finite volume application. Maximum and minimum experimental wave heights, measured with ultrasonic sensors, are reported for several non-resonant cases during the periodic steady state regime, along with snapshots of a video recorded near-resonance case. For the numerical simulations, a suitable mesh was designed based on a mesh convergence analysis focused on the simulated velocity profiles at the tank wall. A slight nonlinear behavior is detected in the experimental wave patterns, expressed as non-symmetrical minimum and maximum wave heights. The near-resonance case, in turn, shows a highly three-dimensional behavior of the free surface and a rotational effect. The numerical results obtained for the non-resonant cases show good overall agreement with the experiments, although the non-linear behavior is not accurately modelled. The evolution of the highly distorted free surface in the near-resonance case is well captured by the simulation, along with the observed rotational effect. Published by AIP Publishing.</t>
  </si>
  <si>
    <t>; Cruchaga, Marcela/M-7522-2014</t>
  </si>
  <si>
    <t>Caron, Pablo Alfredo/0000-0003-0507-6648; Cruchaga, Marcela/0000-0002-8708-2402; Larreteguy, Axel Eduardo/0000-0003-0785-874X</t>
  </si>
  <si>
    <t>10.1063/1.5043366</t>
  </si>
  <si>
    <t>WOS:000443892400024</t>
  </si>
  <si>
    <t>Rivas, BL; Urbano, BF; Sánchez, J</t>
  </si>
  <si>
    <t>Rivas, Bernabe L.; Urbano, Bruno F.; Sanchez, Julio</t>
  </si>
  <si>
    <t>Water-Soluble and Insoluble Polymers, Nanoparticles, Nanocomposites and Hybrids With Ability to Remove Hazardous Inorganic Pollutants in Water</t>
  </si>
  <si>
    <t>FRONTIERS IN CHEMISTRY</t>
  </si>
  <si>
    <t>The polymeric materials have presented a great development in adsorption processes for the treatment of polluted waters. The aim of the current review is to present the recent developments in this field of study by examining research of systems like functional water-soluble polymers and water-soluble polymer-metal complexes coupled to ultrafiltration membranes for decontamination processes in liquid-liquid phase. Noticing that a water-soluble polymer can be turned into insoluble compounds by setting a crosslinking point, connecting the polymer chains leading to polymer resins suitable for solid-liquid extraction processes. Moreover, these crosslinked polymers can be used to develop more complex systems such as (nano)composite and hybrid adsorbents, combining the polymers with inorganic moieties such as metal oxides. This combination results in novel materials that overcome some drawbacks of each separated components and enhance the sorption performance. In addition, new trends in hybrid methods combining of water-soluble polymers, membranes, and electrocatalysis/photocatalysis to remove inorganic pollutants have been discussed in this review.</t>
  </si>
  <si>
    <t>Urbano, Bruno/O-3020-2019; Sanchez, Julio/AEO-4360-2022; Rivas, Bernabé/D-9945-2015; Urbano, Bruno F./E-4727-2015</t>
  </si>
  <si>
    <t>Urbano, Bruno F./0000-0002-5677-5505; Sanchez, Julio/0000-0003-4245-0096</t>
  </si>
  <si>
    <t>2296-2646</t>
  </si>
  <si>
    <t>JUL 31</t>
  </si>
  <si>
    <t>10.3389/fchem.2018.00320</t>
  </si>
  <si>
    <t>WOS:000440281900001</t>
  </si>
  <si>
    <t>Cornejo, FAG; Cruchaga, MA; Celentano, DJ</t>
  </si>
  <si>
    <t>Gonzalez Cornejo, Felipe A.; Cruchaga, Marcela A.; Celentano, Diego J.</t>
  </si>
  <si>
    <t>Modelling low Reynolds number vortex-induced vibration problems with a fixed mesh fluid-solid interaction formulation</t>
  </si>
  <si>
    <t>The present work reports a fluid-rigid solid interaction formulation described within the framework of a fixed-mesh technique. The numerical analysis is focussed on the study of a vortex-induced vibration (VIV) of a circular cylinder at low Reynolds number. The proposed numerical scheme encompasses the fluid dynamics computation in an Eulerian domain where the body is embedded using a collection of markers to describe its shape, and the rigid solid's motion is obtained with the well-known Newton's law. The body's velocity is imposed on the fluid domain through a penalty technique on the embedded fluid-solid interface. The fluid tractions acting on the solid are computed from the fluid dynamic solution of the flow around the body. The resulting forces are considered to solve the solid motion. The numerical code is validated by contrasting the obtained results with those reported in the literature using different approaches for simulating the flow past a fixed circular cylinder as a benchmark problem. Moreover, a mesh convergence analysis is also done providing a satisfactory response. In particular, a VIV problem is analyzed, emphasizing the description of the synchronization phenomenon. Published by AIP Publishing.</t>
  </si>
  <si>
    <t>Celentano, Diego/JQW-5027-2023; Cruchaga, Marcela/M-7522-2014</t>
  </si>
  <si>
    <t>Cruchaga, Marcela/0000-0002-8708-2402</t>
  </si>
  <si>
    <t>10.1063/1.4996868</t>
  </si>
  <si>
    <t>WOS:000416067400030</t>
  </si>
  <si>
    <t>García-Prieto, JC; Martinez-Vizcaino, V; García-Hermoso, A; Sánchez-López, M; Arias-Palencia, N; Fonseca, JFO; Mora-Rodriguez, R</t>
  </si>
  <si>
    <t>Canete Garcia-Prieto, Jorge; Martinez-Vizcaino, Vicente; Garcia-Hermoso, Antonio; Sanchez-Lopez, Mairena; Arias-Palencia, Natalia; Ortega Fonseca, Juan Fernando; Mora-Rodriguez, Ricardo</t>
  </si>
  <si>
    <t>Energy Expenditure in Playground Games in Primary School Children Measured by Accelerometer and Heart Rate Monitors</t>
  </si>
  <si>
    <t>INTERNATIONAL JOURNAL OF SPORT NUTRITION AND EXERCISE METABOLISM</t>
  </si>
  <si>
    <t>The aim of this study was to examine the energy expenditure (EE) measured using indirect calorimetry (IC) during playground games and to assess the validity of heart rate (HR) and accelerometry counts as indirect indicators of EE in children's physical activity games. 32 primary school children (9.9 +/- 0.6 years old, 19.8 +/- 4.9 kg.m(-2) BMI and 37.6 +/- 7.2 ml.kg(-1).min(-1) VO2max). Indirect calorimetry (IC), accelerometry and HR data were simultaneously collected for each child during a 90 min session of 30 playground games. Thirty-eight sessions were recorded in 32 different children. Each game was recorded at least in three occasions in other three children. The intersubject coefficient of variation within a game was 27% for IC, 37% for accelerometry and 13% for HR. The overall mean EE in the games was 4.2 +/- 1.4 kcals.min(-1) per game, totaling to 375 +/- 122 kcals/per 90 min/session. The correlation coefficient between indirect calorimetry and accelerometer counts was 0.48 (p =.026) for endurance games and 0.21 (p =.574) for strength games. The correlation coefficient between indirect calorimetry and HR was 0.71 (p =.032) for endurance games and 0.48 (p =.026) for strength games. Our data indicate that both accelerometer and HR monitors are useful devices for estimating EE during endurance games, but only HR monitors estimates are accurate for endurance games.</t>
  </si>
  <si>
    <t>Mora-Rodriguez, Ricardo/AAC-9096-2022; García-Hermoso, Antonio/ADU-2591-2022; VIZCAINO, VICENTE/R-4336-2017; SANCHEZ-LOPEZ, MAIRENA/J-7933-2016; Arias Palencia, Natalia Maria/Q-5070-2017; Garcia-Hermoso, Antonio/P-1857-2017</t>
  </si>
  <si>
    <t>Sanchez Lopez, Mairena/0000-0002-0217-0623; Arias Palencia, Natalia Maria/0000-0001-5004-3197; Garcia-Hermoso, Antonio/0000-0002-1397-7182</t>
  </si>
  <si>
    <t>1526-484X</t>
  </si>
  <si>
    <t>1543-2742</t>
  </si>
  <si>
    <t>10.1123/ijsnem.2016-0122</t>
  </si>
  <si>
    <t>WOS:000415961100009</t>
  </si>
  <si>
    <t>Vasco, DA; Muñoz-Mejías, M; Pino-Sepúlveda, R; Ortega-Aguilera, R; García-Herrera, C</t>
  </si>
  <si>
    <t>Vasco, Diego A.; Munoz-Mejias, Manuel; Pino-Sepulveda, Rodrigo; Ortega-Aguilera, Roberto; Garcia-Herrera, Claudio</t>
  </si>
  <si>
    <t>Thermal simulation of a social dwelling in Chile: Effect of the thermal zone and the temperature-dependant thermophysical properties of light envelope materials</t>
  </si>
  <si>
    <t>APPLIED THERMAL ENGINEERING</t>
  </si>
  <si>
    <t>As in most countries, Chile exhibits a continuous growth of energy demand, although nowadays the country does not have enough conventional energy sources to supply it. For this reason, energy saving approaches in the residential sector have been encouraged. One of the solutions to improve the energy performance of the buildings is to decrease wasting energy through the building's envelope, therefore the thermal properties of materials used in building envelopes must be analyzed to evaluate the thermal response of houses. Normally, the thermal envelope of a social house in Chile is made of brick or wood along with light materials such as fiber cement, plasterboard, and thermal insulating materials as polystyrene foam. The experimental part of this work deals with the measurement of the thermal conductivity and thermal diffusivity of the aforementioned light materials in a temperature range from -5 degrees C to 40 degrees C through the transient line heat source method. The experimental results allowed the identification of 10-20% variation of those thermophysical properties. The response of the thermal envelope and the inner temperature of a social dwelling under seven different climatological conditions was evaluated through transient simulations with EnergyPlus. The results allowed to identify that the dwellings located in hotter zones are prone to having higher temperatures than the comfort temperature, and the recommendations of the thermal regulations in Chile are more effective in the colder thermal zones 6 and 7. (C) 2016 Elsevier Ltd. All rights reserved.</t>
  </si>
  <si>
    <t>García-Herrera, Claudio/ABE-8991-2020; Vasco, Diego/Y-2934-2019; Ortega, Roberto/IZE-4038-2023; Ortega, Roberto/H-2046-2015</t>
  </si>
  <si>
    <t>Vasco, Diego Andres/0000-0001-7456-4683; Garcia-Herrera, Claudio/0000-0002-1283-8551; Ortega, Roberto/0000-0002-2218-0845</t>
  </si>
  <si>
    <t>1359-4311</t>
  </si>
  <si>
    <t>10.1016/j.applthermaleng.2016.10.130</t>
  </si>
  <si>
    <t>WOS:000394831500073</t>
  </si>
  <si>
    <t>Borquez, J; Ferber, M; Barbosa, KA</t>
  </si>
  <si>
    <t>Borquez, Javier; Ferber, Moises; Barbosa, Karina A.</t>
  </si>
  <si>
    <t>Parametric Uncertainty Analysis of Inverse Linear Electric Circuit Problems</t>
  </si>
  <si>
    <t>This paper focus on the robustness analysis inverse problem of linear electric circuits. The aim is to determine what amount of variations of the input parameters can an electrical or electronic system tolerate, such that the output variables (e.g. conducted noise) does not exceed an upper bound in the frequency domain. Based on the well-known theory of robust control and convex optimization, we propose a procedure to check which commercial values of tolerance can be picked for components of an arbitrary electric circuit, while guaranteeing a prescribed upper bound. The proposed method is applied to an op-amp active band-pass filter and the results are analyzed and discussed.</t>
  </si>
  <si>
    <t>Ferber, Moises/I-4630-2015; Barbosa, Karina/A-2236-2014; Borquez, Javier/MAI-5197-2025</t>
  </si>
  <si>
    <t>Borquez, Javier/0009-0003-2115-3911; Barbosa, Karina A./0000-0001-7183-2662</t>
  </si>
  <si>
    <t>WOS:000425925000066</t>
  </si>
  <si>
    <t>Cox, C; García, C</t>
  </si>
  <si>
    <t>GarciaCabrero, B; SandovalHernandez, A; TrevinoVillareal, E; Ferrans, SD; Martinez, MGP</t>
  </si>
  <si>
    <t>Cox, Cristian; Garcia, Carolina</t>
  </si>
  <si>
    <t>EVOLUTION OF CITIZENSHIP EDUCATION IN CHILE Recent Curricula Compared</t>
  </si>
  <si>
    <t>CIVICS AND CITIZENSHIP: THEORETICAL MODELS AND EXPERIENCES IN LATIN AMERICA</t>
  </si>
  <si>
    <t>Moral Development and Citizenship Education</t>
  </si>
  <si>
    <t>978-94-6351-066-0; 978-94-6351-068-4; 978-94-6351-067-7</t>
  </si>
  <si>
    <t>10.1007/978-94-6351-068-4</t>
  </si>
  <si>
    <t>WOS:000440133300006</t>
  </si>
  <si>
    <t>Valdebenito, HV; Barrientos, DM</t>
  </si>
  <si>
    <t>Venegas Valdebenito, Hernan; Morales Barrientos, Diego</t>
  </si>
  <si>
    <t>A CASE OF INDUSTRIAL PATERNALISM IN TOME: FAMILY, URBAN SPACE AND SOCIABILITY OF TEXTILE WORKERS (1920-1940)</t>
  </si>
  <si>
    <t>The aim of this study is to analyze the paternalistic discourse and practice of the Sociedad Nacional de Panos de Tome, which was located in Concepcion. From 1913 to 1940, the Board of Directors of this industry promoted attraction of new textile workers and loyalty among them by family-based recruiting and the selective offering of free housing through which it sought to integrate them into a  community led by the Welfare Office. This study examines the generous, helpful and inclusive nature of the company's Board of Director's municipal policies. This study is the result of careful analysis of the time's regional press, Coelemu Government Archives and Factory operators' notes, completed during the 1930s and 1940s.</t>
  </si>
  <si>
    <t>WOS:000418182300010</t>
  </si>
  <si>
    <t>Lagubeau, G; Grosjean, G; Darras, A; Lumay, G; Hubert, M; Vandewalle, N</t>
  </si>
  <si>
    <t>Lagubeau, Guillaume; Grosjean, Galien; Darras, Alexis; Lumay, Geoffroy; Hubert, Maxime; Vandewalle, Nicolas</t>
  </si>
  <si>
    <t>Statics and dynamics of magnetocapillary bonds</t>
  </si>
  <si>
    <t>When ferromagnetic particles are suspended at an interface under magnetic fields, dipole-dipole interactions compete with capillary attraction. This combination of forces has recently given promising results towards controllable self-assemblies as well as low-Reynolds-number swimming systems. The elementary unit of these assemblies is a pair of particles. Although equilibrium properties of this interaction are well described, the dynamics remain unclear. In this paper, the properties of magnetocapillary bonds are determined by probing them with magnetic perturbations. Two deformation modes are evidenced and discussed. These modes exhibit resonances whose frequencies can be detuned to generate nonreciprocal motion. A model is proposed that can become the basis for elaborate collective behaviors.</t>
  </si>
  <si>
    <t>Lagubeau, Guillaume/0000-0003-2710-3299; Hubert, Maxime/0000-0001-9412-372X; Grosjean, Galien/0000-0001-5154-417X; Vandewalle, Nicolas/0000-0002-1824-2011; Darras, Alexis/0000-0003-1258-8465</t>
  </si>
  <si>
    <t>MAY 31</t>
  </si>
  <si>
    <t>10.1103/PhysRevE.93.053117</t>
  </si>
  <si>
    <t>WOS:000376924100013</t>
  </si>
  <si>
    <t>Aguilar, MM; Vergara, FA; Velásquez, EJA; Marina, R; García-Hermoso, A</t>
  </si>
  <si>
    <t>Aguilar, Macarena M.; Vergara, Felipe A.; Velasquez, Erikson J. A.; Marina, Raquel; Garcia-Hermoso, Antonio</t>
  </si>
  <si>
    <t>Screen time impairs the relationship between physical fitness and academic attainment in children</t>
  </si>
  <si>
    <t>JORNAL DE PEDIATRIA</t>
  </si>
  <si>
    <t>Objective: The purpose of this study was twofold: to analyze the association between physical fitness and academic attainment, and to determine the influence of screen time on the association between physical fitness and academic attainment. Methods: A cross-sectional study including 395 schoolchildren from seven schools of the Maule Region, Chile (mean age 12.1 years; 50.4% boys) participated in the autumn of 2014 (March to June). Self-reported physical activity and screen time were evaluated. The study measured academic achievement (mean of the grades obtained in several core subjects), physical fitness (cardiorespiratory fitness and muscular strength), weight, height, parental education, and socioeconomic status. Linear regression analysis was used to analyze the relationships between physical fitness and academic attainment after adjusting for potential confounders by gender. Analysis of variance was used to analyze the differences in academic attainment according to fitness and screen time categories (&lt; 2 hours/day and &gt;= 2 hours/day). Results: In both genders good cardiorespiratory fitness levels were associated with high language (beta = 0.272-0.153) and mean academic attainment (beta = 0.192-0.156) grades; however, after adjusting for screen time and other potential confounders, these associations disappear. Similarly, no relationship was observed after analyzing those children who spend more hours of screen time (&gt;= 2 hours/day). Conclusions: Academic attainment is associated with higher cardiorespiratory fitness levels; however, it was weakly impaired by screen time. These findings seem to suggest that parents and policymakers should minimize the negative effects of screen time on children's lives to maximize the beneficial effect of healthy habits on academic attainment. (C) 2015 Sociedade Brasileira de Pediatria. Published by Elsevier Editora Ltda. All rights reserved.</t>
  </si>
  <si>
    <t>García-Hermoso, Antonio/ADU-2591-2022; Garcia-Hermoso, Antonio/P-1857-2017</t>
  </si>
  <si>
    <t>Garcia-Hermoso, Antonio/0000-0002-1397-7182</t>
  </si>
  <si>
    <t>0021-7557</t>
  </si>
  <si>
    <t>1678-4782</t>
  </si>
  <si>
    <t>JUL-AUG</t>
  </si>
  <si>
    <t>10.1016/j.jpedp.2015.04.005</t>
  </si>
  <si>
    <t>WOS:000359958400006</t>
  </si>
  <si>
    <t>Bassi, R; Villarroel, M; Llambías, FJG; Camú, E; Baeza, P</t>
  </si>
  <si>
    <t>Bassi, R.; Villarroel, M.; Llambias, F. J. Gil; Camu, E.; Baeza, P.</t>
  </si>
  <si>
    <t>TUNGSTEN AND RHENIUM AS HYDROGENATION AGENTS IN THE HYDRODENITROGENATION OF PYRIDINE USING STACKED BED CATALYST SYSTEMS</t>
  </si>
  <si>
    <t>This study analyses the hydrodenitrogenation (HDN) of pyridine using a stacked bed catalyst system, composed of a first hydrogenating bed of Re/gamma-Al2O3 or W/gamma-Al2O3, over a second bed of Ni-Re/gamma-Al2O3 (HDN bed). Using potentiometric methods, it can be seen that the Re/gamma-Al2O3 shows higher acidic strength than the W/gamma-Al2O3. The results show that higher activity levels are obtained working with stacked bed systems compared to the separate catalysts. These results suggest that the incorporation of the catalyst Re/gamma-Al2O3 or W/gamma-Al2O3 beds would favour the formation of hydrogenated intermediary products, facilitating the removal of N-containing molecules via HDN on the Ni-Re/gamma-Al2O3 catalyst.</t>
  </si>
  <si>
    <t>Camu, Esteban/AAI-9191-2020</t>
  </si>
  <si>
    <t>Baeza Chandia, Patricio/0000-0003-1613-2860; Camu, Esteban/0000-0003-0973-9453</t>
  </si>
  <si>
    <t>10.4067/S0717-97072015000200015</t>
  </si>
  <si>
    <t>WOS:000361545700015</t>
  </si>
  <si>
    <t>Pereda, J; Sulz, L; Monge, JI</t>
  </si>
  <si>
    <t>Pereda, Jaime; Sulz, Lorena; Monge, Juan I.</t>
  </si>
  <si>
    <t>The role of the gastrointestinal epithelium as a possible pathway for the transfer of nutrients to the embryo's circulation</t>
  </si>
  <si>
    <t>MICROSCOPY RESEARCH AND TECHNIQUE</t>
  </si>
  <si>
    <t>The endodermal cells of the human yolk sac (YS) produce non-nucleated erythrocytes (NNEs) and numerous serum proteins that are transiently storage within the YS cavity. After their transfer via the vitelline duct to the embryo gastrointestinal lumen, the nutrients' final fate is unknown. With the aim of investigate how erythroid cells and nutrients are conveyed to embryo circulation, we studied, using a morphological and immunohistochemical approach, the embryo anatomy and the serum protein -fetoprotein (AFP) presence, in 15 human embryos and their YS, collected from tubal pregnancies from 4 to 8 wpf. We observed at 5 wpf, a strong AFP staining in the endodermal cells of the YS, thereafter AFP was only present in the YS cavity and the gastrointestinal lumen. During 7 wpf, AFP expression declined and disappeared, concomitant with YS regression. Between 5 and 7 wpf, NNEs were observed in the gastrointestinal cavity, where they accumulate in the stomach. Here, the cells were attached to the endodermal epithelial cells or were free in the lumen. By scanning electron microscopy, we identified signs of NNEs phagocytized by endodermal cells. Those NNEs free in the lumen, after hemolysis, were probably removed by endocytosis (cell debris). Taking all together, we postulate that after reaching the endodermal epithelial cells of the stomach, nutrients are transferred to the embryo by a phagocytic/endocytic mechanism that is operative until the end of 6 wpf. After absorption, NNEs are probably degraded within phagosomes, nutrients delivered to the cell cytoplasm and then transported towards the embryonic circulation. Microsc. Res. Tech. 78:500-507, 2015. (c) 2015 Wiley Periodicals, Inc.</t>
  </si>
  <si>
    <t>1059-910X</t>
  </si>
  <si>
    <t>1097-0029</t>
  </si>
  <si>
    <t>10.1002/jemt.22501</t>
  </si>
  <si>
    <t>WOS:000355232000010</t>
  </si>
  <si>
    <t>Huiliñir, C; Montalvo, S; Guerrero, L</t>
  </si>
  <si>
    <t>Huilinir, Cesar; Montalvo, Silvio; Guerrero, Lorna</t>
  </si>
  <si>
    <t>Biodegradability and methane production from secondary paper and pulp sludge: effect of fly ash and modeling</t>
  </si>
  <si>
    <t>WATER SCIENCE AND TECHNOLOGY</t>
  </si>
  <si>
    <t>The effect of fly ash on biodegradability and methane production from secondary paper and pulp sludge, including its modeling, was evaluated. Three tests with fly ash concentrations of 0, 10 and 20 mg/L were evaluated at 32 degrees C. Methane production was modeled using the modified Gompertz equation. The results show that the doses used produce a statistically significant increase of accumulated methane, giving values greater than 225 mL of CH4 per gram of volatile solids (VS) added, and 135% greater than that obtained in the control assay. Biodegradability of VS increased 143% with respect to the control assays, giving values around 43%. The modified Gompertz model can describe well methane generation from residual sludge of the paper industry water treatment, with parameter values between those reported in the literature. Thus, the addition of fly ash to the process causes a significant increase of accumulated methane and VS removal, improving the biodegradability of paper and pulp sludge.</t>
  </si>
  <si>
    <t>Huilinir, Cesar/IYS-6899-2023</t>
  </si>
  <si>
    <t>Huilinir, Cesar/0000-0002-3487-684X</t>
  </si>
  <si>
    <t>0273-1223</t>
  </si>
  <si>
    <t>1996-9732</t>
  </si>
  <si>
    <t>10.2166/wst.2015.210</t>
  </si>
  <si>
    <t>WOS:000358048500008</t>
  </si>
  <si>
    <t>Bazán, JL; Romeo, JS; Rodrigues, J</t>
  </si>
  <si>
    <t>Bazan, Jorge L.; Romeo, Jose S.; Rodrigues, Josemar</t>
  </si>
  <si>
    <t>Bayesian skew-probit regression for binary response data</t>
  </si>
  <si>
    <t>BRAZILIAN JOURNAL OF PROBABILITY AND STATISTICS</t>
  </si>
  <si>
    <t>Since many authors have emphasized the need of asymmetric link functions to fit binary regression models, we propose in this work two new skew-probit link functions for the binary response variables. These link functions will be named power probit and reciprocal power probit due to the relation between them including the probit link as a special case. Also, the probit regressions are special cases of the models considered in this work. A Bayesian inference approach using MCMC is developed for real data suggesting that the link functions proposed here are more appropriate than other link functions used in the literature. In addition, simulation study show that the use of probit model will lead to biased estimate of the regression coefficient.</t>
  </si>
  <si>
    <t>Romeo, Jose/J-6496-2019; Rodrigues, Josemar/IUN-7069-2023; Bazan Guzman, Jorge Luis/D-7849-2015</t>
  </si>
  <si>
    <t>Romeo, Jose/0000-0002-6707-3429; Bazan Guzman, Jorge Luis/0000-0003-3918-8795; Rodrigues, Josemar/0000-0002-0666-6431</t>
  </si>
  <si>
    <t>0103-0752</t>
  </si>
  <si>
    <t>10.1214/13-BJPS218</t>
  </si>
  <si>
    <t>WOS:000340320000002</t>
  </si>
  <si>
    <t>Santander, R; Creixell, W; Sánchez, E; Tomic, G; Silva, JR; Acevedo, CA</t>
  </si>
  <si>
    <t>Santander, Rocio; Creixell, Werner; Sanchez, Elizabeth; Tomic, Gerda; Silva, Jose R.; Acevedo, Cristian A.</t>
  </si>
  <si>
    <t>Recognizing Age at Slaughter of Cattle from Beef Samples Using GC/MS-SPME Chromatographic Method</t>
  </si>
  <si>
    <t>FOOD AND BIOPROCESS TECHNOLOGY</t>
  </si>
  <si>
    <t>Beef from cattle less than 30 months old at the point of slaughter are generally sold in meat markets. Though the age of the animal can generally be estimated by dentition, this method cannot be applied to a carcass or a piece of meat from which the teeth have been removed. Since gas chromatography of volatile organic compounds has been used to classify biological samples, this technique was used for classifying meat obtained from cattle aged over 30 months (OTM) at point of slaughter. Volatile organic compounds of fresh meat (M. longissimus dorsi) samples obtained from cattle of different age and dentition (two, four, and six teeth) at point of slaughter were analyzed using gas chromatography/mass spectrum (GC/MS). Six volatile organic compounds were selected (hexanoic acid, benzoic acid, octanoid acid, tridecane, tetradecane, and 4-formylbenzoic acid) and confirmed by using chemical standards and Kovat's indexes. The chromatogram data were used to train two classifiers, one based on the partial least square (PLS) method and another based on support vector machine (SVM), but only SVM showed high accuracy. Data exploration based on the principal component analysis allowed for comprehension of the data distribution, proposing a new version of PLS in a parallel configuration. This modified version of the PLS algorithm showed better accuracy than the SVM classifier. In conclusion, volatile organic compounds analyzed by GC/MS-solid-phase microextraction can be used to recognize OTM beef.</t>
  </si>
  <si>
    <t>Santander, Rocio/K-7645-2013; Creixell, Werner/AAP-9544-2021; Acevedo, Cristian/D-5133-2011</t>
  </si>
  <si>
    <t>Creixell, Werner/0000-0002-6647-6429</t>
  </si>
  <si>
    <t>1935-5130</t>
  </si>
  <si>
    <t>1935-5149</t>
  </si>
  <si>
    <t>10.1007/s11947-012-0998-z</t>
  </si>
  <si>
    <t>WOS:000325869900006</t>
  </si>
  <si>
    <t>Zamora, P; Rasmussen, S; Pardo, A; Prieto, H; Zúñiga, GE</t>
  </si>
  <si>
    <t>Zamora, Pablo; Rasmussen, Susana; Pardo, Ariel; Prieto, Humberto; Zuniga, Gustavo E.</t>
  </si>
  <si>
    <t>Antioxidant responses of in vitro shoots of Deschampsia antarctica to polyethylene glycol treatment</t>
  </si>
  <si>
    <t>To understand the adaptability to environmental stresses by Deschampsia antarctica, one of the two vascular plants growing in Antarctica, we analysed the activity of several antioxidant enzymes, including peroxidase (POD, EC 1.11.1.7), ascorbate peroxidase (APX, EC 1.11.1.11), catalase (CAT, EC 1.11.1.6)) and glutathion reductase (GR, EC 1.6.4.2), in shoots subjected to drought stress (PEG-8000, -0.3 MPa). Additionally, levels of total phenolic compounds, flavonoids and ascorbate, were determined. The content of malondialdehyde (MDA), chlorophyll and hydrogen peroxide did not change as a result of PEG-8000 treatment. In addition, treated plants showed higher enzymatic activity of CAT, POD and GR in shoots than control plants. In addition, a high capacity to scavenge free radicals was also detected in stressed plants. These results seem to indicate that in D. antarctica tolerance of drought stress is associated with enhanced activity of antioxidant enzymes and free radical scavenging capacity.</t>
  </si>
  <si>
    <t>Zamora, Pablo/D-1612-2012; Zuñiga, Gustavo/P-8306-2015; Prieto, H./B-4400-2008</t>
  </si>
  <si>
    <t>Zuniga, Gustavo/0000-0002-8286-9468; Prieto, Humberto/0000-0002-9013-1906</t>
  </si>
  <si>
    <t>10.1017/S0954102009990733</t>
  </si>
  <si>
    <t>WOS:000276869200008</t>
  </si>
  <si>
    <t>Medina, W; Skurtys, O; Aguilera, JM</t>
  </si>
  <si>
    <t>Medina, W.; Skurtys, O.; Aguilera, J. M.</t>
  </si>
  <si>
    <t>Study on image analysis application for identification Quinoa seeds (Chenopodium quinoa Willd) geographical provenance</t>
  </si>
  <si>
    <t>In quality control procedures of biological materials, the geographical provenance is an important information to know. Image analysis is an accessible method that can provide this data. In this work, the geographical provenance of 25 varieties of quinoa seeds, cultivated in Europe and South America was identified from 38 averaged measurements as geometric dimensions, morphological features, fractal dimensions and color features. Principal component analysis (PCA) and hierarchical cluster analysis carried out with all of data allowed to distinguish the five varieties cultivated in Europe. They were located in one sector of the tridimensional PCA scatter plot, where 75% of the variability are expressed, and in one cluster of the UPGMA dendrogram with a cophenetic correlation coefficient of 0.7. (C) 2009 Elsevier Ltd. All rights reserved.</t>
  </si>
  <si>
    <t>Medina, Wenceslao/JMQ-3425-2023; skurtys, olivier/HNS-4835-2023; Aguilera, Jose/D-1383-2014</t>
  </si>
  <si>
    <t>skurtys, olivier/0000-0003-1432-7242; Aguilera, Jose Miguel/0000-0001-5754-2722; Medina, Wenceslao Teddy/0000-0002-4064-2652</t>
  </si>
  <si>
    <t>10.1016/j.lwt.2009.07.010</t>
  </si>
  <si>
    <t>WOS:000272198400007</t>
  </si>
  <si>
    <t>Henríquez, HR; Pierri, M; Táboas, P</t>
  </si>
  <si>
    <t>Henriquez, Hernan R.; Pierri, Michelle; Taboas, Placido</t>
  </si>
  <si>
    <t>EXISTENCE OF S-ASYMPTOTICALLY ω-PERIODIC SOLUTIONS FOR ABSTRACT NEUTRAL EQUATIONS</t>
  </si>
  <si>
    <t>BULLETIN OF THE AUSTRALIAN MATHEMATICAL SOCIETY</t>
  </si>
  <si>
    <t>A bounded continuous function it u : [0, infinity) -&gt; X is said to be S-asymptotically omega-periodic if lim(t -&gt;infinity)[u(t + omega) - u(t)] = 0. This paper is devoted to study the existence and qualitative properties of S-asymptotically omega-periodic mild solutions for some classes of abstract neutral functional differential equations with infinite delay, Furthermore, applications to partial differential equations are given.</t>
  </si>
  <si>
    <t>Pierri, Michelle/I-6440-2012</t>
  </si>
  <si>
    <t>0004-9727</t>
  </si>
  <si>
    <t>1755-1633</t>
  </si>
  <si>
    <t>10.1017/S0004972708000713</t>
  </si>
  <si>
    <t>WOS:000263583200003</t>
  </si>
  <si>
    <t>de la Garza, M; Artigas, A; Monsalve, A; Colás, R</t>
  </si>
  <si>
    <t>de la Garza, Maribel; Artigas, Alfredo; Monsalve, Alberto; Colas, Rafael</t>
  </si>
  <si>
    <t>Modelling the spalling of oxide scales during hot rolling of steel strip</t>
  </si>
  <si>
    <t>OXIDATION OF METALS</t>
  </si>
  <si>
    <t>Production of hot rolled steel strip is carried out at temperatures at which oxidation is prone to occur. The oxide crust is subjected to stresses that are originated while growing or are due to the difference between the thermal expansion coefficients of steel and oxide. It is considered that the oxide crust will be in tension when the temperature at the surface of the steel increases and in compression when it decreases. These stresses may cause cracking, buckling and spalling of the oxide. Oxidation to hematite occurs very rapidly once the crust is detached from the surface of the steel, and, in some cases oxide dust clouds will be formed. A model was developed to predict the magnitude and nature of the stresses within the oxide layer considering the temperature changes that take place while the material is being rolled. The model predicts that the oxide crust will deform when compressed and may cause its spalling and, once this occurs it will be expected to form oxide dust clouds.</t>
  </si>
  <si>
    <t>Monsalve, Alberto/0000-0002-5772-8815; Colas, Rafael/0000-0001-6017-7244</t>
  </si>
  <si>
    <t>0030-770X</t>
  </si>
  <si>
    <t>3-4</t>
  </si>
  <si>
    <t>10.1007/s11085-008-9107-0</t>
  </si>
  <si>
    <t>WOS:000258456500002</t>
  </si>
  <si>
    <t>Vallejo, G; Cuesta, M; Fernández, P; Herrero, J; Livacic-Rojas, P</t>
  </si>
  <si>
    <t>Vallejo, Guillermo; Cuesta, Marcelino; Fernandez, Paula; Herrero, Javier; Livacic-Rojas, Pablo</t>
  </si>
  <si>
    <t>Comparative examination of the sensitivity of two robust approaches to detect the effects of a doubly multivariate design</t>
  </si>
  <si>
    <t>REVISTA MEXICANA DE PSICOLOGIA</t>
  </si>
  <si>
    <t>The present study compared the sensitivity of 2 analytical tests to detect effects in a multivariate between-x within-subjects designs containing multiple outcome variables when multivariate normality and covariance heterogeneity assumptions were violated. The tests were the SAS(R) Proc Mixed and the multivariate extension of the modified Brown-Forsythe procedure. Vallejo, Arnau and Ato (2007) had previously computed Type I error rates for these tests and found them to be comparable in the frequency of Type I errors. The present simulations found that neither method was uniformly more powerful, in spite of the apparent theoretical superiority of the multivariate mixed model.</t>
  </si>
  <si>
    <t>Vallejo, Guillermo/B-8233-2011; Cuesta, Marcelino/AAP-4347-2020; Fernandez, Paula/I-1881-2015; Cuesta, Marcelino/L-3705-2014</t>
  </si>
  <si>
    <t>Guillermo, Vallejo/0000-0001-6569-9279; Vallejo, Guillermo/0000-0002-8010-6854; Fernandez, Paula/0000-0003-0140-7702; Cuesta, Marcelino/0000-0002-1060-9536</t>
  </si>
  <si>
    <t>0185-6073</t>
  </si>
  <si>
    <t>WOS:000246895100007</t>
  </si>
  <si>
    <t>Zapata, M; Silva, F; Luza, Y; Wilkens, M; Riquelme, C</t>
  </si>
  <si>
    <t>Zapata, Manuel; Silva, Fernando; Luza, Yery; Wilkens, Marcela; Riquelme, Carlos</t>
  </si>
  <si>
    <t>The inhibitory effect of biofilms produced by wild bacterial isolates to the larval settlement of the fouling ascidia Ciona intestinalis and Pyura praeputialis</t>
  </si>
  <si>
    <t>Marine biofouling is a present and potentially increasing future problem at molluscan culture centres. The problem is highly variable, exists on different scales, and its negative impact on cultured organisms and related economic losses at these centres has not been significantly controlled. One approach to fouling control has been the incorporation of natural substances into anti-fouling paints which inhibit the settlement of common fouling organisms. The main objective of the present study was the isolation of naturally occurring substances from marine bacteria which were inhibitory to the settlement of Ciona intestinalis and Pyura praeputialis, two tunicate species causing serious fouling problems in scallop culture systems in Chile. Numerous bacterial strains were isolated from microfouling on natural and artificial substrates submerged in the sea; of 73 strains isolated, 20% demonstrated inhibitory effects on the settlement of the larvae of the above cited tunicates. The inhibitory substances produced by the active bacteria were extracellular, and could be incorporated in an inert matrix (Phytagel (TM)) without losing their inhibitory properties. Some properties of the inhibitory substance isolated from bacterial strain Clon Nil-LEM (Alteromonas sp) included thermostability, MW &lt; 3500 Da, peptidase lability (against C. intestinalis), and undiminished inhibitory activity when incorporated in the inert matrix.</t>
  </si>
  <si>
    <t>Silva, Fernando/A-7660-2019; Riquelme, Carlos/GQH-4442-2022; Wilkens, Marcela/G-5928-2019</t>
  </si>
  <si>
    <t>JAN 15</t>
  </si>
  <si>
    <t>10.2225/vol10-issue1-fulltext-6</t>
  </si>
  <si>
    <t>WOS:000248639200014</t>
  </si>
  <si>
    <t>Ontiveros, B; Soto, I; Carrasco, R</t>
  </si>
  <si>
    <t>Ontiveros, B.; Soto, I.; Carrasco, R.</t>
  </si>
  <si>
    <t>Construction of an elliptic curve over finite fields to combine with convolutional code for cryptography</t>
  </si>
  <si>
    <t>IEE PROCEEDINGS-CIRCUITS DEVICES AND SYSTEMS</t>
  </si>
  <si>
    <t>4th International Symposium on Communication Systems, Networks and DSP</t>
  </si>
  <si>
    <t>JUL, 2004</t>
  </si>
  <si>
    <t>Univ Newcastle upon Tyne, Newcastle upon Tyne, ENGLAND</t>
  </si>
  <si>
    <t>Univ Newcastle upon Tyne</t>
  </si>
  <si>
    <t>The construction of an efficient cryptographic system, based on the combination of the ElGamal elliptic curve algorithm and convolutional codes using the Viterbi decoding algorithm over the Gaussian channel, is proposed. The originality is based on the construction of the mapping of encryption and coding at the channel level and the constraints imposed on the construction of the elliptic curve. When using elliptic curves and codes for cryptography it is necessary to construct elliptic curves with a given or known number of points over a given finite field with a range of constraint lengths, in order to represent the input alphabet and produce channel gain, respectively. The results show that the benefit of coding with encryption increases the security and coding gain and reduces the expansion factor, but at the expense of higher complexity.</t>
  </si>
  <si>
    <t>1350-2409</t>
  </si>
  <si>
    <t>10.1049/ip-cds:20050117</t>
  </si>
  <si>
    <t>WOS:000240610600003</t>
  </si>
  <si>
    <t>León, K; Mery, D; Pedreschi, F; León, J</t>
  </si>
  <si>
    <t>Leon, Katherine; Mery, Domingo; Pedreschi, Franco; Leon, Jorge</t>
  </si>
  <si>
    <t>Color measurement in L*a*b* units from RGB digital images</t>
  </si>
  <si>
    <t>FOOD RESEARCH INTERNATIONAL</t>
  </si>
  <si>
    <t>The superficial appearance and color of food are the first parameters of quality evaluated by consumers, and are thus critical factors for acceptance of the food item by the consumer. Although there are different color spaces, the most used of these in the measuring of color in food is the L*a*b* color space due to the uniform distribution of colors, and because it is very close to human perception of color. In order to carry out a digital image analysis in food, it is necessary to know the color measure of each pixel on the surface of the food item. However, there are at present no commercial L*17*b* color measures in pixels available because the existing commercial colorimeters generally measure small, non-representative areas of a few square centimeters. Given that RGB digital cameras obtain information in pixels, this article presents a computational solution that allows the obtaining of digital images in L*a*b* color units for each pixel of the digital RGB image. This investigation presents five models for the RGB -&gt; L*a*b* conversion and these are: linear, quadratic, gamma, direct, and neural network. Additionally, a method is suggested for estimating the parameters of the models based on a minimization of the mean absolute error between the color measurements obtained by the models, and by a commercial colorimeter for uniform and homogenous surfaces. In the evaluation of the performance of the models, the neural network model stands out with an error of only 0.93%. On the basis of the construction of these models, it is possible to find a L*a*b* color measuring system that is appropriate for an accurate, exacting and detailed characterization of a food item, thus improving quality control and providing a highly useful tool for the food industry based on a color digital camera. (c) 2006 Elsevier Ltd. All rights reserved.</t>
  </si>
  <si>
    <t>pedreschi, franco/F-8844-2013; Mery, Domingo/D-1385-2014</t>
  </si>
  <si>
    <t>Mery, Domingo/0000-0003-4748-3882</t>
  </si>
  <si>
    <t>0963-9969</t>
  </si>
  <si>
    <t>1873-7145</t>
  </si>
  <si>
    <t>10.1016/j.foodres.2006.03.006</t>
  </si>
  <si>
    <t>WOS:000242540600006</t>
  </si>
  <si>
    <t>Henríquez, HR; Navarro, HS; Aguayo, GJ</t>
  </si>
  <si>
    <t>Closed linear operators between nonarchimedean Banach spaces</t>
  </si>
  <si>
    <t>INDAGATIONES MATHEMATICAE-NEW SERIES</t>
  </si>
  <si>
    <t>In this work we establish some basic properties of closed linear operators between nonarchimedean Banach spaces. As a consequence, we characterize the operators with closed range, and we establish the state diagram for closed linear operators when the underlying spaces satisfy a Hahn-Banach property.</t>
  </si>
  <si>
    <t>Socas-Navarro, Hector/AAE-5090-2019</t>
  </si>
  <si>
    <t>0019-3577</t>
  </si>
  <si>
    <t>1872-6100</t>
  </si>
  <si>
    <t>JUN 20</t>
  </si>
  <si>
    <t>10.1016/S0019-3577(05)80023-0</t>
  </si>
  <si>
    <t>WOS:000230801000005</t>
  </si>
  <si>
    <t>Mery, D; Pedreschi, F</t>
  </si>
  <si>
    <t>Segmentation of colour food images using a robust algorithm</t>
  </si>
  <si>
    <t>In this paper, a robust algorithm to segmenting food image from a background is presented using colour images. The proposed method has three steps: (i) computation of a high contrast grey value image from an optimal linear combination of the RGB colour components; (ii) estimation of a global threshold using a statistical approach; and (iii) morphological operation in order to fill the possible holes presented in the segmented binary image. Although the suggested threshold separates the food image from the background very well, the user can modify it in order to achieve better results. The algorithm was implemented in Matlab and tested on 45 images taken in very different conditions. The segmentation performance was assessed by computing the area A(z) under the receiver operation characteristic (ROC) curve. The achieved performance was A(z) = 0.9982. (C) 2004 Elsevier Ltd. All rights reserved.</t>
  </si>
  <si>
    <t>10.1016/j.jfoodeng.2004.04.001</t>
  </si>
  <si>
    <t>WOS:000224938200010</t>
  </si>
  <si>
    <t>Sierra, JC; Ortega, V; Martín-Ortiz, JD; Vera-Villarroel, P</t>
  </si>
  <si>
    <t>Psychometric properties of Wilson's Sex Fantasy Questionnaire</t>
  </si>
  <si>
    <t>Sex fantasies play an important role in human sexuality, making clear the need to assess instruments 0 with enough psychometric guarantees. Reliability and validity of Wilson's Sex Fantasy Questionnaire were assessed in a Spanish population. The scale includes four fantasy factors: exploratory, intimate,, impersonal, and sadomasoquistic, and was administered, along with LoPiccolo and Steger's Sexual Interaction Inventory, to a sample of 460 subject's (370 women and 90 men). The internal consistency analysis provided a Cronbach's 0 alpha of .90 for the total scale; values for the four subscales ranged from .66 to .79, the impersonal sex fantasy category showing the smallest homogeneity. Factor analysis only partially supported the scale's original structure and identified impersonal and sadomasoquistic factors as problematic. Nevertheless, the scale showed an adequate convergent validity with the scores in desired sexual behavior obtained with LoPiccolo and Steger's inventory, and significant differences were shown in the type of sex fantasies between men and women and between individuals with or without a partner. Findings indicate this is a useful instrument to study human sexuality.</t>
  </si>
  <si>
    <t>Ortega, Virgilio/P-5586-2015; Vera-Villarroel, Pablo/A-1134-2011; Sierra, Juan Carlos/G-3044-2010</t>
  </si>
  <si>
    <t>Vera-Villarroel, Pablo/0000-0001-9187-8414; Sierra, Juan Carlos/0000-0002-5593-9803; Ortega, Virgilio/0000-0001-5722-5030</t>
  </si>
  <si>
    <t>WOS:000221807300004</t>
  </si>
  <si>
    <t>Riquelme, MA; Isaacs, M; Lucero, M; Trollund, E; Aguirre, MJ</t>
  </si>
  <si>
    <t>Electrocatalytic reduction of carbon dioxide at polymeric cobalt tetra (3-amino (phenyl) porphyrin glassy carbon-modified electrodes</t>
  </si>
  <si>
    <t>Electrocatalytic carbon dioxide reduction was studied in aqueous media on glassy carbon electrode coated with polymeric Co-tetra-3-aminophenylporphyrin. The polymeric complex-modified electrode catalyses the carbon dioxide reduction to carbon monoxide and formic acid. The monomeric system does not catalyze the reduction probably because it is not stable. The polymer, instead, presents higher activity at lower potentials and loses its activity only after more than four hours of electrolysis at constant potential. The redox couple responsible for the catalysis is Co(II)/Co(I). Kinetic electro-reduction parameters for the polymer-modified electrode were obtained and a probable mechanism operating in aqueous media containing sodium perchlorate as electrolyte is proposed.</t>
  </si>
  <si>
    <t>Aguirre, Maria/A-3935-2013; Isaacs, Mauricio/N-3027-2013</t>
  </si>
  <si>
    <t>Isaacs Casanova, Mauricio/0000-0003-0503-0949; Aguirre, Maria/0000-0003-1134-4469</t>
  </si>
  <si>
    <t>WOS:000183467400016</t>
  </si>
  <si>
    <t>Ruiz, C; Monroy, T; Montaña, N; Lora, P; Lamich, R; Valderrama, A</t>
  </si>
  <si>
    <t>Bone marrow aplasia associated to the use of ticlopidine.: Report of one case</t>
  </si>
  <si>
    <t>We report a 58 years old male that developed a bone marrow aplasia associated to the use of ticlopidine, prescribed after coronary artery stunting. The patient developed a pneumonia as a complication. He teas admitted to the Intermediate Treatment Unit, receiving wide spectrum antimicrobial therapy and a granulocyte colony stimulating factor (Neupogen(r)) with favourable response. Ticlodipine Is art effective antiplatelet agent, but has serious hematological and other side effects. Its prescription requires a close follow up and search for complications.</t>
  </si>
  <si>
    <t>Ruiz B., Carolina/GZG-4590-2022</t>
  </si>
  <si>
    <t>Ruiz Balart, Carolina/0000-0001-6691-7274</t>
  </si>
  <si>
    <t>WOS:000177693300013</t>
  </si>
  <si>
    <t>Herde, O; Peña-Cortés, H; Fuss, H; Willmitzer, L; Fisahn, J</t>
  </si>
  <si>
    <t>Effects of mechanical wounding, current application and heat treatment on chlorophyll fluorescence and pigment composition in tomato plants</t>
  </si>
  <si>
    <t>PHYSIOLOGIA PLANTARUM</t>
  </si>
  <si>
    <t>Chlorophyll fluorescence quenching parameters and pigment content of wild-type tomato plants (Lycopersicon esculentum Mill. cv. Moneymaker) mere analyzed upon mechanical mounding, current application and heat treatment. Upon all stimuli the non-photochemical quenching increased significantly in local and systemic tissue. Vice versa, the photochemical quenching decreased. Total chlorophyll content remained almost constant, zeaxanthin content increased 5-6-fold, antheraxanthin content rose also, violaxanthin and neoxanthin on the other hand decreased significantly. These data indicate a similarity of processes on the level of photosynthesis and pigment composition that are induced by light-stress and those induced by mechanical mounding, current application and heat treatment, which all lead to an inhibition of photosynthesis.</t>
  </si>
  <si>
    <t>Willmitzer, Lothar/F-7377-2011; Peña-Cortes, Hugo/A-2758-2012</t>
  </si>
  <si>
    <t>0031-9317</t>
  </si>
  <si>
    <t>10.1034/j.1399-3054.1999.105126.x</t>
  </si>
  <si>
    <t>WOS:000079282400025</t>
  </si>
  <si>
    <t>Cifuentes, G; Cifuentes, L; Crisostomo, G</t>
  </si>
  <si>
    <t>A lead-acid battery analogue to in situ anode degradation in copper electrometallurgy</t>
  </si>
  <si>
    <t>CORROSION SCIENCE</t>
  </si>
  <si>
    <t>When the applied current is interrupted in a copper electrowinning plant, lead anodes tend to corrode once the plant is back in operation. This work aims to show, both from theoretical considerations and experimental evidence, that this phenomenon may arise From the spontaneous coupling of the oxidation of metallic lead to lead (II) sulfate with the reduction of lead (IV) dioxide to lead (II) sulfate on the unenergized anodes. The process is similar to the one that takes place in an idle lead-acid battery. It is shown that, in the above conditions, the protective oxide layer on the anode takes between 5 and IO min to dissolve. Estimates are given for the rate of lead (IV) dioxide dissolution and lead sulfate Formation and conclusions are drawn for plant practice. (C) 1998 Elsevier Science Ltd. All rights reserved.</t>
  </si>
  <si>
    <t>Seves, Luis/I-1108-2013; Cifuentes, Gerardo/AAS-2148-2021</t>
  </si>
  <si>
    <t>0010-938X</t>
  </si>
  <si>
    <t>10.1016/S0010-938X(97)00122-4</t>
  </si>
  <si>
    <t>WOS:000074180000007</t>
  </si>
  <si>
    <t>Parada, V; Sepulveda, M; Solar, M; Gomes, A</t>
  </si>
  <si>
    <t>Solution for the constrained guillotine cutting problem by simulated annealing</t>
  </si>
  <si>
    <t>COMPUTERS &amp; OPERATIONS RESEARCH</t>
  </si>
  <si>
    <t>Since the Simulated Annealing method was identified as a useful tool for solving optimization problems, several applications have been made in order to study its performance in various problems. This method is especially adequate for problems in which, it is not possible to represent the whole domain of solutions through a set of algebraic equations. In this study the constrained two-dimensional cutting problem is formulated and solved. The formulation of this problem is based on the mapping of a cutting pattern on a binary tree, facilitating the random generation of neighbor solutions. A rigorous numerical analysis establishing the best set of parameters to salve any instance of the problem is accomplished. Further, we present a set of comparative results with other methods that also permit a solution to the problem. (C) 1997 Elsevier Science Ltd.</t>
  </si>
  <si>
    <t>Solar, Mauricio/AAE-9673-2020</t>
  </si>
  <si>
    <t>Solar, Mauricio/0000-0002-4433-4622</t>
  </si>
  <si>
    <t>0305-0548</t>
  </si>
  <si>
    <t>1873-765X</t>
  </si>
  <si>
    <t>10.1016/S0305-0548(97)00036-1</t>
  </si>
  <si>
    <t>WOS:A1998YJ56900004</t>
  </si>
  <si>
    <t>Rezende, MC; DallOglio, EL; Zucco, C</t>
  </si>
  <si>
    <t>Puzzling formation of bisimidazole derivatives from hexachloroacetone and diamines</t>
  </si>
  <si>
    <t>TETRAHEDRON LETTERS</t>
  </si>
  <si>
    <t>The reaction of hexachloroacetone with different diamines leads to formation of the bisimidazole derivatives 2, 3, and 4, a process which is facilitated by sonication of the reacting mixtures. Copyright (C) 1996 Elsevier Science Ltd</t>
  </si>
  <si>
    <t>Caroli, Marcos/H-3570-2019; Dall´Oglio, Evandro/S-1896-2019</t>
  </si>
  <si>
    <t>0040-4039</t>
  </si>
  <si>
    <t>JUL 22</t>
  </si>
  <si>
    <t>10.1016/0040-4039(96)01115-X</t>
  </si>
  <si>
    <t>WOS:A1996UZ67400012</t>
  </si>
  <si>
    <t>PAEZ, MA; THOMPSON, GE; AGUIRRE, MJ; BUSTOS, O; ZAGAL, J</t>
  </si>
  <si>
    <t>BARRIER-TYPE FILM GROWTH ON AN AL-CU ALLOY</t>
  </si>
  <si>
    <t>Anodizing of electropolished Al-4wt% Cu in a neutral electrolyte was studied by analytical transmission electron microscopy. Anodizing was performed in ammonium pentaborate solution at constant current densities. The results presented show that initially film formation on the aloy material occurs more efficiently than on superpure aluminium in terms of oxide growth rates. However, the film morphology reveals a high population density of flaws, which are associated with copper distribution in the original substrate. Copper is shown to be enriched at the metal-oxide interface as a consequence of the high vacancy binding energy in the alloy and the high inward difusion rate of the copper-vacancy cluster. Additionally, copper species, which are incorporated into the anodic film, have greater mobilities than aluminium ions under the field.</t>
  </si>
  <si>
    <t>zagal, jose/L-9648-2014; Paez, Maritza/M-2010-2014; Pappas, Georgios/F-7194-2014; Aguirre, Maria/A-3935-2013</t>
  </si>
  <si>
    <t>WOS:A1995RY08900016</t>
  </si>
  <si>
    <t>URZUA, A; TORRES, R; MUNOZ, M; PALACIOS, Y</t>
  </si>
  <si>
    <t>COMPARATIVE ANTIMICROBIAL STUDY OF THE RESINOUS EXUDATES OF SOME CHILEAN HAPLOPAPPUS (ASTERACEAE)</t>
  </si>
  <si>
    <t>JOURNAL OF ETHNOPHARMACOLOGY</t>
  </si>
  <si>
    <t>The antimicrobiol properties and preliminary chemical information of the resinous exudates from twigs and leaves of nine Haplopappus species from Chile: H. diplopappus; H. anthylloides; H. schumannii; H. cuneifolius, H. velutinus; H. uncinatus; H. multifolius, H. illinitus and H. foliosus are presented. The results show that those species of genus Haplopappus share similar antimicrobial activities although they differ dramatically in the chemical composition.</t>
  </si>
  <si>
    <t>0378-8741</t>
  </si>
  <si>
    <t>10.1016/0378-8741(94)01196-7</t>
  </si>
  <si>
    <t>WOS:A1995QD70900009</t>
  </si>
  <si>
    <t>HENRIQUEZ, M; LISSI, E; ABUIN, E; CIFERRI, A</t>
  </si>
  <si>
    <t>ASSEMBLY OF AMPHIPHILIC COMPOUNDS AND RIGID POLYMERS .1. INTERACTION OF SODIUM DODECYL-SULFATE WITH COLLAGEN</t>
  </si>
  <si>
    <t>MACROMOLECULES</t>
  </si>
  <si>
    <t>To elucidate the role of fixed charge and chain rigidity on the assembly of amphiphilic compounds over a polymer substrate, we studied the interaction between sodium dodecyl sulfate (SDS) and crystalline or soluble collagen. Shrinkage temperatures and the equilibrium degree of swelling were measured for crosslinked tendons under isoelectric (pH = 6.0) conditions or in acid (pH = 2.5) solutions. Viscosities and solubilities were measured for soluble collagen to construct pseudo phase diagrams delimiting the field of stability of the helical, random coiled, and crystalline forms. Under isoelectric conditions, increasing concentrations of SDS (up to similar or equal to 0.1 M) cause a depression of transformation temperatures which is much larger than that observed with salts, with aliphatic alcohols, or with sodium methyl sulfate. This is attributed to the prevailing hydrophobic interaction of the surfactant with the random coiled form of collagen, as evidenced by adsorption of the surfactant onto the higly swollen, denatured tendon. The cooperativity of the binding process at pH = 6.0 confirms that peculiar micelle-like assemblies are formed by SDS within the disordered random coiled network. Under nonisoelectric conditions the transition temperature is not much affected by conformation. SDS brings about a dramatic collapse of the lateral dimension of tendons at pH = 2.5, as well as precipitation of soluble collagen, even at very low concentrations, revealing a cooperative phenomenon leading to an increased interhelix interaction. The extent of adsorption of the surfactant over the protein, considerably larger at this pH, emphasizes the strength of electrostatic interaction enhanced by the hydrophobic tail of the surfactant. However, poor cooperativity is shown by the binding data at pH 2.5, suggesting that ordered assembly of cylindrical micelle-like aggregates is prevented by the low charge density of collagen. Tendons at low pH might be described as highly swollen oriented liquid crystalline networks and may undergo a phase transition to the crystalline state as a result of the strong binding between fixed charges and dodecyl sulfate ions.</t>
  </si>
  <si>
    <t>0024-9297</t>
  </si>
  <si>
    <t>10.1021/ma00101a023</t>
  </si>
  <si>
    <t>WOS:A1994PQ78300023</t>
  </si>
  <si>
    <t>AGUIRRE, MJ; LISSI, EA; OLEA, AF</t>
  </si>
  <si>
    <t>DEACTIVATION OF EXCITED SINGLET AROMATIC-HYDROCARBONS BY METALLIC-IONS IN ETHANOL WATER SOLUTION</t>
  </si>
  <si>
    <t>JOURNAL OF PHOTOCHEMISTRY</t>
  </si>
  <si>
    <t>Aguirre, Maria/A-3935-2013; Olea, Andres/AAF-6955-2019</t>
  </si>
  <si>
    <t>Olea, Andres/0000-0001-8007-6264; Aguirre, Maria/0000-0003-1134-4469</t>
  </si>
  <si>
    <t>0047-2670</t>
  </si>
  <si>
    <t>10.1016/0047-2670(87)87074-0</t>
  </si>
  <si>
    <t>WOS:A1987F873600005</t>
  </si>
  <si>
    <t>CORREA, R; SEEGER, A</t>
  </si>
  <si>
    <t>DIRECTIONAL DERIVATIVE OF A MINIMAX FUNCTION</t>
  </si>
  <si>
    <t>NONLINEAR ANALYSIS-THEORY METHODS &amp; APPLICATIONS</t>
  </si>
  <si>
    <t>0362-546X</t>
  </si>
  <si>
    <t>10.1016/0362-546X(85)90049-5</t>
  </si>
  <si>
    <t>WOS:A1985ACM7100002</t>
  </si>
  <si>
    <t>ABUIN, EA; LISSI, EA; GARGALLO, L; RADIC, D</t>
  </si>
  <si>
    <t>SOLVENT DEPENDENT PHOTOPHYSICAL BEHAVIOR OF POLY(1-NAPHTHYL METHACRYLATE)</t>
  </si>
  <si>
    <t>EUROPEAN POLYMER JOURNAL</t>
  </si>
  <si>
    <t>0014-3057</t>
  </si>
  <si>
    <t>10.1016/0014-3057(79)90156-3</t>
  </si>
  <si>
    <t>WOS:A1979GT84300010</t>
  </si>
  <si>
    <t>Carvajal, MA; Quiroz, M; Alaniz, AJ; Vergara, PM; Valenzuela-Aguayo, F; Hidalgo-Corrotea, C</t>
  </si>
  <si>
    <t>Carvajal, Mario A.; Quiroz, Madelaine; Alaniz, Alberto J.; Vergara, Pablo M.; Valenzuela-Aguayo, Francisca; Hidalgo-Corrotea, Claudia</t>
  </si>
  <si>
    <t>The global land-water-climate nexus of drought-tolerant succulent plants for bioenergy in abandoned croplands and arid marginal lands</t>
  </si>
  <si>
    <t>JOURNAL OF ENVIRONMENTAL MANAGEMENT</t>
  </si>
  <si>
    <t>Bioenergy is considered among the main mitigation strategies to meet a green-growth development paradigm of 1.5 degrees C. However, climate change has been dramatically restructuring agriculture and damaging crops, threatening the achievement of global food security and bioenergy goals. Studies have shown that succulent plants through their water efficient and highly temperature-drought-tolerant Crassulacean Acid Metabolism (CAM) pathway, could be a key opportunity to meet future energy demands under global change scenarios. However, specific bioenergy potentials under alternative management conditions, irrigation, and land availability that minimize resource conflicts with food production, biodiversity transgressions, or water withdrawals in water scarce regions, remain unclear. Here, we estimate under a bottom-up approach the global bioenergy potentials of four relevant CAM species on recently abandoned croplands and arid marginal lands, unravelling the interdependencies between land availability, water requirements and climatic conditions at the global scale. We identify a potential of 16-36 Ej yr- 1 (27-62% of current bioenergy demand) in abandoned croplands depending on local and management factors. Rainfed CAM potentials (16 Ej yr- 1) are comparable with the potentials of bioenergy crops such as miscanthus (19 Ej yr- 1) under similar environmental conditions. However, the water requirement of CAM species to reach this potential is 24-30% of what is expected for C3 and C4 bioenergy crops. Additionally, we identify a carbon sequestration potential via plant growth of -3.09 Pg C yr- 1 between 1960 and 2020, which reveals an underestimated opportunity in arid marginal lands. We highlight the remarkable contribution of the CAM pathway as a nature-based solution under global change scenarios.</t>
  </si>
  <si>
    <t>Carvajal, Mario/GYU-2659-2022; Quiroz, Madelaine/ACG-9162-2022; Vergara, Pablo/F-2519-2010; Alaniz, Alberto/J-3104-2019</t>
  </si>
  <si>
    <t>0301-4797</t>
  </si>
  <si>
    <t>1095-8630</t>
  </si>
  <si>
    <t>10.1016/j.jenvman.2025.124747</t>
  </si>
  <si>
    <t>MAR 2025</t>
  </si>
  <si>
    <t>WOS:001441988600001</t>
  </si>
  <si>
    <t>Villegas, C; Talón, E; Chiralt, A; Torres, A; Romero, J; Galotto, MJ; Guarda, A</t>
  </si>
  <si>
    <t>Villegas, Carolina; Talon, Emma; Chiralt, Amparo; Torres, Alejandra; Romero, Julio; Galotto, Maria Jose; Guarda, Abel</t>
  </si>
  <si>
    <t>Improving the Oxidative Stability of Sunflower Oil through Supercritical Impregnation-Assisted PLA/Cinnamaldehyde Active Packaging</t>
  </si>
  <si>
    <t>ACS FOOD SCIENCE &amp; TECHNOLOGY</t>
  </si>
  <si>
    <t>In the present study, the supercritical impregnation process using carbon dioxide (scCO2) was applied to incorporate the active compound cinnamaldehyde into PLA films, aiming to develop an innovative active food packaging solution. This approach leverages the unique properties of scCO2 to achieve efficient incorporation of bioactive compounds. Impregnation tests were performed at a pressure of 12 MPa, a constant temperature of 40 degrees C, and a controlled depressurization rate of 1 MPa min-1, ensuring optimal conditions for the process. The impact of the active compound incorporation via this cutting-edge technique on the oxygen and water vapor barrier properties of the films was thoroughly evaluated, revealing critical insights into material performance. In addition, the release kinetics of cinnamaldehyde in different food simulants were analyzed, and the partition (K PLA/SS) and diffusion (D Ci) coefficients were determined, providing a deeper understanding of compound migration behavior. The oxidative stability of sunflower oil under accelerated storage conditions was also assessed, demonstrating the efficacy of the impregnated films in preserving oil quality. Key findings include the observation that the impregnation process and the incorporation of cinnamaldehyde induced a notable decrease in barrier properties, attributed to the plasticizing effects of the active compound and scCO2. Furthermore, the highest release of cinnamaldehyde was observed in simulants with higher ethanol concentrations, emphasizing the interaction between the active films and food matrices. Finally, the impregnated films significantly enhanced the oxidative stability of sunflower oil, as evidenced by lower peroxide index values, conjugated dienes, and trienes compared to control samples. These results underscore the potential of supercritical impregnation as a sustainable and efficient technology for developing advanced active food packaging materials, offering improved functionality and extended shelf life for food products.</t>
  </si>
  <si>
    <t>Romero, Julio/I-6705-2013; Chiralt, Amparo/A-7362-2015</t>
  </si>
  <si>
    <t>Romero, Julio/0000-0002-1229-1592</t>
  </si>
  <si>
    <t>2692-1944</t>
  </si>
  <si>
    <t>JAN 8</t>
  </si>
  <si>
    <t>10.1021/acsfoodscitech.4c00821</t>
  </si>
  <si>
    <t>WOS:001392187200001</t>
  </si>
  <si>
    <t>Muenzenmayer, MA; Mendez, CA; Altamirano, AT; Espinosa, FV</t>
  </si>
  <si>
    <t>Muenzenmayer, Melisa A.; Mendez, Claudio A.; Altamirano, Antonio Tejeda; Espinosa, F. Victoria</t>
  </si>
  <si>
    <t>Risk Profile for Preventable Hospitalizations in Older Adults: Challenges for the Interoperability of Health Networks</t>
  </si>
  <si>
    <t>Health research teams routinely face difficulties processing clinical data to determine risk profiles in susceptible populations. Aim: Generate a risk profile of avoidable hospitalizations in older adult patients using integrated healthcare networks of the Southern Metropolitan Health Service (SSMS) of the Metropolitan Region of Chile from 2019-2021. Methods: The present research has a retrospective longitudinal descriptive design of anonymized clinical database records from four Family Health Centers and a high-complexity South Metropolitan Health Service (SMHS) hospital. The information available in TRACKCARE and RAYEN records for 2019-2021 was cleaned and filtered, considering only the ICD-10 diagnoses of interest. Demographic and clinical data analysis was performed with descriptive and inferential statistics using GraphPad Prism v5.0. Results: 57.2% of older adults are women with an average age of 74.2 +/- 7.2 (P= 0.0352). There is a different distribution profile of the FONASA section between men and women (P= 0.0002) even when 74% of the total sample is affiliated with FONASA-B. 62.7% have a single ICD-10 diagnosis, the majority being high blood pressure and heart failure (I10-I11), reaching 34% of diagnoses. Conclusions: Despite the evident lack of interoperability between the available clinical registry bases, it was possible to identify a sociodemographic and clinical profile of people aged 65 years and more prone to avoidable hospitalizations. This is through a process of collection and cleansing from different sources of information available in the South Metropolitan Health Service and involved communities.</t>
  </si>
  <si>
    <t>Mendez, Claudio/X-9761-2019</t>
  </si>
  <si>
    <t>10.4067/s0034-98872024001101111</t>
  </si>
  <si>
    <t>WOS:001445062300001</t>
  </si>
  <si>
    <t>Reis, L; Pizarro, MC</t>
  </si>
  <si>
    <t>Reis, Livia; Pizarro, Maria Carolina</t>
  </si>
  <si>
    <t>Essayists from/in Latin America: Ana Pizarro</t>
  </si>
  <si>
    <t>GRAGOATA-UFF</t>
  </si>
  <si>
    <t>1413-9073</t>
  </si>
  <si>
    <t>2358-4114</t>
  </si>
  <si>
    <t>SEP-DEC</t>
  </si>
  <si>
    <t>10.22409/gragoata.v29i65.65427.pt</t>
  </si>
  <si>
    <t>WOS:001383080200012</t>
  </si>
  <si>
    <t>Zanotti, L</t>
  </si>
  <si>
    <t>Stavrakakis, Y; Katsambekis, G</t>
  </si>
  <si>
    <t>Zanotti, Lisa</t>
  </si>
  <si>
    <t>The ideational approach to populism</t>
  </si>
  <si>
    <t>RESEARCH HANDBOOK ON POPULISM</t>
  </si>
  <si>
    <t>Research Handbooks in Political Thought</t>
  </si>
  <si>
    <t>Zanotti, Lisa/AAF-1155-2019</t>
  </si>
  <si>
    <t>978-1-80037-969-5; 978-1-80037-968-8</t>
  </si>
  <si>
    <t>10.4337/9781800379695</t>
  </si>
  <si>
    <t>WOS:001374078800015</t>
  </si>
  <si>
    <t>Tejedor, J; Alvarez-Briceño, R; Guerrero, VH; Villamar-Ayala, CA</t>
  </si>
  <si>
    <t>Tejedor, Jennifer; Alvarez-Briceno, Ricardo; Guerrero, Victor H.; Villamar-Ayala, Cristina Alejandra</t>
  </si>
  <si>
    <t>Removal of caffeine using agro-industrial residues in fixed-bed columns: Improving the adsorption capacity and efficiency by selecting adequate physical and operational parameters</t>
  </si>
  <si>
    <t>Developing effective water treatment technologies is indispensable to mitigate the negative impacts that aqueous contaminants can have on the environment. In this work, the potential of agro-industrial residues such as peanut shells, rice husk, coconut fiber and corn cob was investigated for removing caffeine from water using fixed-bed columns. The effects of the following parameters on the adsorptive performance of the columns were studied: particle size of the residues (Ps = 595-710, 710-1400, 1400-2000 mu m), bed height (Z = 10, 15, 20 cm), flow rate (Q = 0.5, 1.0, 1.5 mL/min), and caffeine concentration (C-o = 5, 10, 15 mg/L). Results demonstrated that the effect of particle size was influenced by the bulk density of the material (rho) and bed porosity (epsilon). Increasing the bed height and decreasing the flow rate led to longer residence times and higher adsorption capacities. Increasing the caffeine influent concentration, increased the adsorption capacity, but reduced the removal efficiency. Columns packed with coconut fiber, Ps = 710-1400 mu m (rho = 0.102, epsilon = 0.30), Z = 20 cm, Q = 0.5 mL/min, and C-o = 15 mg/L resulted in the best adsorption capacity (0.326 mg/g) and removal efficiency (47 %). The Adams-Bohart, Thomas, Yoon-Nelson, and Dose-Response models were used to describe the dynamic adsorption of the columns. Thomas' model predicted adsorption capacities closer to the experimental ones (R-2 = 0.996, for 0.326 mg/g). The results obtained also open the possibility of defining criteria for assessing materials for removing aqueous pollutants in continuous processes.</t>
  </si>
  <si>
    <t>Alvarez, Ricardo/LZH-6169-2025; Villamar, Cristina-Alejandra/AAB-4154-2019; Guerrero, Victor/AAP-1606-2021</t>
  </si>
  <si>
    <t>Alvarez - Briceno, Ricardo/0000-0002-5196-5115; Villamar, Cristina Alejandra/0000-0003-4654-0670; Tejedor Oyos, Jennifer Lorena/0000-0001-9097-9707</t>
  </si>
  <si>
    <t>10.1016/j.jwpe.2023.103778</t>
  </si>
  <si>
    <t>WOS:000999204800001</t>
  </si>
  <si>
    <t>Faúndes, J; Muñoz-Osses, M; Morales, P; Tasca, F; Loyola, CZ; Faúndez, M; Mascayano, C; Ibacache, JA</t>
  </si>
  <si>
    <t>Faundes, Judith; Munoz-Osses, Michelle; Morales, Pilar; Tasca, Federico; Zuniga Loyola, Cesar; Faundez, Mario; Mascayano, Carolina; Ibacache, Juana A.</t>
  </si>
  <si>
    <t>Effect of substituents and chain length in amino-1,4-naphthoquinones on glutathione-S-transferase inhibition: molecular docking and electrochemical perspectives: a structure-activity study</t>
  </si>
  <si>
    <t>NEW JOURNAL OF CHEMISTRY</t>
  </si>
  <si>
    <t>In this study, new homodimers and monoamination products based on the pharmacophore amino-1,4-naphthoquinone were synthesized. To perform a structure-activity study, three precursor quinones (2,3-dichloro-1,4-naphthoquinone, 1,4-naphthoquinone, and 2-hydroxy-1,4-naphthoquinone) and four diamines (4,40-diaminodiphenylmethane, 4,40-ethylenedianiline, ethylenediamine and 1,3-diaminopropane) were used. The reactions of the compounds were accomplished in the presence or the absence of Lewis acid as a catalyst. The new derivatives were evaluated as potential inhibitors of the enzyme glutathione-S-transferase (GST) by conjugating reduced glutathione (GSH) with the substrate 1-chloro-2,4-dinitrobenzene (CDNB). The study of the GST activity showed a clear structure-activity relationship in which the chlorinated compound 8 was the best inhibitor, with inhibition percentage values of 57%, being in the inhibition range as other GST inhibitors such as hexachlorophene and ethacrynic acid. These experimental results are consistent with molecular docking studies which show that compound 8 binds to the enzyme close to the catalytic site (G-site) and the chlorine group shows up to be essential for the stability of the ligand. Additionally, from the in silico exploration, a directly proportional trend between lipophilicity and enzyme affinity was noted, correlating with the experimental results of GST activity where the chlorine atom contributes positively to it. Finally, the electrochemical characterization provided another significant insight: the compounds with higher formal potential values (E-0) had the electron-withdrawing group chlorine being the most active against GST.</t>
  </si>
  <si>
    <t>Zuniga-Loyola, Cesar/0000-0002-0894-3383; Munoz-Osses, Michelle/0000-0001-7124-8773; Faundes, Judith/0000-0001-8063-7885; Mascayano Collado, Carolina Lorena/0000-0002-3488-9309; Tasca, Federico/0000-0002-4111-4624; Faundez, Mario/0000-0002-5507-3579</t>
  </si>
  <si>
    <t>1144-0546</t>
  </si>
  <si>
    <t>1369-9261</t>
  </si>
  <si>
    <t>10.1039/d2nj04079d</t>
  </si>
  <si>
    <t>WOS:000877621600001</t>
  </si>
  <si>
    <t>del Solar, AV; Galeas, MS; Lara, MI</t>
  </si>
  <si>
    <t>Vergara del Solar, Ana; Sepulveda Galeas, Mauricio; Ibarra Lara, Macarena</t>
  </si>
  <si>
    <t>The street, children and parents: the views of children from Santiago de Chile</t>
  </si>
  <si>
    <t>CHILDRENS GEOGRAPHIES</t>
  </si>
  <si>
    <t>In this article, we present the partial results of a broader qualitative study carried out in the city of Santiago de Chile between 2016 and early 2020. In particular, we analyse the discourses found in 12 group interviews with Chilean children - aged 10 and 11, and of three socioeconomic strata (upper-middle, middle and low) - about the relationship they establish with the street's space and the negotiations they conduct with their parents about it. The results show that the street evokes a feeling of menace and moral downfall for the children, while parents are called on to play the role of protectors and moralisers. At the same time, the street is signified as a space of relative freedom, of peer sociability and play, to which they insist that parents give them access even though restricted. These results are closely linked to the socio-historical context in which modern childhood is constructed, the more recent media and political inflation of urban insecurity and the objectively hostile nature of urban environments for children.</t>
  </si>
  <si>
    <t>VERGARA, Ana/ABV-0851-2022</t>
  </si>
  <si>
    <t>1473-3285</t>
  </si>
  <si>
    <t>1473-3277</t>
  </si>
  <si>
    <t>JUL 4</t>
  </si>
  <si>
    <t>10.1080/14733285.2022.2101877</t>
  </si>
  <si>
    <t>JUL 2022</t>
  </si>
  <si>
    <t>WOS:000829792900001</t>
  </si>
  <si>
    <t>Guzmán, A; Monsalve, A</t>
  </si>
  <si>
    <t>Guzman, Alexis; Monsalve, Alberto</t>
  </si>
  <si>
    <t>Effect of Bainitic Isothermal Treatment on the Microstructure and Mechanical Properties of a CMnSiAl TRIP Steel</t>
  </si>
  <si>
    <t>TRIP-assisted CMnSiAl steels with a fully martensitic initial microstructure have been studied in order to investigate the effect of partial substitution of Si by Al. The steel was fabricated by casting in a sand mold, hot forged, homogenizing, hot rolling, cold rolling, intercritical annealing, and finally, an isothermal bainitic treatment. During the intercritical annealing at 1023 K (750 degrees C) for 420 s, a matrix with a microstructure consisting of 50% proeutectoid ferrite was induced and after isothermal treatment at 663 K (390 degrees C) for 300 s, a microstructure of ferrite, bainite, and retained austenite was obtained. This austenite was carbon enriched and therefore stabilized, with an A lower than original austenite, before bainitic treatment. Microstructure and tensile properties have been analyzed, comparing these results with those corresponding to a commercial TRIP 780 steel. During tensile tests, retained austenite changes from 8.1 to 1.9%vol, with a total elongation of 23.2%, which demonstrates the TRIP effect. Texture analysis showed a weak y-fiber in the steel, which deteriorates the drawing properties of the steel. The maximum elongation during the tensile test of this steel was obtained at 323 K (50 degrees C), correlating with the TRIP effect present in steel, which is favored when working within the critical zone of temperatures M-s(sigma) and M-d. The results show that partial substitution of Si by Al decreases yield stress, ultimate tensile strength, increases the total elongation, and decreases the temperature for maximum elongation, related to TRIP 780.</t>
  </si>
  <si>
    <t>Guzman Mendez, Alexis/0000-0003-1663-1125; Monsalve, Alberto/0000-0002-5772-8815</t>
  </si>
  <si>
    <t>10.3390/met12040655</t>
  </si>
  <si>
    <t>WOS:000785206500001</t>
  </si>
  <si>
    <t>Cerda, P; Souto, M; Ubilla, P</t>
  </si>
  <si>
    <t>Cerda, Patricio; Souto, Marco; Ubilla, Pedro</t>
  </si>
  <si>
    <t>Existence of solution of some p,q-Laplacian system under local superlinear conditions</t>
  </si>
  <si>
    <t>MATHEMATISCHE NACHRICHTEN</t>
  </si>
  <si>
    <t>We study existence of positive radial solutions for the following class of quasi-linear elliptic systems {-Delta(p)u = f(vertical bar x vertical bar|,u,v) in B, -Delta(q)v = g(vertical bar x vertical bar|,u,v) in B, (u,v) = (0,0) on partial derivative B, where the nonlinearities f,g is an element of C (B x [0,+infinity)(2); [0,+infinity)) satisfy some local superlinear property at +infinity. Here B is the unity ball in R-N and1 &lt;= 2. Some difficulties here are that this system, in general, is non-variational and that p not equal q might occur. Thus, our strategy to obtain a positive solution is through a priori boundmethods. One of the important results in this article is thatwe obtain these estimates, assuming superlinearity hypotheses on the variables.. and.. at infinity just in some subset B-o of the ball, allowing us assuming, for example, supercritical growths on u,v outside of that subset. We also note that we can consider nonlinearities which are not necessary asymptotic to a power at +infinity and so it is not possible to use the classic Liouville type nonexistence results.</t>
  </si>
  <si>
    <t>Cerda, Patricio/0000-0002-0823-8174</t>
  </si>
  <si>
    <t>0025-584X</t>
  </si>
  <si>
    <t>1522-2616</t>
  </si>
  <si>
    <t>10.1002/mana.201900424</t>
  </si>
  <si>
    <t>WOS:000739884300001</t>
  </si>
  <si>
    <t>González-Catrilelbún, S; Cartagena, J; Vargas, D; Breguel-Serrano, P; Sandino, AM; Rivas-Aravena, A</t>
  </si>
  <si>
    <t>Gonzalez-Catrilelbun, Sebastian; Cartagena, Julio; Vargas, Deborah; Breguel-Serrano, Pamela; Sandino, Ana Maria; Rivas-Aravena, Andrea</t>
  </si>
  <si>
    <t>The RNA- dependent RNA polymerase of the infectious pancreatic necrosis virus is linked to viral mRNA acting as a cap substitute</t>
  </si>
  <si>
    <t>JOURNAL OF GENERAL VIROLOGY</t>
  </si>
  <si>
    <t>The infectious pancreatic necrosis virus (IPNV) is responsible for significant economic losses in the aquaculture industry. It is an unenveloped virus with an icosahedral capsid. Its viral genome comprises two dsRNA segments, A and B. Segment A contains a small ORF, which encodes VP5, and a large ORF, which encodes a polyprotein that generates the structural proteins and the viral protease. Segment B encodes the RNA-dependent RNA polymerase (RdRp), called VP1 in this free form, or Vpg when it covalently attaches to the viral RNA. The viral genome does not have cap or poly(A). Instead, each 5' end is linked to the Vpg. Recently, we demonstrated that mRNA-A contains an internal ribosome entry site (IRES) to command polyprotein synthesis. However, the presence of Vpg on IPNV mRNAs and its impact on cellular translation has not been investigated. This research demonstrates that IPNV mRNAs are linked to Vpg and that this protein inhibits cap-dependent translation on infected cells. Also, it is demonstrated that Vpg interacts with eIF4E and that rapamycin treatment partially diminishes the viral protein synthesis. In addition, we determined that an IRES does not command translation of IPNV mRNA-B. We show that VPg serves as a cap substitute during the initiation of IPNV translation, contributing to understanding the replicative cycle of Birnaviruses. Our results indicate that the viral protein VP1/Vpg is multifunctional, having a significant role during IPNV RNA synthesis as the RdRp and the primer for IPNV RNA synthesis and translation as the viral protein genome, acting as a cap substitute.</t>
  </si>
  <si>
    <t>Breguel-Serrano, Pamela/0000-0003-1632-765X; SANDINO, ANA MARIA/0000-0002-3862-3743</t>
  </si>
  <si>
    <t>0022-1317</t>
  </si>
  <si>
    <t>1465-2099</t>
  </si>
  <si>
    <t>10.1099/jgv.0.001729</t>
  </si>
  <si>
    <t>WOS:000783796800006</t>
  </si>
  <si>
    <t>Marques, ALD; Wojciechowski, T</t>
  </si>
  <si>
    <t>dos Santos Marques, Ana Laura; Wojciechowski, Thais</t>
  </si>
  <si>
    <t>DIGITAL COMPETENCIES FOR PLA AND PLAC TEACHERS: A PATH WITH NO SHORTCUTS OR RETURNS</t>
  </si>
  <si>
    <t>REVISTA ENTRELINGUAS</t>
  </si>
  <si>
    <t>The aim of this article is to examine the increase in digital competencies of PLA and PLAc teachers for their performance in the context of virtual teaching. Our interest arises from the challenges that this modality imposes on the classes due to the Sars-CoV-2 virus pandemic. We develop our proposal by reviewing studies of teaching areas in virtual environments and the teaching of foreign languages. Our methodological design considers the configuration of a case study, in a qualitative approach to the data tointerpret our object of study. The results point to how teachers face the pressures about their digital skills to respond to the immediate needs of their contexts. Also, they recognize a great dependence on digital literacy for their professional performance and for the training of their students, offering them opportunities to participate both in educational and social scopes in Portuguese.</t>
  </si>
  <si>
    <t>2447-4045</t>
  </si>
  <si>
    <t>2447-3529</t>
  </si>
  <si>
    <t>e021136</t>
  </si>
  <si>
    <t>10.29051/el.v7iesp.6.15348</t>
  </si>
  <si>
    <t>WOS:000807685200012</t>
  </si>
  <si>
    <t>Galaz, B; Donoso, E; Trejo, M</t>
  </si>
  <si>
    <t>Galaz, Belfor; Donoso, Esteban; Trejo, Miguel</t>
  </si>
  <si>
    <t>IMPORTANCE OF THE ULTRASOUND PROBE ANGLE ON THE ROTATION FILL-IN SIGNATURE IN ULTRASOUND AXIAL-SHEAR STRAIN IMAGING</t>
  </si>
  <si>
    <t>The rotation fill-in is a signature of tumor benignity in rotation elastograms and has been used for breast tumor classification. It is a consequence of the bonding condition at the tumor-tissue interface. In vivo studies have revealed the presence of fluctuations when inclined uniaxial external compression is applied. However, the physical meaning of these fluctuations is not yet fully understood. In this article we present an experimental and numerical study of the rotation fill-in signature as a function of the probe's tilt angle. This angle introduces asymmetries in the stress field, modifying the bonding condition. We numerically consider this asymmetry by using a model of friction with a simple angular dependence, which allows us to capture the experimental trends. We argue that the formulation of a tumor model with a bonding condition dependence may have potential implications in correct tumor classification. (E-mail: belfor.galaz@usach.cl) (C) 2020 World Federation for Ultrasound in Medicine &amp; Biology. All rights reserved.</t>
  </si>
  <si>
    <t>1879-291X</t>
  </si>
  <si>
    <t>10.1016/j.ultrasmedbio.2020.10.002</t>
  </si>
  <si>
    <t>WOS:000600131900019</t>
  </si>
  <si>
    <t>Fakhri, S; Piri, S; Majnooni, MB; Farzaei, MH; Echeverría, J</t>
  </si>
  <si>
    <t>Fakhri, Sajad; Piri, Sana; Majnooni, Mohammad Bagher; Farzaei, Mohammad Hosein; Echeverria, Javier</t>
  </si>
  <si>
    <t>Targeting Neurological Manifestations of Coronaviruses by Candidate Phytochemicals: A Mechanistic Approach</t>
  </si>
  <si>
    <t>The novel coronavirus 2019 (COVID-19) caused by severe acute respiratory syndrome coronavirus 2 (SARS-CoV-2) has made a wide range of manifestations. In this regard, growing evidence is focusing on COVID-19 neurological associations; however, there is a lack of established pathophysiological mechanisms and related treatments. Accordingly, a comprehensive review was conducted, using electronic databases, including PubMed, Scopus, Web of Science, and Cochrane, along with the author's expertize in COVID-19 associated neuronal signaling pathways. Besides, potential phytochemicals have been provided against neurological signs of COVID-19. Considering a high homology among SARS-CoV, Middle East Respiratory Syndrome and SARS-CoV-2, revealing their precise pathophysiological mechanisms seems to pave the road for the treatment of COVID-19 neural manifestations. There is a complex pathophysiological mechanism behind central manifestations of COVID-19, including pain, hypo/anosmia, delirium, impaired consciousness, pyramidal signs, and ischemic stroke. Among those dysregulated neuronal mechanisms, neuroinflammation, angiotensin-converting enzyme 2 (ACE2)/spike proteins, RNA-dependent RNA polymerase and protease are of special attention. So, employing multi-target therapeutic agents with considerable safety and efficacy seems to show a bright future in fighting COVID-19 neurological manifestations. Nowadays, natural secondary metabolites are highlighted as potential multi-target phytochemicals in combating several complications of COVID-19. In this review, central pathophysiological mechanisms and therapeutic targets of SARS-CoV-2 has been provided. Besides, in terms of pharmacological mechanisms, phytochemicals have been introduced as potential multi-target agents in combating COVID-19 central nervous system complications.</t>
  </si>
  <si>
    <t>piri, sana/AAN-3239-2021; Echeverría, Javier/AAK-3323-2020; Farzaei, Mohammad/M-5779-2017</t>
  </si>
  <si>
    <t>Echeverria, Javier/0000-0002-1688-968X</t>
  </si>
  <si>
    <t>10.3389/fphar.2020.621099</t>
  </si>
  <si>
    <t>WOS:000615947200001</t>
  </si>
  <si>
    <t>Serey, M; Vera, C; Guerrero, C; Illanes, A</t>
  </si>
  <si>
    <t>Serey, Marcela; Vera, Carlos; Guerrero, Cecilia; Illanes, Andres</t>
  </si>
  <si>
    <t>Immobilization of Aspergillus oryzae β-galactosidase in cation functionalized agarose matrix and its application in the synthesis of lactulose</t>
  </si>
  <si>
    <t>INTERNATIONAL JOURNAL OF BIOLOGICAL MACROMOLECULES</t>
  </si>
  <si>
    <t>Aspergillus oryzae beta-galactosidase was immobilized in in-house quaternary ammonium agarose (QAA) and used for the first time in the synthesis of lactulose. A biocatalyst was obtained with a specific activity of 24,690 IUH.g(-1); protein immobilization yield of 97% and enzyme immobilization yield of 76% were obtained at 30 degrees C in 10 mM phosphate buffer pH 7 for standard size agarose at 100 mg(protein).g(support)(-1) which the maximum protein load of QAA. Highest yield and specific productivity of lactulose were 0.24 g.(g)-(1) and 9.78 g.g(-1) h(-1) respectively, obtained at pH 6, 100 IUH.g lactose(-1) enzyme/lactose ratio and 12 lactose/fructose molar ratio. In repeated-batch operation with the immobilized enzyme, the cumulative mass of lactulose per unit mass of contacted protein and cumulative specific productivity were higher than obtained with the soluble enzyme since the first batch. After enzyme activity exhaustion, the enzyme was desorbed and QAA support was reused without alteration in its maximum enzyme load capacity and without detriment in yield, productivity and selectivity in the batch synthesis of lactulose with the resulting biocatalyst. This significantly decreases the economic impact of the support, presenting itself as a distinctive advantage of immobilization by ionic interaction. (C) 2020 Elsevier B.V. All rights reserved.</t>
  </si>
  <si>
    <t>0141-8130</t>
  </si>
  <si>
    <t>1879-0003</t>
  </si>
  <si>
    <t>10.1016/j.ijbiomac.2020.11.110</t>
  </si>
  <si>
    <t>WOS:000606683200140</t>
  </si>
  <si>
    <t>Parraga-Alava, J; Inostroza-Ponta, M</t>
  </si>
  <si>
    <t>Parraga-Alava, Jorge; Inostroza-Ponta, Mario</t>
  </si>
  <si>
    <t>Influence of the go-based semantic similarity measures in multi-objective gene clustering algorithm performance</t>
  </si>
  <si>
    <t>JOURNAL OF BIOINFORMATICS AND COMPUTATIONAL BIOLOGY</t>
  </si>
  <si>
    <t>Using a prior biological knowledge of relationships and genetic functions for gene similarity, from repository such as the Gene Ontology (GO), has shown good results in multi-objective gene clustering algorithms. In this scenario and to obtain useful clustering results, it would be helpful to know which measure of biological similarity between genes should be employed to yield meaningful clusters that have both similar expression patterns (co-expression) and biological homogeneity. In this paper, we studied the influence of the four most used GO-based semantic similarity measures in the performance of a multi-objective gene clustering algorithm. We used four publicly available datasets and carried out comparative studies based on performance metrics for the multi-objective optimization field and clustering performance indexes. In most of the cases, using Jiang-Conrath and Wang similarities stand in terms of multi-objective metrics. In clustering properties, Resnik similarity allows to achieve the best values of compactness and separation and therefore of co-expression of groups of genes. Meanwhile, in biological homogeneity, the Wang similarity reports greater number of significant GO terms. However, statistical, visual, and biological significance tests showed that none of the GO-based semantic similarity measures stand out above the rest in order to significantly improve the performance of the multi-objective gene clustering algorithm.</t>
  </si>
  <si>
    <t>Párraga-Alava, Jorge/GZA-8759-2022; Inostroza-Ponta, Mario/G-7548-2012</t>
  </si>
  <si>
    <t>0219-7200</t>
  </si>
  <si>
    <t>1757-6334</t>
  </si>
  <si>
    <t>10.1142/S0219720020500389</t>
  </si>
  <si>
    <t>WOS:000599824900006</t>
  </si>
  <si>
    <t>Orizola, J; Ríos-Silva, M; Muñoz-Villagrán, C; Vargas, E; Vásquez, C; Arenas, F</t>
  </si>
  <si>
    <t>Orizola, Javier; Rios-Silva, Mirtha; Munoz-Villagran, Claudia; Vargas, Esteban; Vasquez, Claudio; Arenas, Felipe</t>
  </si>
  <si>
    <t>In vitro biosynthesis of Ag, Au and Te-containing nanostructures by Exiguobacterium cell-free extracts</t>
  </si>
  <si>
    <t>BMC BIOTECHNOLOGY</t>
  </si>
  <si>
    <t>Background The bacterial genusExiguobacteriumincludes several species that inhabit environments with a wide range of temperature, salinity, and pH. This is why the microorganisms from this genus are known generically as polyextremophiles. Several environmental isolates have been explored and characterized for enzyme production as well as for bioremediation purposes. In this line, toxic metal(loid) reduction by these microorganisms represents an approach to decontaminate soluble metal ions via their transformation into less toxic, insoluble derivatives. Microbial-mediated metal(loid) reduction frequently results in the synthesis of nanoscale structures-nanostructures (NS) -. Thus, microorganisms could be used as an ecofriendly way to get NS. Results We analyzed the tolerance ofExiguobacterium acetylicumMF03,E. aurantiacumMF06, andE. profundumMF08 to Silver (I), gold (III), and tellurium (IV) compounds. Specifically, we explored the ability of cell-free extracts from these bacteria to reduce these toxicants and synthesize NS in vitro,both in the presence or absence of oxygen. All isolates exhibited higher tolerance to these toxicants in anaerobiosis. While in the absence of oxygen they showed high tellurite- and silver-reducing activity at pH 9.0, whereas AuCl(4)(-)which was reduced at pH 7.0 in both conditions. Given these results, cell-free extracts were used to synthesize NS containing silver, gold or tellurium, characterizing their size, morphology and chemical composition. Silver and tellurium NS exhibited smaller size under anaerobiosis and their morphology was circular (silver NS), starred (tellurium NS) or amorphous (gold NS). Conclusions This nanostructure-synthesizing ability makes these isolates interesting candidates to get NS with biotechnological potential.</t>
  </si>
  <si>
    <t>Arenas, Felipe/0000-0001-5604-5919</t>
  </si>
  <si>
    <t>1472-6750</t>
  </si>
  <si>
    <t>10.1186/s12896-020-00625-y</t>
  </si>
  <si>
    <t>WOS:000559981700001</t>
  </si>
  <si>
    <t>Silva, PAM; Marín, AMP; Santolino, M</t>
  </si>
  <si>
    <t>Moyano Silva, Pablo Andres; Perez Marin, Ana Maria; Santolino, Miguel</t>
  </si>
  <si>
    <t>ESTIMATION OF STOCHASTIC MORTALITY MODELS FOR CHILE</t>
  </si>
  <si>
    <t>ANALES DEL INSTITUTO DE ACTUARIOS ESPANOLES</t>
  </si>
  <si>
    <t>In this article we fit the Lee-Carter, Renshaw-Haberman and Cairns-Blake-Dowd models, presented in the framework of generalised age-period-cohort stochastic mortality models, to mortality data of Chile. The Lee-Carter model with binomial distribution is the most appropriate model to describe the evolution of mortality for the population of Chile. We show an application of the creation of mortality tables for premium calculation in life insurance, and we compare the results with those obtained by using the M95 mortality table (published by the regulator in Chile). The M95 tables seem to be appropriate to guarantee solvency. Finaly, the life expectancy at birth in 2019 and 2050 are calculated by sex.</t>
  </si>
  <si>
    <t>Amoroso-Silva, Pablo/O-6174-2014; Fernández Marín, Ana María/JZS-9198-2024; SANTOLINO, MIGUEL/G-3984-2014</t>
  </si>
  <si>
    <t>SANTOLINO, MIGUEL/0000-0002-0286-3673</t>
  </si>
  <si>
    <t>0534-3232</t>
  </si>
  <si>
    <t>2531-2308</t>
  </si>
  <si>
    <t>10.26360/2020_9</t>
  </si>
  <si>
    <t>WOS:000604058600010</t>
  </si>
  <si>
    <t>Osorio, S; Campusano, K</t>
  </si>
  <si>
    <t>Osorio, Sebastian; Campusano, Karim</t>
  </si>
  <si>
    <t>The Impact of Labor Strikes Unions Politicization Processes in Chile</t>
  </si>
  <si>
    <t>POLITICA Y SOCIEDAD</t>
  </si>
  <si>
    <t>Starting from the complex regulation of labor conflict in Chile, the main characteristics of the 43 most import labor strikes, which cover the public and private sector, and the three most populated regions of the country during the year 2014, are analyzed using a qualitative analysis of semi-structured interviews applied to trade union leaders, with the objective of understanding the impact these events had over the politization of their respective unions. The causes, development and consequences of the labor strikes are inquired from the point of view of the labor unions, and they show an important negative impact over the perceptions of union leaders with regards to labor legislation, which is assesed as favorable to the interest of the employers. In many cases, this analysis goes beyond labor matters, as a trade union politization which is critical towards the general institution, although without concrete alternatives of transformation outside the established rules of the game.</t>
  </si>
  <si>
    <t>1130-8001</t>
  </si>
  <si>
    <t>1988-3129</t>
  </si>
  <si>
    <t>10.5209/poso.65308</t>
  </si>
  <si>
    <t>WOS:000600883800010</t>
  </si>
  <si>
    <t>Manquian, C; Herrera, F; Dinesh, S</t>
  </si>
  <si>
    <t>Manquian, Carolina; Herrera, Felipe; Dinesh, Singh</t>
  </si>
  <si>
    <t>Synthesis of activated carbon@MOF composites for biogas filtration</t>
  </si>
  <si>
    <t>ACS Fall National Meeting and Exposition</t>
  </si>
  <si>
    <t>AUG 25-29, 2019</t>
  </si>
  <si>
    <t>San Diego, CA</t>
  </si>
  <si>
    <t>Amer Chem S oc</t>
  </si>
  <si>
    <t>Herrera, Felipe/KHD-8453-2024</t>
  </si>
  <si>
    <t>395-ENFL</t>
  </si>
  <si>
    <t>WOS:000525055505514</t>
  </si>
  <si>
    <t>Caldentey, EP; Negront, NF; Lobos, LM</t>
  </si>
  <si>
    <t>Caldentey, Esteban Perez; Negront, Nicole Favreau; Lobos, Luis Mendez</t>
  </si>
  <si>
    <t>Corporate debt in Latin America and its macroeconomic implications</t>
  </si>
  <si>
    <t>JOURNAL OF POST KEYNESIAN ECONOMICS</t>
  </si>
  <si>
    <t>This article provides an empirical analysis of nonfinancial corporate debt in six large Latin American countries (Argentina, Brazil, Chile, Colombia, Mexico, and Peru), distinguishing between bond-issuing and nonbond-issuing firms, and assessing the debt's macroeconomic implications. The paper uses a sample of 2,241 firms listed on the stock markets of their respective countries, comprising 34 sectors of economic activity for the period 2009-2016. On the basis of liquidity, leverage, and profitability indicators, it shows that bond-issuing firms are in a worse financial position relative to nonbond-issuing firms. Using Minsky's hedge/speculative/Ponzi taxonomy for financial fragility, we argue that there is a larger share of firms that are in a speculative or Ponzi position relative to the hedge category. Also, the share of hedge bond-issuing firms declines over time. Finally, the article presents the results of estimating a nonlinear threshold econometric model, which demonstrates that beyond a leverage threshold, firms' investment contracts while they increase their liquidity positions. This has important macroeconomic implications since the listed and, in particular, bond-issuing firms (which tend to operate under high leverage levels) represent a significant share of assets and investment. This finding could account, in part, for the retrenchment in investment that the sample of countries included in the paper have experienced in the period under study and highlights the need to incorporate the international bond market in the analyses of monetary transmission mechanisms.</t>
  </si>
  <si>
    <t>0160-3477</t>
  </si>
  <si>
    <t>1557-7821</t>
  </si>
  <si>
    <t>10.1080/01603477.2019.1616563</t>
  </si>
  <si>
    <t>JUN 2019</t>
  </si>
  <si>
    <t>WOS:000473874200001</t>
  </si>
  <si>
    <t>Cerda, P; Toon, E; Ubilla, P</t>
  </si>
  <si>
    <t>Cerda, P.; Toon, E.; Ubilla, P.</t>
  </si>
  <si>
    <t>Existence of one homoclinic orbit for second order Hamiltonian systems involving certain hypotheses of monotonicity on the nonlinearities</t>
  </si>
  <si>
    <t>NONLINEAR ANALYSIS-REAL WORLD APPLICATIONS</t>
  </si>
  <si>
    <t>Using mainly variational methods and an approximation technique we obtain one homoclinic orbit for a Hamiltonian system type (sic) + V-u(t, u) = 0. (P) Our approach allows us to consider new examples of nonlinearities which do not satisfy the classical Ambrosetti-Rabinowitz condition and neither strict growth hypotheses that allow to use Nehari Manifold. For instance, in our system we can consider a periodic potential V given by V(t, u) = -&lt; L(t)u, u &gt; + f(t)vertical bar u vertical bar(2) ln(1 + vertical bar u vertical bar), which clearly does not verify those conditions when L(t) is positive definite and symmetric matrix and f is a nontrivial nonnegative continuous function. We notice that f may vanish in some part of its domain. (C) 2018 Elsevier Ltd. All rights reserved.</t>
  </si>
  <si>
    <t>1468-1218</t>
  </si>
  <si>
    <t>1878-5719</t>
  </si>
  <si>
    <t>10.1016/j.nonrwa.2018.11.007</t>
  </si>
  <si>
    <t>WOS:000458714100021</t>
  </si>
  <si>
    <t>Guilarte, JM; Plyushchay, MS</t>
  </si>
  <si>
    <t>Mateos Guilarte, Juan; Plyushchay, Mikhail S.</t>
  </si>
  <si>
    <t>Nonlinear symmetries of perfectly invisible PT-regularized conformal and superconformal mechanics systems</t>
  </si>
  <si>
    <t>JOURNAL OF HIGH ENERGY PHYSICS</t>
  </si>
  <si>
    <t>We investigate how the Lax-Novikov integral in the perfectly invisible PT regularized zero-gap quantum conformal and superconformal mechanics systems affects on their (super)-conformal symmetries. We show that the expansion of the conformal symmetry with this integral results in a nonlinearly extended generalized Shrodinger algebra. The PT-regularized superconformal mechanics systems in the phase of the unbroken exotic nonlinear N = 4 super-Poincare symmetry are described by nonlinearly super-extended Schrodinger algebra with the osp(2 vertical bar 2) sub-superalgebra. In the partially broken phase, the scaling dimension of all odd integrals is inde finite, and the osp(2 vertical bar 2) is not contained as a sub-superalgebra.</t>
  </si>
  <si>
    <t>Guilarte, Juan/D-8199-2018</t>
  </si>
  <si>
    <t>1029-8479</t>
  </si>
  <si>
    <t>JAN 25</t>
  </si>
  <si>
    <t>10.1007/JHEP01(2019)194</t>
  </si>
  <si>
    <t>WOS:000462313500001</t>
  </si>
  <si>
    <t>Honorato, MR</t>
  </si>
  <si>
    <t>Honorato, Mariano Ruperthuz</t>
  </si>
  <si>
    <t>Freud for all: psychoanalysis and mass culture in Chile, 1920-1950</t>
  </si>
  <si>
    <t>HISTORIA CIENCIAS SAUDE-MANGUINHOS</t>
  </si>
  <si>
    <t>This article deals with the circulation and early spread of Freudianism in mass culture in Chilean society at the turn of the twentieth century. It documents the first references to Sigmund Freud in the Chilean media, the announcement of Freudian-style self-help classes, the appearance of psychoanalysts as characters in some fantasy novels, and the open lectures on psychoanalysis given by the first juvenile court judge in Santiago, the lawyer Samuel Gajardo Contreras. It explores the expectations projected onto Freudianism by the Chilean elite, and how Freud's theories contributed to a rethinking of childhood, the family and emotional life in Chile from 1920-1950.</t>
  </si>
  <si>
    <t>Ruperthuz, Mariano/GWC-5381-2022</t>
  </si>
  <si>
    <t>0104-5970</t>
  </si>
  <si>
    <t>1678-4758</t>
  </si>
  <si>
    <t>10.1590/S0104-59702017000400009</t>
  </si>
  <si>
    <t>WOS:000417859400009</t>
  </si>
  <si>
    <t>Manquián-Cerda, K; Cruces, E; Rubio, MA; Reyes, C; Arancibia-Miranda, N</t>
  </si>
  <si>
    <t>Manquian-Cerda, Karen; Cruces, Edgardo; Rubio, Maria Angelica; Reyes, Camila; Arancibia-Miranda, Nicolas</t>
  </si>
  <si>
    <t>Preparation of nanoscale iron (oxide, oxyhydroxides and zero-valent) particles derived from blueberries: Reactivity, characterization and removal mechanism of arsenate</t>
  </si>
  <si>
    <t>ECOTOXICOLOGY AND ENVIRONMENTAL SAFETY</t>
  </si>
  <si>
    <t>The application of iron nanoparticles (FeNPs) to the removal of various pollutants has received wide attention over the last few decades. A synthesis alternative to obtain these nanoparticles without using harmful chemical reagents, such as NaBH4, is the use of extracts from different natural sources that allow a lesser degree of agglomeration, in a process known as green synthesis. In this study, FeNPs were synthesized by 'green' (hereafter, BB-Fe NPs) and 'chemical' (hereafter, nZVI) methods. Extracts of leaves and blueberry shoots (Vaccinium corymbosum) were used as reducing agents for FeC136H20 solution in the green synthesis method. FeNPs were characterized using transmission electron microscopy (TEM), scanning electron microscopy (SEM), electrophoretic migration, Brunauer-Emmett-Teller (BET) surface area analysis and X-ray diffraction (XRD) and evaluated for the removal of As(V) from aqueous systems. In both synthesis methods, XRD analysis confirmed the presence of the different kinds of iron nanoparticles. SEM analysis showed that the average size of BB-Fe NPs was 52.4 run and that a variety of nanoparticles of different forms and associated structures, such as lepidocrocite, magnetite, and nZVI, were present, while the dimensions of nZVI were 80.2 nm. Comparatively significant differences regarding the electrophoretic mobility were found between both materials pre-and post-sorption of As(V). The velocity of As(V) removal by BB-Fe NPs was slower than that by nZVI, reaching equilibrium at 120 min compared to 60 min for nZVI. The removal kinetics of As(V) were adequately described by the pseudo second -order kinetic model, and the maximum adsorbed amounts of this analyte are in close accordance with the experimental results. The Langmuir-Freundlich model is in good agreement with our experimental data, where the sorption capacity of nZVI and BB-Fe NPs was found to be 52.23 +/- 6.06 and 50.40 +/- 5.90 (mg-g(-1)), respectively. The use of leaves of Vaccinium corymbosum affords an easy-to-synthesize, low-cost, and eco-friendly material with capabilities similar to nZVI. BB-Fe NPs are promising for arsenic remediation, which has emerged as a new alternative for water purification and sanitation.</t>
  </si>
  <si>
    <t>Bajo, Maria/ABF-6991-2020; Arancibia-Miranda, Nicolás/I-6743-2013</t>
  </si>
  <si>
    <t>Cruces, Edgardo/0000-0003-4537-552X</t>
  </si>
  <si>
    <t>0147-6513</t>
  </si>
  <si>
    <t>1090-2414</t>
  </si>
  <si>
    <t>10.1016/j.ecoenv.2017.07.004</t>
  </si>
  <si>
    <t>WOS:000411917100009</t>
  </si>
  <si>
    <t>Livacic-Rojas, P; Vallejo, G; Fernández, P; Tuero-Herrero, E</t>
  </si>
  <si>
    <t>Livacic-Rojas, Pablo; Vallejo, Guillermo; Fernandez, Paula; Tuero-Herrero, Ellian</t>
  </si>
  <si>
    <t>Power of Modified Brown-Forsythe and Mixed-Model Approaches in Split-Plot Designs</t>
  </si>
  <si>
    <t>METHODOLOGY-EUROPEAN JOURNAL OF RESEARCH METHODS FOR THE BEHAVIORAL AND SOCIAL SCIENCES</t>
  </si>
  <si>
    <t>Low precision of the inferences of data analyzed with univariate or multivariate models of the Analysis of Variance (ANOVA) in repeated-measures design is associated to the absence of normality distribution of data, nonspherical covariance structures and free variation of the variance and covariance, the lack of knowledge of the error structure underlying the data, and the wrong choice of covariance structure from different selectors. In this study, levels of statistical power presented the Modified Brown Forsythe (MBF) and two procedures with the Mixed-Model Approaches (the Akaike's Criterion, the Correctly Identified Model [CIM]) are compared. The data were analyzed using Monte Carlo simulation method with the statistical package SAS 9.2, a split-plot design, and considering six manipulated variables. The results show that the procedures exhibit high statistical power levels for within and interactional effects, and moderate and low levels for the between-groups effects under the different conditions analyzed. For the latter, only the Modified Brown Forsythe shows high level of power mainly for groups with 30 cases and Unstructured (UN) and Autoregressive Heterogeneity (ARH) matrices. For this reason, we recommend using this procedure since it exhibits higher levels of power for all effects and does not require a matrix type that underlies the structure of the data. Future research needs to be done in order to compare the power with corrected selectors using single-level and multilevel designs for fixed and random effects.</t>
  </si>
  <si>
    <t>Vallejo, Guillermo/B-8233-2011; Herrero, Ellián/AAA-4397-2019; Fernandez, Paula/I-1881-2015</t>
  </si>
  <si>
    <t>Tuero Herrero, Ellian/0000-0002-5988-5996; Fernandez, Paula/0000-0003-0140-7702; Vallejo, Guillermo/0000-0002-8010-6854</t>
  </si>
  <si>
    <t>1614-1881</t>
  </si>
  <si>
    <t>1614-2241</t>
  </si>
  <si>
    <t>10.1027/1614-2241/a000124</t>
  </si>
  <si>
    <t>WOS:000397417500002</t>
  </si>
  <si>
    <t>lp-MAXIMAL REGULARITY FOR A CLASS OF FRACTIONAL DIFFERENCE EQUATIONS ON UMD SPACES: THE CASE 1 &lt; α ≤ 2</t>
  </si>
  <si>
    <t>By using Blunck's operator-valued Fourier multiplier theorem, we completely characterize the existence and uniqueness of solutions in Lebesgue sequence spaces for a discrete version of the Cauchy problem with fractional order 1 &lt; alpha &lt;= 2. This characterization is given solely in spectral terms on the data of the problem, whenever the underlying Banach space belongs to the UMD-class.</t>
  </si>
  <si>
    <t>murillo arcila, marina/0000-0001-6589-0452</t>
  </si>
  <si>
    <t>10.1215/17358787-3784616</t>
  </si>
  <si>
    <t>WOS:000397944000010</t>
  </si>
  <si>
    <t>Mahn, A; Pérez, C</t>
  </si>
  <si>
    <t>Mahn, Andrea; Perez, Carmen</t>
  </si>
  <si>
    <t>Optimization of an incubation step to maximize sulforaphane content in pre-processed broccoli</t>
  </si>
  <si>
    <t>Sulforaphane is a powerful anticancer compound, found naturally in food, which comes from the hydrolysis of glucoraphanin, the main glucosinolate of broccoli. The aim of this work was to maximize sulforaphane content in broccoli by designing an incubation step after subjecting broccoli pieces to an optimized blanching step. Incubation was optimized through a Box-Behnken design using ascorbic acid concentration, incubation temperature and incubation time as factors. The optimal incubation conditions were 38 A degrees C for 3 h and 0.22 mg ascorbic acid per g fresh broccoli. The maximum sulforaphane concentration predicted by the model was 8.0 A mu mol g(-1), which was confirmed experimentally yielding a value of 8.1 +/- A 0.3 A mu mol g(-1). This represents a 585% increase with respect to fresh broccoli and a 119% increase in relation to blanched broccoli, equivalent to a conversion of 94% of glucoraphanin. The process proposed here allows maximizing sulforaphane content, thus avoiding artificial chemical synthesis. The compound could probably be isolated from broccoli, and may find application as nutraceutical or functional ingredient.</t>
  </si>
  <si>
    <t>perez, carmen/0000-0003-3333-6881; Mahn, Andrea/0000-0001-6082-0279</t>
  </si>
  <si>
    <t>10.1007/s13197-016-2386-6</t>
  </si>
  <si>
    <t>WOS:000390011200026</t>
  </si>
  <si>
    <t>Montalvo, S; Huiliñir, C; Gálvez, D; Roca, N; Guerrero, L</t>
  </si>
  <si>
    <t>Montalvo, Silvio; Huilinir, Cesar; Galvez, Diego; Roca, Nestor; Guerrero, Lorna</t>
  </si>
  <si>
    <t>Autotrophic denitrification with sulfide as electron donor: Effect of zeolite, organic matter and temperature in batch and continuous UASB reactors</t>
  </si>
  <si>
    <t>INTERNATIONAL BIODETERIORATION &amp; BIODEGRADATION</t>
  </si>
  <si>
    <t>The effect of zeolite and temperature on the autotrophic denitrification process for hydrogen sulfide removal in the presence of organic matter was evaluated. Four batch reactors (1 l) at 35 degrees C were used to study the effect of zeolite on denitrification, without the presence of organic matter. Two continuous UASB reactors (6 l) were used for the autotrophic denitrification with addition of natural zeolites at mesophilic controlled temperature (35 degrees C) and room temperature (13-20 degrees C). In continuous assays, COD/N ratios between 1.4 and 10 were used. It was found that zeolites have a positive effect on the autotrophic denitrification startup process (batch and continuous modes), decreasing by up to 50% the time required to achieve stabilization conditions-of the process. Autotrophic denitrification with zeolite as amendment in a continuous UASB in the presence of organic matter could be carried out at uncontrolled room temperatures (13 degrees C - 20 degrees C), although processes at a controlled mesophilic temperature of 35 degrees C were more efficient than the room temperature process. The proposed system allows the simultaneous heterotrophic-autotrophic denitrification, with removal percentages better than 95% for nitrogen and COD, while sulfide had removal percentages better than 75%. (C) 2015 Elsevier Ltd. All rights reserved.</t>
  </si>
  <si>
    <t>0964-8305</t>
  </si>
  <si>
    <t>1879-0208</t>
  </si>
  <si>
    <t>10.1016/j.ibiod.2015.12.022</t>
  </si>
  <si>
    <t>WOS:000371552500021</t>
  </si>
  <si>
    <t>Palma, C; Lloret, L; Sepúlveda, L; Contreras, E</t>
  </si>
  <si>
    <t>Palma, C.; Lloret, L.; Sepulveda, L.; Contreras, E.</t>
  </si>
  <si>
    <t>Production of versatile peroxidase from Pleurotus eryngii by solid-state fermentation using agricultural residues and evaluation of its catalytic properties</t>
  </si>
  <si>
    <t>PREPARATIVE BIOCHEMISTRY &amp; BIOTECHNOLOGY</t>
  </si>
  <si>
    <t>Interest in production of ligninolytic enzymes has been growing over recent years for their use in various applications such as recalcitrant pollutants bioremediation; specifically, versatile peroxidase (VP) presents a great potential due to its catalytic versatility. The proper selection of the fermentation mode and the culture medium should be an imperative to ensure a successful production by an economic and available medium that favors the process viability. VP was produced by solid-state fermentation (SSF) of Pleurotus eryngii, using the agricultural residue banana peel as growth medium; an enzymatic activity of 10,800UL(-1) (36Ug(-1) of substrate) was detected after 18 days, whereas only 1800UL(-1) was reached by conventional submerged fermentation (SF) with glucose-based medium. The kinetic parameters were determined by evaluating the H2O2 and Mn2+ concentration effects on the Mn3+-tartrate complex formation. The results indicated that although the H2O2 inhibitory effect was observed for the enzyme produced by both media, the reaction rates for VP obtained by SSF were less impacted. This outcome suggests the presence of substances released from banana peel during the fermentation, which might exhibit a protective effect resulting in an improved kinetic behavior of the enzyme.</t>
  </si>
  <si>
    <t>1082-6068</t>
  </si>
  <si>
    <t>1532-2297</t>
  </si>
  <si>
    <t>FEB 17</t>
  </si>
  <si>
    <t>10.1080/10826068.2015.1084513</t>
  </si>
  <si>
    <t>WOS:000367817000014</t>
  </si>
  <si>
    <t>Barles, G; Topp, E</t>
  </si>
  <si>
    <t>Barles, Guy; Topp, Erwin</t>
  </si>
  <si>
    <t>EXISTENCE, UNIQUENESS, AND ASYMPTOTIC BEHAVIOR FOR NONLOCAL PARABOLIC PROBLEMS WITH DOMINATING GRADIENT TERMS</t>
  </si>
  <si>
    <t>SIAM JOURNAL ON MATHEMATICAL ANALYSIS</t>
  </si>
  <si>
    <t>In this paper we deal with the well-posedness of Dirichlet problems associated to nonlocal Hamilton-Jacobi parabolic equations in a bounded, smooth domain Omega, in the case when the classical boundary condition may be lost. We address the problem for both coercive and noncoercive Hamiltonians: for coercive Hamiltonians, our results rely more on the regularity properties of the solutions, while noncoercive case are related to optimal control problems and the arguments are based on a careful study of the dynamics near the boundary of the domain. Comparison principles for bounded sub-and supersolutions are obtained in the context of viscosity solutions with generalized boundary conditions, and consequently we obtain the existence and uniqueness of solutions in C ((Omega) over bar x [0; +infinity)) by the application of Perron's method. Finally, we prove that the solution of these problems converges to the solutions of the associated stationary problem as t -&gt; +infinity under suitable assumptions on the data.</t>
  </si>
  <si>
    <t>0036-1410</t>
  </si>
  <si>
    <t>1095-7154</t>
  </si>
  <si>
    <t>10.1137/140967192</t>
  </si>
  <si>
    <t>WOS:000375490000029</t>
  </si>
  <si>
    <t>Weighted pseudo almost automorphic mild solutions for two-term fractional order differential equations</t>
  </si>
  <si>
    <t>APPLIED MATHEMATICS AND COMPUTATION</t>
  </si>
  <si>
    <t>Using the notion of Weyl fractional derivative, we study the existence and uniqueness of weighted pseudo almost automorphic mild solutions for a class of two term fractional order abstract differential equation in the form D(t)(alpha)u'(t) + mu D(t)(beta)u(t = Au(t) + D-t(alpha) f(t, u(t)), t &gt;= 0, 0 &lt; alpha &lt;= beta &lt;= 1, mu &gt;= 0 where A is a closed linear operator defined in a Banach space X and the forcing term J is S-P-weighted pseudo almost automorphic. (C) 2015 Elsevier Inc. All rights reserved.</t>
  </si>
  <si>
    <t>Alvarez, Edgardo/0000-0003-2699-398X; Lizama, Carlos/0000-0002-9807-1100</t>
  </si>
  <si>
    <t>0096-3003</t>
  </si>
  <si>
    <t>1873-5649</t>
  </si>
  <si>
    <t>10.1016/j.amc.2015.08.132</t>
  </si>
  <si>
    <t>WOS:000364538300015</t>
  </si>
  <si>
    <t>Wandalsen, GF; Borges, LV; Barroso, N; Rota, R; Suano, F; Mallol, J; Solé, D</t>
  </si>
  <si>
    <t>Wandalsen, G. F.; Borges, L. V.; Barroso, N.; Rota, R.; Suano, F.; Mallol, J.; Sole, D.</t>
  </si>
  <si>
    <t>Brazilian EISL Grp</t>
  </si>
  <si>
    <t>Gender differences in the relationship between body mass index (BMI) changes and the prevalence and severity of wheezing and asthma in the first year of life</t>
  </si>
  <si>
    <t>Background: Rapid weight gain has been recently associated with asthma at school age, but its influence in respiratory symptoms during infancy is still unknown. Methods: Answers from 6541 parents living in six different cities of Brazil to the International Study of Wheezing in Infants (EISL) questionnaire were analysed. Data from reported weight and height at birth and at one year were used to calculate BMI. Rapid body mass index (BMI) gain was defined by the difference in BMI superior to 1.0z and excessive by the difference superior to 2.0z. Results: Rapid BMI gain was found in 45.8% infants and excessive in 24.4%. Boys showed a significantly higher BMI gain than girls. Girls with rapid BMI gain showed a significantly higher prevalence of hospitalisation for wheezing (8.8% vs. 6.4%; aOR: 1.4, 95%CI: 1.1-1.8), severe wheezing (18.1% vs. 15.0%; aOR: 1.3, 95%CI: 1.0-1.5) and medical diagnosis of asthma (7.5% vs. 5.7%; aOR: 1.3, 95%CI: 1.0-1.7). Girls with excessive BMI gain also had a significantly higher prevalence of hospitalisation for wheezing (9.8% vs. 6.7%; aOR: 1.5, 95%CI: 1.1-2.0) and severe wheezing (18.9% vs. 15.5%; aOR: 1.3, 95%CI: 1.0-1.6). No significant association was found among boys. Conclusions: The majority of the evaluated infants showed BMI gain above expected in the first year of life. Although more commonly found in boys, rapid and excessive BMI gain in the first year of life was significantly related to more severe patterns of wheezing in infancy among girls. (C) 2014 SEICAP. Published by Elsevier Espana, S.L.U. All rights reserved.</t>
  </si>
  <si>
    <t>de Souza, Fabiola Isabel/N-8427-2019; Wandalsen, Gustavo/D-8412-2013; Suano-Souza, Fabiola Isabel/E-7003-2015; Chong Neto, Herberto Jose/K-4077-2013</t>
  </si>
  <si>
    <t>Suano-Souza, Fabiola Isabel/0000-0003-3848-4752; Chong Neto, Herberto Jose/0000-0002-7960-3925; Mallol, Javier/0000-0003-2528-8672</t>
  </si>
  <si>
    <t>10.1016/j.aller.2014.10.002</t>
  </si>
  <si>
    <t>WOS:000365454200007</t>
  </si>
  <si>
    <t>Torres-Avilés, F; Moraga, T; Núñez, L; Icaza, G</t>
  </si>
  <si>
    <t>Torres-Aviles, Francisco; Moraga, Tomas; Nunez, Loreto; Icaza, Gloria</t>
  </si>
  <si>
    <t>Lung cancer mortality trends in Chile and six-year projections using Bayesian dynamic linear models</t>
  </si>
  <si>
    <t>CADERNOS DE SAUDE PUBLICA</t>
  </si>
  <si>
    <t>The objectives were to analyze lung cancer mortality trends in Chile from 1990 to 2009, and to project the rates six years forward. Lung cancer mortality data were obtained from the Chilean Ministry of Health. To obtain mortality rates, population projections were used, based on the 2002 National Census. Rates were adjusted using the world standard population as reference. Bayesian dynamic linear models were fitted to estimate trends from 1990 to 2009 and to obtain projections for 2010-2015. During the period under study, there was a 19.9% reduction in the lung cancer mortality rate in men. In women, there was increase of 28.4%. The second-order model showed a better fit for men, and the first-order model a better fit for women. Between 2010 and 2015 the downward trend continued in men, while a trend to stabilization was projected for lung cancer mortality in women in Chile. This analytical approach could be useful implement surveillance systems for chronic non-communicable disease and to evaluate preventive strategies.</t>
  </si>
  <si>
    <t>Torres-Avilés, Francisco/J-8269-2013</t>
  </si>
  <si>
    <t>Nunez-Franz, Loreto/0000-0001-5397-2506; Icaza, Gloria/0000-0002-3192-3428</t>
  </si>
  <si>
    <t>0102-311X</t>
  </si>
  <si>
    <t>1678-4464</t>
  </si>
  <si>
    <t>10.1590/0102-311X00194313</t>
  </si>
  <si>
    <t>WOS:000365289700018</t>
  </si>
  <si>
    <t>Souza, NDG; Freire, RM; Cunha, AP; da Silva, MAS; Mazzetto, SE; Sombra, ASB; Denardin, JC; Ricardo, NMPS; Fechine, PBA</t>
  </si>
  <si>
    <t>Souza, N. D. G.; Freire, R. M.; Cunha, A. P.; da Silva, M. A. S.; Mazzetto, S. E.; Sombra, A. S. B.; Denardin, J. C.; Ricardo, N. M. P. S.; Fechine, P. B. A.</t>
  </si>
  <si>
    <t>New magnetic nanobiocomposite based in galactomannan/glycerol and superparamagnetic nanoparticles</t>
  </si>
  <si>
    <t>MATERIALS CHEMISTRY AND PHYSICS</t>
  </si>
  <si>
    <t>In this study, magnetic nanobiocomposites were prepared in different proportions and produced with galactomannan (GM), magnetic nanoparticles of NiZn and glycerol (GL). The microstructure and morphology of the samples were characterized by Scanning Electron Microscopy (SEM), X-ray powder diffraction, Fourier transform infrared (FTIR) spectroscopy, Thermal analysis (TG) and Differential scanning calorimetry (DSC). The magnetic and dielectric behavior of the films was studied by Vibrating sample magnetometer (VSM) and Impedance spectroscopy. The results showed efficient incorporation of NiZn in the polymer matrix. The degradation profiles presented thermal events that were confirmed by endothermic and exothermic processes from DSC measurements. Films presented saturation magnetization (M-s) range from 6 to 17 emu/g and superparamagnetic behavior. It was observed that the values of dielectric constant increased as a function of the nanoparticles concentration in the bionacomposite. Thus, this kind of biocomposite could be used as a versatile magnetic-dielectric in microwave devices. (C) 2015 Elsevier B.V. All rights reserved.</t>
  </si>
  <si>
    <t>Denardin, Juliano/S-6407-2019; Sombra, Antonio/B-2963-2013; Silva, Marcelo/I-8182-2012; Mazzetto, Selma/R-5406-2016; Ricardo, Nágila/C-3630-2015; Fechine, Pierre/B-7937-2013</t>
  </si>
  <si>
    <t>Denardin, Juliano/0000-0002-1373-6207; sombra, A.S.B./0000-0001-6461-6793; Mazzetto, Selma Elaine/0000-0002-6879-3209; Silva, Marcelo/0000-0001-9461-9418; Fechine, Pierre/0000-0002-7822-2354; Ricardo, Nagila/0000-0003-1849-5403</t>
  </si>
  <si>
    <t>0254-0584</t>
  </si>
  <si>
    <t>1879-3312</t>
  </si>
  <si>
    <t>10.1016/j.matchemphys.2015.02.033</t>
  </si>
  <si>
    <t>WOS:000352667300015</t>
  </si>
  <si>
    <t>Lazaro-Diéguez, F; Ispolatov, I; Müsch, A</t>
  </si>
  <si>
    <t>Lazaro-Dieguez, Francisco; Ispolatov, Iaroslav; Muesch, Anne</t>
  </si>
  <si>
    <t>Cell shape impacts on the positioning of the mitotic spindle with respect to the substratum</t>
  </si>
  <si>
    <t>All known mechanisms of mitotic spindle orientation rely on astral microtubules. We report that even in the absence of astral microtubules, metaphase spindles in MDCK and HeLa cells are not randomly positioned along their x-z dimension, but preferentially adopt shallow beta angles between spindle pole axis and substratum. The nonrandom spindle positioning is due to constraints imposed by the cell cortex in flat cells that drive spindles that are longer and/or wider than the cell's height into a tilted, quasidiagonal x-z position. In rounder cells, which are taller, fewer cortical constraints make the x-z spindle position more random. Reestablishment of astral microtubule-mediated forces align the spindle poles with cortical cues parallel to the substratum in all cells. However, in flat cells, they frequently cause spindle deformations. Similar deformations are apparent when confined spindles rotate from tilted to parallel positions while MDCK cells progress from prometaphase to metaphase. The spindle disruptions cause the engagement of the spindle assembly checkpoint. We propose that cell rounding serves to maintain spindle integrity during its positioning.</t>
  </si>
  <si>
    <t>Lazaro-Dieguez, Francisco/J-3491-2015; Ispolatov, Iaroslav/E-8544-2010</t>
  </si>
  <si>
    <t>Lazaro-Dieguez, Francisco/0000-0002-4970-8128; Ispolatov, Iaroslav/0000-0002-0201-3396</t>
  </si>
  <si>
    <t>10.1091/mbc.E14-08-1330</t>
  </si>
  <si>
    <t>WOS:000351946100008</t>
  </si>
  <si>
    <t>Gärtner, E; Rojas, G; Castro, SA</t>
  </si>
  <si>
    <t>Gaertner, Elsa; Rojas, Gloria; Castro, Sergio A.</t>
  </si>
  <si>
    <t>Compositional patterns of ruderal herbs in Santiago, Chile</t>
  </si>
  <si>
    <t>Fragmentation of the natural environment is a consequence of urbanisation. It impacts the biodiversity of native flora that characterises a region. This study focused on characterising the diversity, composition and distribution of native and alien ruderal species present in different suburbs of Santiago de Chile. We found that plant assemblages of ruderal species were characterised by a higher proportion of alien species (69 taxa), whose original distribution corresponds to the Mediterranean Basin (46 taxa), and a low representation of native species (14 taxa). The results show that the spatial distribution of weeds within Santiago was not random, because two clusters were found based on patterns of compositional similarity. Further research should be undertaken to determine the cause of this phenomenon that probably obeys historical and ecological factors such as the past use of soils or urban landscape ornamentation programs.</t>
  </si>
  <si>
    <t>WOS:000368564800003</t>
  </si>
  <si>
    <t>Sepúlveda-Rojas, JP; Rojas, F; Valdés-González, H; San Martín, M</t>
  </si>
  <si>
    <t>Pedro Sepulveda-Rojas, Juan; Rojas, Felipe; Valdes-Gonzalez, Hector; San Martin, Mario</t>
  </si>
  <si>
    <t>Forecasting Models Selection Mechanism for Supply Chain Demand Estimation</t>
  </si>
  <si>
    <t>The aim of this work is to present a selection mechanism of forecast models to contribute to demand estimation in a supply chain. At present, to estimate a product future demand, several forecast models based on historical information quantitative and qualitative-are used. When companies face this situation, they select a group of forecast models (usually based on a visual basis of the time series), then estimate, and with the forecast error measurement criteria decide which the best method is. But they always have to estimate over all the selected forecast models. Based on that, this paper introduces an alternative methodology to estimate the best-forecast model without the need to estimate all the forecast models or complement with another technique (visual). To do so, the main theoretical fundaments associated to this new methodology are addressed, and then the methodology itself is presented in order to be applied in two real cases of Chilean companies to finally conclude the results of the described mechanism. (C) 2015 Published by Elsevier B.V.</t>
  </si>
  <si>
    <t>; Sepulveda-Rojas, Juan Pedro/C-1799-2013</t>
  </si>
  <si>
    <t>Valdes Gonzalez, Hector/0009-0007-2010-886X; Sepulveda-Rojas, Juan Pedro/0000-0002-6725-7295</t>
  </si>
  <si>
    <t>10.1016/j.procs.2015.07.068</t>
  </si>
  <si>
    <t>WOS:000360101400119</t>
  </si>
  <si>
    <t>Rannou, FR; Giha, C; Iriarte, A</t>
  </si>
  <si>
    <t>Rannou, Fernando R.; Giha, Cristian; Iriarte, Ana</t>
  </si>
  <si>
    <t>recon plus plus : A Concurrent, Object-Oriented API for Statistical Image Reconstruction</t>
  </si>
  <si>
    <t>2014 IEEE NUCLEAR SCIENCE SYMPOSIUM AND MEDICAL IMAGING CONFERENCE (NSS/MIC)</t>
  </si>
  <si>
    <t>IEEE Nuclear Science Symposium / Medical Imaging Conference (NSS/MIC)</t>
  </si>
  <si>
    <t>NOV 08-15, 2014</t>
  </si>
  <si>
    <t>Seattle, WA</t>
  </si>
  <si>
    <t>We present a concurrent, object-oriented toolkit for statistical image reconstruction, intended for rapid coding and testing of new parallel algorithms in shared-memory multiprocessors. The toolkit is specified at the interface level and concurrency (or parallelism) is introduced by classes having their own threads of execution. There are two classes in this API that can be concurrent, namely the one implementing projection operations and the one implementing algorithms. By inheriting from the former class, a programmer can easily write a single-threaded algorithm equipped with parallel forward and backward projectors. Alternatively, the algorithm can be parallel, executed by multiple threads, but with single-threaded projectors. The design decouples several features that are usually found intertwined in other software. For instance, the projector class is completely independent from the container class which is used to store system matrices. Also, the algorithm does not need to know how the system matrix is represented in memory or how its elements are retrieved. The connection between algorithm and container is the iterator class, which defines a particular method to access a container. To implement the API we have chosen to use uC++, an object-oriented language with native concurrency support at the class level. Thus, programmers do not need to deal with thread creation and control, which is usually the source of errors and non-determinism in programs. The combination of object-oriented design patterns together with a concurrent, object-oriented language results in a robust and efficient toolkit for image reconstruction. We have implemented classes for EMML and MAP algorithms with Compressed Row Format sparse matrices. Experiments show that despite the natural OO overhead, the code achieves almost linear speedup in a multiprocessor.</t>
  </si>
  <si>
    <t>Rannou, Fernando/G-5749-2019</t>
  </si>
  <si>
    <t>978-1-4799-6097-2</t>
  </si>
  <si>
    <t>WOS:000392917500048</t>
  </si>
  <si>
    <t>Henriquez, HR; Dos Santos, JPC</t>
  </si>
  <si>
    <t>Henriquez, Hernan R.; Dos Santos, Jose Paulo C.</t>
  </si>
  <si>
    <t>DIFFERENTIABILITY OF SOLUTIONS OF ABSTRACT NEUTRAL INTEGRO-DIFFERENTIAL EQUATIONS</t>
  </si>
  <si>
    <t>In this paper we study the differentiability of solutions of abstract neutral integro-differential equations with infinite delay. We consider specially the cases when the underlying space is reflexive or at least has the Radon-Nikodym property.</t>
  </si>
  <si>
    <t>Santos, José/F-9905-2012</t>
  </si>
  <si>
    <t>Carvalho dos Santos, Jose Paulo/0000-0002-4161-1786</t>
  </si>
  <si>
    <t>SPR</t>
  </si>
  <si>
    <t>10.1216/JIE-2013-25-1-47</t>
  </si>
  <si>
    <t>WOS:000318689900003</t>
  </si>
  <si>
    <t>Recio, FJ; Geraldo, DA; Cañete, P; Zagal, JH</t>
  </si>
  <si>
    <t>Javier Recio, Francisco; Andrea Geraldo, Daniela; Canete, Paulina; Heraclito Zagal, Jose</t>
  </si>
  <si>
    <t>Matching the Catalyst Co(II)/(I) Formal Potential of a Macrocyclic Complex to the Reversible Potential of Hydrazine Oxidation for the Highest Activity</t>
  </si>
  <si>
    <t>ECS ELECTROCHEMISTRY LETTERS</t>
  </si>
  <si>
    <t>In this work we have re-interpreted volcano correlations for the oxidation of hydrazine catalyzed by CoMN4 catalysts and found that the highest catalytic activity is observed when the formal potential of the catalyst matches the reversible potential of the reaction, i.e. the hydrazine/dinitrogen reversible potential, that is -0.4959 V vs. SCE at pH 13. This clearly shows that the formal potential of the catalysts needs to be tuned or to be very close to the reversible potential of the target molecule to undergo an ET process. This is also true for other reactions we are studying. (C) 2013 The Electrochemical Society.</t>
  </si>
  <si>
    <t>Recio, Francisco/AAB-2148-2020; Sierra-Rosales, Paulina/K-4733-2019; zagal, jose/L-9648-2014</t>
  </si>
  <si>
    <t>Geraldo, Daniela/0000-0001-6029-5697; Recio, Francisco/0000-0002-5181-3197; Sierra-Rosales, Paulina/0000-0001-7077-785X</t>
  </si>
  <si>
    <t>2162-8726</t>
  </si>
  <si>
    <t>2162-8734</t>
  </si>
  <si>
    <t>H16</t>
  </si>
  <si>
    <t>H18</t>
  </si>
  <si>
    <t>10.1149/2.003304eel</t>
  </si>
  <si>
    <t>WOS:000318556400008</t>
  </si>
  <si>
    <t>Vera-Villarroel, P; Urzúa, A; Pavez, P; Celis-Atenas, K; Silva, J</t>
  </si>
  <si>
    <t>Vera-Villarroel, Pablo; Urzua M., Alfonso; Pavez, Paula; Celis-Atenas, Karem; Silva, Jaime</t>
  </si>
  <si>
    <t>Evaluation of Subjective Well-being: Analysis of the Satisfaction With Life Scale in Chilean Population</t>
  </si>
  <si>
    <t>UNIVERSITAS PSYCHOLOGICA</t>
  </si>
  <si>
    <t>The aim of this investigation is to evaluate the psychometric properties of the Satisfaction with Life Scale (SWLS), in the adult population from ages 18 to 65. In order to do this two studies were conducted. In the first one, we evaluated the internal consistency and construct validation of data from 330 people between 18 and 52 years of age; in the second study, we evaluated the confirmatory factor and validation of data indicators from 1157 people between 18 and 65 years of age. The results show suitable indicators of internal consistency (Cronbach's alpha = 0.82), the exploratory and confirmatory factor analysis finds a one factor's solution. The correlation between the SWLS, the WHOQOL-BREF Quality of Life Questionnaire, and the Difficulties in Emotion Regulation Scale (DERS), display significant, consistent correlations in the expected direction. We conclude that the SWLS is a reliable and valid instrument to use for evaluating the cognitive sphere of subjective well-being in Chile's adult population.</t>
  </si>
  <si>
    <t>Vera-Villarroel, Pablo/AAQ-8476-2020; pavez, paula/ITT-0755-2023; Vera-Villarroel, Pablo/A-1134-2011; Urzua, Alfonso/A-1208-2012</t>
  </si>
  <si>
    <t>Vera-Villarroel, Pablo/0000-0001-9187-8414; Urzua, Alfonso/0000-0002-0882-2194</t>
  </si>
  <si>
    <t>1657-9267</t>
  </si>
  <si>
    <t>JUL-SEP</t>
  </si>
  <si>
    <t>WOS:000310793300003</t>
  </si>
  <si>
    <t>Linares-Flores, C; Carey, DM; Muñoz-Castro, A; Zagal, JH; Pavez, J; Pino-Riffo, D; Arratia-Pérez, R</t>
  </si>
  <si>
    <t>Linares-Flores, C.; Mac-Leod Carey, D.; Munoz-Castro, A.; Zagal, J. H.; Pavez, J.; Pino-Riffo, D.; Arratia-Perez, R.</t>
  </si>
  <si>
    <t>Reinterpreting the Role of the Catalyst Formal Potential. The case of Thiocyanate Electrooxidation Catalyzed by CoN4-Macrocyclic Complexes</t>
  </si>
  <si>
    <t>JOURNAL OF PHYSICAL CHEMISTRY C</t>
  </si>
  <si>
    <t>We report on the interaction of the thiocyanate ion (SCN-) with Co macrocyclics. In order to modulate the electron density located on the metal center, we used several phthalocyanine and macrocyclic molecules with electron-donating or electron-withdrawing groups located on the phthalocyanine ligand. We studied the following substituted Cobalt-macrocycles (CoPc's): cobalt-tetra-amino-phthalocyanine (4 beta(NH2)CoPc), cobalt-phthalocyanine (CoPc), cobalt-octahydroxyethylthio-phthalocyanine (8 beta(SC2H4OH)CoPc), cobalt-tetrapentylopyrrol-phthalocyanine (4 beta(PenPyr)CoPc), cobalt-tetrapyridino-phorphyrazine (4 beta(Pyr)CoPc), cobalt-octaethylhexyloxy-phthalocyanine (8 beta(EH)CoPc), cobalt-octamethoxyphthalocyanine (8 beta(OCH3)CoPc), and cobalt-hexadecafluorophthalocyanine (16(F)CoPc). Our results for the formation of a CoPc-SCN adduct indicate that the electron-withdrawing groups favors the formation of an adduct between thiocyanate and the Co center, with an increase of the thiocyanate-binding energy. When the adducts are formed, they exhibit an increasing chemical potential, thus indicating the feasibility to produce the catalysis once the adducts are formed. The molecular hardness values suggest that the CoPc's with electron-withdrawing substituents will show low catalytic activity while those with electron-donor substituents will show an enhanced catalytic activity. The functionalized Co-phthalocyanine shows the highest catalytic activity for the thiocyanate electroxidation, which presents an appropriate energy gap (HOMOSCN- - LUMOCopc's) for the adduct formation and the subsequent electronic transfer.</t>
  </si>
  <si>
    <t>zagal, jose/L-9648-2014; Arratia-Perez, Ramiro/AAG-2648-2019; MacLeod-Carey, Desmond/B-4344-2011; Munoz-Castro, Alvaro/O-5207-2014; PAVEZ, JORGE/K-6904-2014</t>
  </si>
  <si>
    <t>MacLeod-Carey, Desmond/0000-0003-4261-3684; Munoz-Castro, Alvaro/0000-0001-5949-9449; Linares-Flores, Cristian/0000-0002-2967-0388; PAVEZ, JORGE/0000-0002-5100-6707</t>
  </si>
  <si>
    <t>1932-7447</t>
  </si>
  <si>
    <t>1932-7455</t>
  </si>
  <si>
    <t>MAR 29</t>
  </si>
  <si>
    <t>10.1021/jp300764n</t>
  </si>
  <si>
    <t>WOS:000302051100037</t>
  </si>
  <si>
    <t>López-Alarcón, C; Aspée, A; Lissi, E</t>
  </si>
  <si>
    <t>Patil, BS; Jayaprakasha, GK; Murthy, KNC; Seeram, NP</t>
  </si>
  <si>
    <t>Lopez-Alarcon, Camilo; Aspee, Alexis; Lissi, Eduardo</t>
  </si>
  <si>
    <t>Influence of the Target Molecule on the ORAC Index</t>
  </si>
  <si>
    <t>EMERGING TRENDS IN DIETARY COMPONENTS FOR PREVENTING AND COMBATING DISEASE</t>
  </si>
  <si>
    <t>ACS Symposium Series</t>
  </si>
  <si>
    <t>Symposium on Agricultural and Food Derived Natural Products for Preventing and Combating Disease</t>
  </si>
  <si>
    <t>AUG 22-26, 2010</t>
  </si>
  <si>
    <t>Boston, MA</t>
  </si>
  <si>
    <t>Amer Chem Soc, Div Agr &amp; Food Chem Inc</t>
  </si>
  <si>
    <t>The ORAC (Oxygen Radical Absorbance Capacity) assay has been widely employed to evaluate the antioxidant ability of pure compounds, foods and beverages. The method usually employs fluorescein and AAPH (2,2'-Azo-bis(2-amidinopropane) dihydrochloride) as target molecule (TM) and peroxyl radical source, respectively. According to a simple competition between TM and additives (antioxidants) for peroxyl radicals, the ORAC values (relative to a reference antioxidant), should be independent on the TM employed. In the present work we present ORAC values obtained employing different TM, such as fluorescein, alizarin red, pyrogallol red and pyranine The results clearly show that the ORAC index of pure compounds and complex samples strongly depends on the TM used. Contradictory results on the antioxidant capacity of herbal and tea infusions can be obtained if fluorescein and pyrogallol red ORAC assays are compared. The dependence of the ORAC index on the TM emphasize the role of secondary radical reactions on the ORAC derived indexes.</t>
  </si>
  <si>
    <t>0097-6156</t>
  </si>
  <si>
    <t>978-0-8412-2664-7</t>
  </si>
  <si>
    <t>WOS:000313024100024</t>
  </si>
  <si>
    <t>Lemus-Mondaca, RA; Vega-Gálvez, A; Moraga, NO</t>
  </si>
  <si>
    <t>Lemus-Mondaca, Roberto A.; Vega-Galvez, Antonio; Moraga, Nelson O.</t>
  </si>
  <si>
    <t>Computational Simulation and Developments Applied to Food Thermal Processing</t>
  </si>
  <si>
    <t>FOOD ENGINEERING REVIEWS</t>
  </si>
  <si>
    <t>New challenges to improve food processing have created an incentive in the potential use of computer-aided engineering for simulating thermal processes in foods as a viable technique to provide effective and efficient design solutions. Mathematical conjugated and nonconjugated models used along suitable numerical methods such as finite differences, finite elements, and finite volumes in predicting food freezing, dehydration, and sterilization are discussed in this review. The application of computational simulation should be used in combination with conventional techniques such as physical experiments and analytical solutions in order to enhance the knowledge of fluid mechanics, heat and mass transfer in foods.</t>
  </si>
  <si>
    <t>Vega-Galvez, Antonio/F-1089-2015; Lemus-Mondaca, Roberto/E-8348-2017</t>
  </si>
  <si>
    <t>Vega-Galvez, Antonio/0000-0001-9991-6139; Lemus-Mondaca, Roberto/0000-0002-1252-2573</t>
  </si>
  <si>
    <t>1866-7910</t>
  </si>
  <si>
    <t>1866-7929</t>
  </si>
  <si>
    <t>10.1007/s12393-011-9040-x</t>
  </si>
  <si>
    <t>WOS:000297228600001</t>
  </si>
  <si>
    <t>Hanitzsch, T; Mellado, C</t>
  </si>
  <si>
    <t>Hanitzsch, Thomas; Mellado, Claudia</t>
  </si>
  <si>
    <t>What Shapes the News around the World? How Journalists in Eighteen Countries Perceive Influences on Their Work</t>
  </si>
  <si>
    <t>INTERNATIONAL JOURNAL OF PRESS-POLITICS</t>
  </si>
  <si>
    <t>This article compares the perceived importance of influences on news work across 18 societies. Evidence is based on journalists' survey responses to a six-dimensional scale, covering political, economic, organizational, professional, and procedural influences as well as influences from reference groups. The results confirm the expectation that political and economic factors are clearly the most important denominators of cross-national differences in the journalists' perceptions of influences. Furthermore, perceived political influences are clearly related to objective indicators of political freedom and ownership structures across the investigated countries. Economic influences seem to have a stronger impact in private and state-owned media than in public newsrooms, but they are not related to a country's economic freedom. With respect to organizational, professional, and procedural influences as well as the impact of reference groups, the differences between the countries turned out to be much smaller.</t>
  </si>
  <si>
    <t>Hanitzsch, Thomas/J-3684-2017</t>
  </si>
  <si>
    <t>Hanitzsch, Thomas/0000-0002-7104-6300; Mellado, Claudia/0000-0002-9281-1526</t>
  </si>
  <si>
    <t>1940-1612</t>
  </si>
  <si>
    <t>1940-1620</t>
  </si>
  <si>
    <t>10.1177/1940161211407334</t>
  </si>
  <si>
    <t>WOS:000296778600006</t>
  </si>
  <si>
    <t>Reyes, A; Evseev, A; Mahn, A; Bubnovich, V; Bustos, R; Scheuermann, E</t>
  </si>
  <si>
    <t>Reyes, Alejandro; Evseev, Agnes; Mahn, Andrea; Bubnovich, Valeri; Bustos, Ruben; Scheuermann, Erick</t>
  </si>
  <si>
    <t>Effect of operating conditions in freeze-drying on the nutritional properties of blueberries</t>
  </si>
  <si>
    <t>INTERNATIONAL JOURNAL OF FOOD SCIENCES AND NUTRITION</t>
  </si>
  <si>
    <t>The effect of particle size, use of infrared radiation, and type of freeze-drying (vacuum or atmospheric) on some nutritional properties of blueberries was investigated. Ascorbic acid was decreased in freeze-dried blueberries compared with fresh fruit, while polyphenols were decreased in atmospheric freeze-drying-unlike in vacuum freeze-drying, where this nutritional property was increased. Antioxidant activity of freeze-dried blueberries did not differ significantly from that found in fresh fruits. In order to minimize the impairment of the nutritional properties of freeze-dried blueberries, it is suggested to use infrared radiation, a relatively small particle size and vacuum freeze-drying.</t>
  </si>
  <si>
    <t>Bustos, Ruben/AAM-2029-2020; Scheuermann, Erick/J-6222-2013</t>
  </si>
  <si>
    <t>Bustos, Ruben/0000-0003-0183-0324; SCHEUERMANN, ERICK/0000-0002-6782-662X</t>
  </si>
  <si>
    <t>0963-7486</t>
  </si>
  <si>
    <t>10.3109/09637486.2010.534078</t>
  </si>
  <si>
    <t>WOS:000288754700016</t>
  </si>
  <si>
    <t>Horváthy, PA; Plyushchay, MS; Valenzuela, M</t>
  </si>
  <si>
    <t>Horvathy, Peter A.; Plyushchay, Mikhail S.; Valenzuela, Mauricio</t>
  </si>
  <si>
    <t>Bosons, fermions and anyons in the plane, and supersymmetry</t>
  </si>
  <si>
    <t>Universal vector wave equations allowing for a unified description of anyons and also of usual bosons and fermions in the plane are proposed The existence of two essentially different types of anyons based on unitary and also on non-unitary infinite-dimensional half bounded representations of the (2+1)D Lorentz algebra is revealed Those associated with non-unitary representations interpolate between bosons and fermions The extended formulation of the theory includes the previously known Jackiw-Nair UN) and MaJorana-Dirac (MD) descriptions of anyons as particular cases and allows us to compose bosons and fermions from entangled anyons The theory admits a simple supersymmetric generalization in which the JN and MD systems are unified in N=1 and N=2 supermultiplets Two different non-relativistic limits of the theory are investigated The usual one generalizes Levy-Leblond s spin 1/2 theory to arbitrary spin as well as to anyons The second Jackiw-Nair limit (that corresponds to Inonu-Wigner contraction with both anyon spin and light velocity going to infinity) is generalized to boson/fermion fields and interpolating anyons The resulting exotic Galilei symmetry is studied in both the non-supersymmetric and supersymmetric cases (C) 2010 Elsevier Inc All rights reserved</t>
  </si>
  <si>
    <t>Peter, Horvathy/0000-0002-6337-4494; Valenzuela, Mauricio/0000-0002-5478-5718</t>
  </si>
  <si>
    <t>10.1016/j.aop.2010.02.007</t>
  </si>
  <si>
    <t>WOS:000285269200004</t>
  </si>
  <si>
    <t>Lorca, S; Ubilla, P</t>
  </si>
  <si>
    <t>Lorca, Sebastian; Ubilla, Pedro</t>
  </si>
  <si>
    <t>A priori estimate for a quasilinear problem depending on the gradient</t>
  </si>
  <si>
    <t>The main purpose of this paper is to establish a priori estimate for positive solutions of some superlinear, quasilinear elliptic equations where the nonlinearity depends on x, u, and Vu. Our argument does not need a non-existence result for the limit problem obtained by the Usual blow-up procedure. This work is related to a previous one by Ruiz (2004) [9]. (C) 2009 Elsevier Inc. All rights reserved.</t>
  </si>
  <si>
    <t>10.1016/j.jmaa.2009.12.030</t>
  </si>
  <si>
    <t>WOS:000275385100008</t>
  </si>
  <si>
    <t>Sepulveda, W; Wong, AE; Dezerega, V</t>
  </si>
  <si>
    <t>Sepulveda, Waldo; Wong, Amy E.; Dezerega, Victor</t>
  </si>
  <si>
    <t>First-trimester sonographic findings in trisomy 18: a review of 53 cases</t>
  </si>
  <si>
    <t>PRENATAL DIAGNOSIS</t>
  </si>
  <si>
    <t>Objective To report Our experience with first-trimester sonographic findings in pregnancies complicated by trisomy 18. Methods Proven cases of trisomy 18 undergoing sonographic examination between 11 + 0 and 13 + 6 weeks of gestation were retrospectively identified. Information on maternal demographics, prenatal sonographic findings, and chromosomal analysis results was obtained by reviewing the ultrasound reports and medical records. Results During the 12-year period from July 1997 to June 2009, 53 cases of full trisomy IS had first-trimester sonographic examination performed at Our institution. All but one fetus displayed one or more abnormal sonographic finding, most commonly increased nuchal translucency thickness (n = 48, 91%). Absent or hypoplastic nasal bone was documented in 53% of the fetuses in which this marker was specifically looked for. Structural anomalies included omphalocele in 11 (21%), abnormal posturing of the hands in three (6%), megacystis in two (4%), and abnormal four-chamber view of the heart in two (4%). Early-onset fetal growth restriction and bradycardia were documented in 14 (26%) and 4 (8%) of the cases, respectively. Conclusions Our Study demonstrates that a large number of fetuses with trisomy 18 have abnormal sonographic findings in the first trimester. However, the sonographic features Usually found in the second-trimester are difficult to detect at an early gestational a,,e. The recognition of the specific first-trimester sonographic pattern of trisomy IS may allow improved detection of this serious condition in early pregnancy Copyright (C) 2010 John Wiley &amp; Sons, Ltd.</t>
  </si>
  <si>
    <t>0197-3851</t>
  </si>
  <si>
    <t>10.1002/pd.2462</t>
  </si>
  <si>
    <t>WOS:000275695300012</t>
  </si>
  <si>
    <t>Morales, CB</t>
  </si>
  <si>
    <t>Benavente Morales, Carolina</t>
  </si>
  <si>
    <t>Divine cultural consecration and uses of the sacred in the Mexican actress Maria Felix (1914-2002)</t>
  </si>
  <si>
    <t>CONVERGENCIA-REVISTA DE CIENCIAS SOCIALES</t>
  </si>
  <si>
    <t>Benavente, Carolina/JCP-2070-2023</t>
  </si>
  <si>
    <t>Benavente, Carolina/0000-0002-9246-5934</t>
  </si>
  <si>
    <t>1405-1435</t>
  </si>
  <si>
    <t>JAN-APR</t>
  </si>
  <si>
    <t>WOS:000291626900011</t>
  </si>
  <si>
    <t>Solé, D; Mallol, J; Wandalsen, GF; Aguirre, V</t>
  </si>
  <si>
    <t>Sole, D.; Mallol, J.; Wandalsen, G. F.; Aguirre, V.</t>
  </si>
  <si>
    <t>Latin Amer ISAAC Phase 3 Study Grp</t>
  </si>
  <si>
    <t>Prevalence of Symptoms of Eczema in Latin America: Results of the International Study of Asthma and Allergies in Childhood (ISAAC) Phase 3</t>
  </si>
  <si>
    <t>JOURNAL OF INVESTIGATIONAL ALLERGOLOGY AND CLINICAL IMMUNOLOGY</t>
  </si>
  <si>
    <t>Background: The aim of the International Study of Asthma and Allergies in Childhood (ISAAC) was to evaluate the prevalence of symptoms of eczema among children living in different parts of Latin America. Data were from centers that participated in ISAAC Phase 3. Methods: This was a cross-sectional questionnaire survey of 93 851 schoolchildren (6 to 7 years old) from 35 centers in 14 Latin American countries and 165 917 adolescents (13 to 14 years old) from 56 centers in 17 Latin American countries. Results: The mean prevalence of current flexural eczema in schoolchildren was 11.3%, ranging from 3.2% in Ciudad Victoria (Mexico) to 25.0% in Barranquilla (Colombia). For adolescents, the prevalence varied from 3.4% in Santo Andre (Brazil) to 30.2% in Barranquilla (mean prevalence, 10.6%). The mean prevalence of current symptoms of severe eczema among schoolchildren was 1.5%, ranging from 0.3% in Ciudad Victoria, Toluca, and Cuernavaca (Mexico) to 4.9% in La Habana (Cuba). For adolescents, the mean prevalence was 1.4%, ranging from 0.1 % in Mexicali Valley (Mexico) to 4.2% in Santa Cruz (Bolivia). These prevalence values are among the highest observed during ISAAC Phase 3. In general, the prevalence of current symptoms of eczema was higher among the Spanish-speaking centers for both schoolchildren and adolescents. Conclusion: Environmental risk factors must be evaluated in order to identify potential causes for the differences observed, even in centers from the same country.</t>
  </si>
  <si>
    <t>Solé, Dirceu/JAO-0340-2023; Wandalsen, Gustavo/D-8412-2013; Garcia-Almaraz, Roberto/G-8506-2018</t>
  </si>
  <si>
    <t>Mallol, Javier/0000-0003-2528-8672; Garcia-Almaraz, Roberto/0000-0001-5828-1771</t>
  </si>
  <si>
    <t>1018-9068</t>
  </si>
  <si>
    <t>1698-0808</t>
  </si>
  <si>
    <t>WOS:000280498000007</t>
  </si>
  <si>
    <t>Rojas, NO; Argentina, M; Cerda, EA; Tirapegui, E</t>
  </si>
  <si>
    <t>Rojas, N. O.; Argentina, M.; Cerda, E. A.; Tirapegui, E.</t>
  </si>
  <si>
    <t>Nonlinear Faraday waves at low Reynolds numbers</t>
  </si>
  <si>
    <t>We derive a set of non-linear amplitude equations that predicts the presence of nonlinear patterns in a vertically oscillated one dimensional viscous fluid layer. (C) 2009 Elsevier B.V. All rights reserved.</t>
  </si>
  <si>
    <t>Argentina, Mederic/AAR-8153-2021; Tirapegui, Enrique/G-8141-2016; Rojas, Nicolás/C-8683-2019; Argentina, Mederic/I-8741-2014</t>
  </si>
  <si>
    <t>Argentina, Mederic/0000-0002-8926-7398; Rojas, Nicolas O./0000-0001-7562-2670</t>
  </si>
  <si>
    <t>10.1016/j.molliq.2009.03.003</t>
  </si>
  <si>
    <t>WOS:000267455600005</t>
  </si>
  <si>
    <t>Ortiz-Calderón, C; Alcaide, O; Kao, JL</t>
  </si>
  <si>
    <t>Ortiz-Calderon, Claudia; Alcaide, Oscar; Li Kao, Julia</t>
  </si>
  <si>
    <t>Copper distribution in leaves and roots of plants growing on a copper mine-tailing storage facility in northern Chile</t>
  </si>
  <si>
    <t>In a copper mine-tailing afforested we characterized the physicochemical properties of the Substrate at vegetated and non-vegetated patches. We Studied the accumulation of copper in roots and leaves of the species present at the Site, to evaluate their phytoextraction and/or phytostabilization potential. The non-vegetated mine-tailing, Substrate showed a high content of metals, mainly copper (&gt; 2.5 g kg(-1)), a pH 7.4, high content of salts and 5.0% organic matter. Vegetated patches at the tailing showed similar characteristics of pH I, salts and organic matter content, and showed a total copper concentration lower than the content found at the non-vegetated patches. Nine plant species present at the site were screened for copper accumulation and distribution in roots and leaves, and potential for copper phytoextraction or phytostabilization was suggested, The native species Schinus polygamus and Atriplex deserticola, accumulated over 1.2 g kg(-1) copper ill their leaves, showing that they are pseudometallophytes for the metal. Five of the nine plant species studied were considered Suitable for phytoextraction procedures and four were apt for phytostabilization of copper polluted sites. By making a screening of species growing oil a copper polluted site, we were able to select plants adapted to semi-arid environmental conditions and suitable for mine-tailings remediation purposes.</t>
  </si>
  <si>
    <t>WOS:000263164300004</t>
  </si>
  <si>
    <t>Pedreschi, F; Cocio, C; Moyano, P; Troncoso, E</t>
  </si>
  <si>
    <t>Pedreschi, Franco; Cocio, Claudia; Moyano, Pedro; Troncoso, Elizabeth</t>
  </si>
  <si>
    <t>Oil distribution in potato slices during frying</t>
  </si>
  <si>
    <t>The objective of this research was to study the kinetics of oil absorption and distribution in the structure of potato slices during frying, considering the effects of three oil temperatures and a blanching pre-treatment. Either raw or blanched potato slices (Desiree variety, diameter: 30 rum, thickness: 3.0 mm) were fried at three constant (+/- 1 degrees C) oil temperatures: 120, 150 and 180 degrees C. The blanching pre-treatment was accomplished in hot water at 85 degrees C for 3.5 min. Raw potato slices were used as the control for the experiments. The amount of oil absorbed was quantified during frying at four time intervals. The following fractions of the total oil (TO) content of potato slices were determined: (i) structural oil (STO); (ii) penetrated surface oil (PSO); and (iii) surface oil (SO). PSO constituted the highest fraction of the total oil content and this was the case for the control as well as the blanched slices, confirming that oil absorption in potato chips is mainly a surface phenomenon. Contrary to expectation, the blanched potato chips absorbed more oil than the control chips. The higher the frying temperature, the lower the oil absorbed by chips. Confocal laser scanning microscopy (CLSM) and scanning electron microscopy (SEM) allowed studying the surface topography of potato chips, and in some cases, the location of oil on the surface. (c) 2007 Elsevier Ltd. All rights reserved.</t>
  </si>
  <si>
    <t>10.1016/j.jfoodeng.2007.11.031</t>
  </si>
  <si>
    <t>WOS:000254722500006</t>
  </si>
  <si>
    <t>Bosonized supersymmetry of anyons and supersymmetric exotic particle on the non-commutative plane</t>
  </si>
  <si>
    <t>A covariant set of linear differential field equations, describing an N = 1 supersymmetric anyon system in (2 + 1)D, is proposed in terms of Wigner's deformation of the bosonic Heisenberg algebra. The non-relativistic Jackiw-Nair limit extracts the ordinary bosonic and fermionic degrees of freedom from the Heisenberg-Wigner algebra. It yields first-order, non-relativistic wave equations for a spinning particle on the non-commutative plane that admits a Galilean exotic planar N = 1 supersymmetry. (c) 2007 Elsevier B.V. All rights reserved.</t>
  </si>
  <si>
    <t>Valenzuela, Mauricio/0000-0002-5478-5718</t>
  </si>
  <si>
    <t>APR 23</t>
  </si>
  <si>
    <t>10.1016/j.nuclphysb.2007.01.021</t>
  </si>
  <si>
    <t>WOS:000245994600005</t>
  </si>
  <si>
    <t>Quitral, V; Romero, N; Avila, L; Marín, ME; Nuñez, H; Simpson, R</t>
  </si>
  <si>
    <t>Quitral, V.; Romero, N.; Avila, L.; Marin, M. E.; Nunez, H.; Simpson, R.</t>
  </si>
  <si>
    <t>Thiamine retention as a function of thermal processing conditions:: canned salmon.</t>
  </si>
  <si>
    <t>ARCHIVOS LATINOAMERICANOS DE NUTRICION</t>
  </si>
  <si>
    <t>The present work studied the effect of different treatments at high temperatures on the nutritional properties of thiamine retention and color measurement experimentally. Canned salmon (Salmo salar) was processed under different temperatures and time conditions (110 degrees C for 135 minutes; 114 degrees C for 89 minutes; 118 degrees C for 69 minutes and 121 degrees C for 62 minutes). Thiamine was determined by HPLC before and after the process. Color changes, due to processing conditions, were also measured utilizing a Hunter colorimeter. The canning was prepared in 300 x 407 cans and sterilized until Fo value reached 6 min. The nutritional value or index represented by the B1 vitamin or thiamine was affected by high temperature and time exposition. The lowest loss of thiamine of 19.2% was obtained in the canned salmon sterilized at 114 degrees C for 89 minutes. The color in canned salmon was different from the raw material, with a severe loss of red color and a greater clarity of the meat.</t>
  </si>
  <si>
    <t>Simpson, Ricardo/J-3775-2019</t>
  </si>
  <si>
    <t>0004-0622</t>
  </si>
  <si>
    <t>2309-5806</t>
  </si>
  <si>
    <t>WOS:000238267200010</t>
  </si>
  <si>
    <t>Alarcón, E; Lissi, E; Aspée, A</t>
  </si>
  <si>
    <t>Luminescence associated to the interaction of Tryptophan residues with singlet oxygen</t>
  </si>
  <si>
    <t>PLACENTA</t>
  </si>
  <si>
    <t>Joint Meeting of the 2nd Latinamerican Symposium on Fetal-Mateanal Interaction and Placenta/19th Annual Meeting of the Chilean-Society-of-Physiological-Sciences</t>
  </si>
  <si>
    <t>NOV 06-09, 2005</t>
  </si>
  <si>
    <t>Chilean Soc Physiol Sci</t>
  </si>
  <si>
    <t>0143-4004</t>
  </si>
  <si>
    <t>A45</t>
  </si>
  <si>
    <t>WOS:000233996200155</t>
  </si>
  <si>
    <t>Montes, S; Atenas, GM</t>
  </si>
  <si>
    <t>Hematite floatability mechanism utilizing tetradecylammonium chloride collector</t>
  </si>
  <si>
    <t>The aim of this work is to analyze the mechanisms involved on hematite floatability using tetradecylammonium chloride as collector agent. The emphasis of the study is focused on mineral/collector interactions with the aim of optimizing the mineral recovery. In order to obtain better hematite floatability, the tetradecylammonium chloride concentration is relatively high in comparison with its corresponding critical micelle concentration (CMC) value, widely reported in the literature. The optimum was found when surfactant monolayer coverage was attained. Furthermore, if the zeta potential is close to zero or shifts to positive values the mineral recovery is enhanced, possibly due to the counter ions chemically adsorbed on the mineral surface. (c) 2005 Elsevier Ltd. All rights reserved.</t>
  </si>
  <si>
    <t>Montes Atenas, Gonzalo/H-4162-2018</t>
  </si>
  <si>
    <t>Montes Atenas, Gonzalo/0000-0001-9393-2015</t>
  </si>
  <si>
    <t>10.1016/j.mineng.2005.01.016</t>
  </si>
  <si>
    <t>WOS:000232130000005</t>
  </si>
  <si>
    <t>Guíñez, V; Sáez, E</t>
  </si>
  <si>
    <t>Versal unfoldings for rank-2 singularities of positive quadratic differential forms:: The remaining case</t>
  </si>
  <si>
    <t>DISCRETE AND CONTINUOUS DYNAMICAL SYSTEMS</t>
  </si>
  <si>
    <t>We complete the local study of rank-2 singular points of positive quadratic differential forms on oriented two-dimensional manifolds. We associate to each positive quadratic differential form w defined on an oriented two-dimensional manifold M two transversal one-dimensional foliations f(1) (w) and f(2) (w) with common set of singular points. This study was begun in [Gut-Gui] for a generic class of singularities called simple, and continued in [Cui-Sa] for those non-simple rank-2 singular points called of type C. Taking into account the classification of [Gui3], the only rank-2 singular points which remain to be studied are those of type E(a), for lambda &gt;= 1. We undertake the local study of the remaining case under a non-flatness condition on the positive quadratic differential form at the singular point.</t>
  </si>
  <si>
    <t>1078-0947</t>
  </si>
  <si>
    <t>WOS:000228560800006</t>
  </si>
  <si>
    <t>Marco, JF; Gancedo, JR; Ortiz, J; Gautier, JL</t>
  </si>
  <si>
    <t>Characterization of the spinel-related oxides NixCo3-xO4 (x=0.3, 1.3, 1.8) prepared by spray pyrolysis at 350 °C</t>
  </si>
  <si>
    <t>APPLIED SURFACE SCIENCE</t>
  </si>
  <si>
    <t>Films of nominal composition NixCo3-xO4 (x = 0.3 1.3, 1.8) prepared by spray pyrolysis have been characterized by X-ray diffraction (XRD) and X-ray photoelectron spectroscopy (XPS). The results show that the film with x = 0.3 is monophasic, presents a spinel-related structure and contains Ni2+, Ni3+, Co2+ and CO3+. In the films with x = 1.3 and 1.8 the preparation leads to the formation of significant amounts of NiO and Coo which are segregated to the surface of the sprayed films. The effect on the reducibility of the different materials under Ar+ sputtering has also been investigated. The film with x = 0.3 was found to be the most difficult to reduce, whilst the films with x = 1.3 and 1.8 were reduced to metallic Ni, metallic Co, and CoO. (C) 2003 Elsevier B.V. All rights reserved.</t>
  </si>
  <si>
    <t>0169-4332</t>
  </si>
  <si>
    <t>1873-5584</t>
  </si>
  <si>
    <t>1-4</t>
  </si>
  <si>
    <t>10.1016/j.apsusc.2003.11.065</t>
  </si>
  <si>
    <t>WOS:000220944100020</t>
  </si>
  <si>
    <t>Cárdenas-Jirón, GI; Venegas-Yazigi, DA</t>
  </si>
  <si>
    <t>Theoretical study of global and local charge transfer descriptors applied to the interaction of cobalt phthalocyanine with 2-mercaptoethanol and cobalt phthalocyanine with pyridine in the gas phase</t>
  </si>
  <si>
    <t>JOURNAL OF PHYSICAL CHEMISTRY A</t>
  </si>
  <si>
    <t>In this article, we present a theoretical study of global and local charge transfer (CT) descriptors applied to a redox reaction and to a formation reaction, i.e. the interaction between cobalt phthalocyanine and 2-mercaptoethanol and the interaction between cobalt phthalocyanine and pyridine, respectively. Global and local properties profiles were built up along a reaction coordinate defined between the atoms directly involved in each reaction. Two regions along the reaction coordinate were found for the redox reaction rationalized in terms of different kind of interactions, i.e., the net CT and no-interaction regions. However, the formation reaction only shows one region along the reaction coordinate, i.e., the formation region. We also found that local properties such as spin density and atomic net charge are good charge transfer descriptors because they show clearly the difference between a net CT and a partial CT along the reaction coordinate.</t>
  </si>
  <si>
    <t>Cardenas-Jiron, Gloria/H-9508-2012; Venegas-Yazigi, Diego/C-5022-2009</t>
  </si>
  <si>
    <t>Cardenas-Jiron, Gloria/0000-0003-4305-8088; Venegas-Yazigi, Diego/0000-0001-7816-2841</t>
  </si>
  <si>
    <t>1089-5639</t>
  </si>
  <si>
    <t>10.1021/jp0215973</t>
  </si>
  <si>
    <t>WOS:000179732000011</t>
  </si>
  <si>
    <t>Cifuentes, L; Crisóstomo, G; Ibáñez, JP; Casas, JM; Alvarez, F; Cifuentes, G</t>
  </si>
  <si>
    <t>On the electrodialysis of aqueous H2SO4-CuSO4 electrolytes with metallic impurities</t>
  </si>
  <si>
    <t>JOURNAL OF MEMBRANE SCIENCE</t>
  </si>
  <si>
    <t>This work aims to contribute to the characterization of the electrodialysis (ED) of aqueous sulfuric acid-copper sulfate solutions. The presence of impurities such as As and Sb, typical of copper electrorefining electrolytes, is also studied. Results from kinetic studies carried out in ED cells with and without re-circulation are presented. The concentrations were: 3-9 gl(-1) copper, 50 gl(-1) sulfuric acid. 3 gl(-1) arsenic and 0.025 gl(-1) antimony; the temperatures, 22 and 44degreesC the transport rates, depending on experimental conditions, 0.2-0.6 mol h(-1) m(-2) of membrane for copper, 0.65-2.8 for sulfate, and 0.016-0.03 for arsenic. A speciation model has been developed and applied in order to interpret the experimental results and the performance of the studied cells has been evaluated. The main conclusion is that ED can be applied to the separation and concentration of chemical species in these systems. (C) 2002 Elsevier Science B.V. All rights reserved.</t>
  </si>
  <si>
    <t>Seves, Luis/I-1108-2013; Casas, Jesus/HJY-7878-2023; Cifuentes, Gerardo/AAS-2148-2021</t>
  </si>
  <si>
    <t>0376-7388</t>
  </si>
  <si>
    <t>PII S0376-7388(01)00733-5</t>
  </si>
  <si>
    <t>10.1016/S0376-7388(01)00733-5</t>
  </si>
  <si>
    <t>WOS:000176872700001</t>
  </si>
  <si>
    <t>Ramírez, G; Trollund, E; Canales, JC; Canales, MJ; Armijo, F; Aguirre, MJ</t>
  </si>
  <si>
    <t>Effect of the conditions of electropolymerization on the electrocatalytic response of non-metalled-poly-tetraaminophthalocyanine-modified electrodes toward the reduction of oxygen</t>
  </si>
  <si>
    <t>The macrocyclic ligand, tetraaminophthalocyanine, was electropolymerized on a glassy carbon electrode by continuously potentiodynamic scans, using two different solvents, dimethylsulfoxide and dimethylformamide. In the first case, an over-oxidation can takes place, which partially destroy the film and inhibits its electrocatalytic activity for the reduction of oxygen compared to the polymer grown in dimethylformamide. To avoid this over-oxidation, two possible ways can be used: to achieve the electropolymerization during a lower number of potentiodynamic scans or using a positive potential limit shifted to more negative potentials. If a narrow potential interval is used, the electrocatalytic behavior of the polymer is similar to that obtained in dimethylformamide. However, if a wide potential interval is used but only during few potentiodynamic scans, it is possible to obtain a polymer with a new redox signal that presents a very interesting electrocatalytic activity for the reduction of molecular oxygen.</t>
  </si>
  <si>
    <t>Aguirre, Maria/A-3935-2013; Armijo, Francisco/G-3391-2013</t>
  </si>
  <si>
    <t>Armijo, Francisco/0000-0002-2479-6280; Ramirez, Galo/0000-0002-6217-4730; Aguirre, Maria/0000-0003-1134-4469; Canales Villalobos, Juan Carlos/0009-0006-3215-4997</t>
  </si>
  <si>
    <t>WOS:000172210200003</t>
  </si>
  <si>
    <t>Ordoñez, S; Iturriza, I; Castro, F</t>
  </si>
  <si>
    <t>The influence of amount and type of additives on α→β Si3N4 transformation</t>
  </si>
  <si>
    <t>JOURNAL OF MATERIALS SCIENCE</t>
  </si>
  <si>
    <t>During the liquid-phase sintering of silicon nitride-based ceramics, the dissolution of the Si3N4 is inferred from the tendency of the alpha-Si3N4 to transform to beta-Si3N4 In order for this to correlate with densification it is necessary for the dissolved material to diffuse and precipitate, allowing contraction. In the present work the influence of the amount, quantity and type of additives on the alpha --&gt; beta transformation has been analysed. Two systems have been studied: Si3N4-SiO2 and Si3N4-Y2O3-SiO2 All samples were densified through hot isostatic pressing (HIP) of encapsulated compacts. In the Si3N4-SiO2 system the dissolution of alpha-phase follows a zero-order kinetics and the amount of intergranular phase increases uniformly as a function of time, in this way eliminating dissolution as the rate-controlling mechanism in the transformation kinetic. In the Si3N4-Y2O3-SiO2 system, the kinetics of dissolution are first-order and the amount of intergranular phase remains constant with time. This is a sufficient and necessary condition to establish that transformation in this system is a process whose kinetics are controlled by the dissolution of alpha-Si3N4 in the liquid phase. (C) 1999 Kluwer Academic Publishers.</t>
  </si>
  <si>
    <t>Iturriza, Inigo/ABK-3882-2022</t>
  </si>
  <si>
    <t>Inigo, Iturriza/0000-0003-1662-4945</t>
  </si>
  <si>
    <t>0022-2461</t>
  </si>
  <si>
    <t>10.1023/A:1004402700036</t>
  </si>
  <si>
    <t>WOS:000078972100020</t>
  </si>
  <si>
    <t>Disalvo, EA; Campos, AM; Abuin, E; Lissi, EA</t>
  </si>
  <si>
    <t>Surface changes induced by osmotic shrinkage on large unilamellar vesicles</t>
  </si>
  <si>
    <t>Osmotic shrinkage changes the surface properties of dipalmitoylphosphatidylcholine large unilamellar vesicles depending on the phase state of the bilayer. In the gel state, shrinkage produces an increase in the adsorption of hydrophobic dyes, such as Merocyanine 540 (MC540) monomers, toluidine and anilinonaphthalene sulfonic acid (TNS, ANS). In the fluid state, shrinkage does not affect the bilayer surface when gradients between the inner and the outer compartments below 0.2-0.25 M NaCl (higher concentration outside) are applied. Larger differences in concentrations produce an increase in packing as inferred from the desorption of the MC monomers. Kinetic experiments show that the surface changes correlate with the volume decrease produced by the water extrusion from the vesicle interior. It is interpreted that the decrease of water content compels the vesicles to a state in which defects at the membrane surface are likely to occur when the bilayer is in the gel state.</t>
  </si>
  <si>
    <t>Campos, Ana/IQU-7506-2023</t>
  </si>
  <si>
    <t>10.1016/S0009-3084(96)02617-5</t>
  </si>
  <si>
    <t>WOS:A1996VV09000004</t>
  </si>
  <si>
    <t>Jashes, M; Gonzalez, M; LopezLastra, M; DeClercq, E; Sandino, A</t>
  </si>
  <si>
    <t>Inhibitors of infectious pancreatic necrosis virus (IPNV) replication</t>
  </si>
  <si>
    <t>ANTIVIRAL RESEARCH</t>
  </si>
  <si>
    <t>In attempts to detect inhibitors of infectious pancreatic necrosis virus (IPNV) replication, we have evaluated, by an IPNV plaque inhibition assay, a group of compounds that have broad spectrum antiviral activity for both single- and double-stranded RNA viruses. The inosine monophosphate dehydrogenase (IMP dehydrogenase) inhibitors 1-beta-D-ribofuranosyl-1 ,2,4-triazole-3-carboxamide (ribavirin) and 5-ethynyl-1-beta-D-ribofuranosylimidazole-4-carboxamide (EICAR), and the orotidine monophosphate decarboxylase (OMP decarboxylase) inhibitor 4-hydroxy-3-beta-D-ribofuranosylpyrazole-5-carboxamide (pyrazofurin), were found to inhibit IPNV replication. For EICAR and pyrazofurin the concentrations that inhibited the IPNV plaque formation by 50% (EC(50)) were 0.01 mu g/ml and 0.5 mu g/ml, respectively. The cytotoxic concentrations required to reduce cell viability by 50% (CC50) were 50 mu g/ml and 100 mu g/ml, respectively, and the concentrations that reduced [methyl-H-3] thymidine incorporation by 50% (IC50) were 0.5-1 and 50 mu g/ml. Thus, for both compounds the IPNV-inhibitory concentration was 50-100 times lower than the concentration that affected DNA synthesis in growing cells. EICAR and pyrazofurin seem to be good candidates for further evaluation in an in vivo model of IPNV infection.</t>
  </si>
  <si>
    <t>; Lopez-Lastra, Marcelo/HHM-9832-2022</t>
  </si>
  <si>
    <t>De Clercq, Erik/0000-0002-2985-8890; Lopez-Lastra, Marcelo/0000-0002-7936-8478; SANDINO, ANA MARIA/0000-0002-3862-3743</t>
  </si>
  <si>
    <t>0166-3542</t>
  </si>
  <si>
    <t>10.1016/0166-3542(96)80226-9</t>
  </si>
  <si>
    <t>WOS:A1996UJ97600017</t>
  </si>
  <si>
    <t>CLARO, F; VIVANCO, F; PACHECO, M</t>
  </si>
  <si>
    <t>RESONANT TUNNELING - RELATION BETWEEN THE TRANSMISSION COEFFICIENT AND A MEASURABLE QUANTITY</t>
  </si>
  <si>
    <t>SURFACE SCIENCE</t>
  </si>
  <si>
    <t>4TH INTERNATIONAL CONF ON MODULATED SEMICONDUCTOR STRUCTURES</t>
  </si>
  <si>
    <t>JUL 17-21, 1989</t>
  </si>
  <si>
    <t>UNIV MICHIGAN, ANN ARBOR, MI</t>
  </si>
  <si>
    <t>FORD MOTORS,IBM,UNIV MICHIGAN, OFF VICE PRESIDENT RES, COLL ENGN, DEPT PHYS,USA, RES OFF,USAF, OFF SCI RES,USN, OFF NAVAL RES</t>
  </si>
  <si>
    <t>UNIV MICHIGAN</t>
  </si>
  <si>
    <t>Pacheco, Monica/AAG-8440-2019; Vivanco, Francisco/AAB-8928-2019; Pacheco, Monica/L-9669-2014</t>
  </si>
  <si>
    <t>claro, francisco/0000-0003-2122-6992; Pacheco, Monica/0000-0002-4293-5213</t>
  </si>
  <si>
    <t>0039-6028</t>
  </si>
  <si>
    <t>1-3</t>
  </si>
  <si>
    <t>10.1016/0039-6028(90)90359-G</t>
  </si>
  <si>
    <t>WOS:A1990DD08600116</t>
  </si>
  <si>
    <t>WALTER, T; DEANDRACA, I; CHADUD, P; PERALES, CG</t>
  </si>
  <si>
    <t>IRON-DEFICIENCY ANEMIA - ADVERSE-EFFECTS ON INFANT PSYCHOMOTOR DEVELOPMENT</t>
  </si>
  <si>
    <t>PEDIATRICS</t>
  </si>
  <si>
    <t>In a double-blind, placebo-control prospective cohort study of 196 infants from birth to 15 months of age, assessment was made at 12 months of age of the relationship between iron status and psychomotor development, the effect of a short-term (10-day) trial of oral iron vs placebo, and the effect of long-term (3 months) oral iron therapy. Development was assessed with the mental and psychomotor indices and the infant behavior record of the Bayley Scales of Infant Development in 39 anemic, 30 control, and 127 nonanemic iron-deficient children. Anemic infants had significantly lower Mental and Psychomotor Developmental Index scores than control infants (one-way analysis of variance, P &lt; .0001). Control infants and nonanemic iron-deficient infants performed comparably. No difference was noted between the effect of oral administration of iron or placebo after 10 days or after 3 months of iron therapy. Among anemic infants a hemoglobin concentration &lt; 10.5 g/dL and duration of anemia of &gt; 3 months were correlated with significantly lower motor and mental scores (P &lt; .05). Anemic infants failed specifically in language capabilities and body balance-coordination skills when compared with controls. These results, in a design in which intervening variables were closely controlled, suggest that when iron deficiency progresses to anemia, but not before, adverse influences in the performance of developmental tests appear and persist for at least 3 months despite correction of anemia with iron therapy. If these impairments prove to be long standing, prevention of iron deficiency anemia in early infancy becomes the only way to avoid them.</t>
  </si>
  <si>
    <t>0031-4005</t>
  </si>
  <si>
    <t>1098-4275</t>
  </si>
  <si>
    <t>WOS:A1989AD93400002</t>
  </si>
  <si>
    <t>ABUIN, E; LISSI, E; BIANCHI, N; MIOLA, L; QUINA, FH</t>
  </si>
  <si>
    <t>QUENCHING OF AROMATIC HYDROCARBON FLUORESCENCE BY COUNTERIONS IN AQUEOUS MICELLAR SOLUTION - RELATIONSHIP TO ION-EXCHANGE</t>
  </si>
  <si>
    <t>JOURNAL OF PHYSICAL CHEMISTRY</t>
  </si>
  <si>
    <t>Quina, Frank/H-2255-2012</t>
  </si>
  <si>
    <t>Quina, Frank/0000-0003-2981-3390</t>
  </si>
  <si>
    <t>0022-3654</t>
  </si>
  <si>
    <t>10.1021/j150643a021</t>
  </si>
  <si>
    <t>WOS:A1983RU43800021</t>
  </si>
  <si>
    <t>LISSI, EA; ZANOCCO, A</t>
  </si>
  <si>
    <t>PHOTOINITIATED POLYMERIZATION - EFFECT OF THE INITIATOR ABSORBANCE</t>
  </si>
  <si>
    <t>ZANOCCO, ANTONIO/0000-0002-6521-5382</t>
  </si>
  <si>
    <t>10.1002/pol.1983.170210804</t>
  </si>
  <si>
    <t>WOS:A1983RC05500004</t>
  </si>
  <si>
    <t>Román, J; Lagos, A; Mahn, A; Quintero, J</t>
  </si>
  <si>
    <t>Roman, Juan; Lagos, Ailine; Mahn, Andrea; Quintero, Julian</t>
  </si>
  <si>
    <t>The Effect of Broccoli Glucosinolates Hydrolysis Products on Botrytis cinerea: A Potential New Antifungal Agent</t>
  </si>
  <si>
    <t>INTERNATIONAL JOURNAL OF MOLECULAR SCIENCES</t>
  </si>
  <si>
    <t>The present study investigates the interactions between eight glucosinolate hydrolysis products (GHPs) sourced from broccoli by-products and the detoxifying enzymes of Botrytis cinerea, namely eburicol 14-alpha-demethylase (CYP51) and glutathione-S-transferase (GST), through in silico analysis. Additionally, in vitro assays were conducted to explore the impact of these compounds on fungal growth. Our findings reveal that GHPs exhibit greater efficacy in inhibiting conidia germination compared to mycelium growth. Furthermore, the results demonstrate the antifungal activity of glucosinolate hydrolysis products derived from various parts of the broccoli plant, including inflorescences, leaves, and stems, against B. cinerea. Importantly, the results suggest that these hydrolysis products interact with the detoxifying enzymes of the fungus, potentially contributing to their antifungal properties. Extracts rich in GHPs, particularly iberin and indole-GHPs, derived from broccoli by-products emerge as promising candidates for biofungicidal applications, offering a sustainable and novel approach to plant protection by harnessing bioactive compounds from agricultural residues.</t>
  </si>
  <si>
    <t>Roman, Juan/AAA-1689-2019</t>
  </si>
  <si>
    <t>Roman Aliste, Juan Ismael/0000-0002-9505-0953</t>
  </si>
  <si>
    <t>1661-6596</t>
  </si>
  <si>
    <t>1422-0067</t>
  </si>
  <si>
    <t>10.3390/ijms25147945</t>
  </si>
  <si>
    <t>WOS:001278616500001</t>
  </si>
  <si>
    <t>Sepúlveda, F; Oyarzun-Ampuero, F; Matiacevich, S; Ortiz-Viedma, J; Lemus-Mondaca, R; Char, C</t>
  </si>
  <si>
    <t>Sepulveda, Francisco; Oyarzun-Ampuero, Felipe; Matiacevich, Silvia; Ortiz-Viedma, Jaime; Lemus-Mondaca, Roberto; Char, Cielo</t>
  </si>
  <si>
    <t>Use of whey protein concentrate to encapsulate hydrophobic natural antimicrobials to improve their incorporation into high moisture foods enhancing their antimicrobial activity</t>
  </si>
  <si>
    <t>INNOVATIVE FOOD SCIENCE &amp; EMERGING TECHNOLOGIES</t>
  </si>
  <si>
    <t>Synthetic antimicrobials have been questioned by consumers; thus, natural antimicrobials have emerged as an alternative. However, their use is limited by their low miscibility in high-moisture foods. The objective of this work was to formulate and characterize microparticles of cinnamaldehyde (E-CIN) and vanillin (E-VA) using whey protein concentrate (WPC), and to assess the effect of the encapsulation on the inactivation of L. innocua in a protein beverage. The concentration of WPC (1:1 or 2:1) in the E-CIN did not affect the droplet size and stability, thus the 1:1 ratio was selected. On the contrary, in E-VA increasing WPC concentration (2:1) reduced the droplet size, increasing stability. E-CIN presented greater antimicrobial activity than the unemulsified CIN. E-CIN (1.0 g/L) showed the greatest antimicrobial activity with 3.5 log cycles reduction of L. innocua. While vanillin encapsulation had an insignificant effect on the antimicrobial activity, reducing 1.0 log cycles of L. innocua. In conclusion, cinnamaldehyde was more effective than vanillin, and the encapsulation with WPC increased its antimicrobial activity. Further research is necessary to improve the stability and the antimicrobial activity of vanillin microparticles. Industrial relevance: This work proposes an alternative to replace synthetic antimicrobials with natural antimicrobials of plant origin. It is based on solving the problem of the low miscibility of hydrophobic antimicrobials such as cinnamaldehyde (cinnamon oil) and vanillin, to incorporate them into foods with high moisture content. This information could be useful for the beverage and juice industry, as encapsulated natural antimicrobials can be used to obtain high-quality, fresh, clean label products. Additionally, extending the shelf life of the product can be advantageous for commercialization purposes.</t>
  </si>
  <si>
    <t>; Lemus-Mondaca, Roberto/E-8348-2017</t>
  </si>
  <si>
    <t>Sepulveda-Cerda, Francisco-Joaquin/0009-0005-3748-0022; Lemus-Mondaca, Roberto/0000-0002-1252-2573</t>
  </si>
  <si>
    <t>1466-8564</t>
  </si>
  <si>
    <t>1878-5522</t>
  </si>
  <si>
    <t>10.1016/j.ifset.2024.103687</t>
  </si>
  <si>
    <t>WOS:001240727400001</t>
  </si>
  <si>
    <t>Alda, E; Dammert, L</t>
  </si>
  <si>
    <t>Alda, Erik; Dammert, Lucia</t>
  </si>
  <si>
    <t>The Effects of Body-Worn Cameras on Police Efficiency: A Study of Local Police Agencies in the United States</t>
  </si>
  <si>
    <t>INTERNATIONAL CRIMINAL JUSTICE REVIEW</t>
  </si>
  <si>
    <t>Research on body-worn cameras (BWCs) has burgeoned in recent years. However, much of this research has not examined the effects of this technology on police performance. In this study, we created a novel dataset on police organizational inputs and outputs and assessed the effects that BWCs have on police efficiency. Using a multiple-stage approach, in the first stage, we estimated the efficiency of local police agencies using a robust order-m efficiency model. In the second stage, we assessed the effects of BWCs using a range of matching estimators and an instrumental variable (IV) model. The first-stage results show that police agencies could improve their efficiency by 2% (from a mean efficiency score of 0.98 to 1). The second-stage matching and IV estimates suggest BWC effects on efficiency range between four and six percentage points in our preferred model. The introduction of this significant technological advance has brought many benefits to police agencies. Our findings show that BWCs can help improve police efficiency, yielding significant cost savings to law enforcement.</t>
  </si>
  <si>
    <t>Alda, Erik/0000-0001-7284-522X</t>
  </si>
  <si>
    <t>1057-5677</t>
  </si>
  <si>
    <t>1556-3855</t>
  </si>
  <si>
    <t>2024 MAR 4</t>
  </si>
  <si>
    <t>10.1177/10575677241229672</t>
  </si>
  <si>
    <t>MAR 2024</t>
  </si>
  <si>
    <t>WOS:001176818300001</t>
  </si>
  <si>
    <t>da Silva, AR; Ferraz, D; Ubilla, P</t>
  </si>
  <si>
    <t>da Silva, Ailton Rodrigues; Ferraz, Diego; Ubilla, Pedro</t>
  </si>
  <si>
    <t>BREZIS-KAMIN TYPE RESULTS INVOLVING LOCALLY INTEGRABLE WEIGHTS</t>
  </si>
  <si>
    <t>DIFFERENTIAL AND INTEGRAL EQUATIONS</t>
  </si>
  <si>
    <t>We study existence and asymptotic behavior of entire posi-tive bounded solutions for the following class of semilinear elliptic problem{L(u) = &amp; rhov;(x)f (x, u) in R-N, N &gt;= 3,u &gt; 0, in R-N,where 0 &lt;= &amp; rhov; is an element of L-loc(p)(R-N), for some N &lt; p &lt;= oo. Here, L is a local uniform elliptic operator and f(x, s) is a nonlinearity with sublinear behavior at zero and at +infinity. This type of result has already been studied in the celebrated work by H. Brezis and S. Kamin for the case when L = -triangle and &amp; rhov; E L-loc(infinity)(R-N). Our approach allows us to include for instance -div ((1 + |x|(mu))(nu)triangle u) = u(q)(|x|(alpha) + |x|(beta))-1 with suitable alpha, beta &gt; 0, mu, nu E R and 0 &lt; q &lt; 1. Here, we include two local uniform elliptic situations: mu &gt; 0 with nu = 1 or nu = -1.</t>
  </si>
  <si>
    <t>0893-4983</t>
  </si>
  <si>
    <t>10.57262/die037-0102-99</t>
  </si>
  <si>
    <t>WOS:001084438800001</t>
  </si>
  <si>
    <t>Jeldres, MR; Costa, ED; Nadim, TF</t>
  </si>
  <si>
    <t>Jeldres, Marcela Romero; Costa, Elisabet Diaz; Nadim, Tarik Faouzi</t>
  </si>
  <si>
    <t>A review of Lawshe's method for calculating content validity in the social sciences</t>
  </si>
  <si>
    <t>FRONTIERS IN EDUCATION</t>
  </si>
  <si>
    <t>This study aimed to show the usefulness of Lawshe's method (1975) in investigating the content validity of measurement instruments under the strategy of expert judgment. The research reviewed the historical use of Lawshe's method in the social sciences and analyzed the main criticisms of this method using mathematical hypotheses. Subsequently, we experimented with an instrument designed to determine the pedagogical skills possessed by students undertaking initial teacher training in Chile. The results showed that in Lawshe's proposal, it is essential to highlight the need to reconsider the sum of all Content Validity Ratio (CVR) indices for the calculation of the context validity index and not only the indices that exceed the critical Content Validity Index (CVI) given the greater power of discrimination presented by the latter alternative.</t>
  </si>
  <si>
    <t>2504-284X</t>
  </si>
  <si>
    <t>NOV 20</t>
  </si>
  <si>
    <t>10.3389/feduc.2023.1271335</t>
  </si>
  <si>
    <t>WOS:001113382000001</t>
  </si>
  <si>
    <t>Cruz, N; Gómez, G; González, E; Palma, G; Rincón, A</t>
  </si>
  <si>
    <t>Cruz, Norman; Gomez, Gabriel; Gonzalez, Esteban; Palma, Guillermo; Rincon, Angel</t>
  </si>
  <si>
    <t>Exploring models of running vacuum energy with viscous dark matter from a dynamical system perspective</t>
  </si>
  <si>
    <t>PHYSICS OF THE DARK UNIVERSE</t>
  </si>
  <si>
    <t>Running vacuum models and viscous dark matter scenarios beyond perfect fluid idealization are two appealing theoretical strategies that have been separately studied as alternatives to solve some problems rooted in the ACDM cosmological model. In this paper, we combine these two notions in a single cosmological setting and investigate their cosmological implications, paying particular attention in the interplay between these two constituents in different cosmological periods. Specifically, we consider a well-studied running vacuum model inspired by renormalization group, and a recently proposed general parameterization for the bulk viscosity e. By employing dynamical system analysis, we explore the physical aspects of the new phase space that emerges from the combined models and derive stability conditions that ensure complete cosmological dynamics. We identify four distinct classes of models and find that the critical points of the phase space are non-trivially renewed compared to the single scenarios. We then proceed, in a joint and complementary way to the dynamical system analysis, with a detailed numerical exploration to quantify the impact of both the running parameter and the bulk viscosity coefficient on the cosmological evolution. Thus, for some values of the model parameters, numerical solutions show qualitative differences from the ACDM model, which is phenomenologically appealing in light of cosmological observations.</t>
  </si>
  <si>
    <t>González Banda, Esteban/JFJ-4056-2023; Gomez, Gabriel/MVW-4321-2025; Rincon, Angel/L-1189-2019</t>
  </si>
  <si>
    <t>Gomez Diaz, Luis Gabriel/0000-0002-3618-9824; Palma, Guillermo/0000-0001-7326-964X; Gonzalez Banda, Esteban/0000-0001-6769-5722</t>
  </si>
  <si>
    <t>2212-6864</t>
  </si>
  <si>
    <t>10.1016/j.dark.2023.101351</t>
  </si>
  <si>
    <t>WOS:001112901900001</t>
  </si>
  <si>
    <t>Sánchez-Ramírez, C; Ramsey, C; Palma-Oyarce, V; Herrera-Hernández, E; Aedo-Muñoz, E</t>
  </si>
  <si>
    <t>Sanchez-Ramirez, Celso; Ramsey, Codi; Palma-Oyarce, Valentina; Herrera-Hernandez, Eduardo; Aedo-Munoz, Esteban</t>
  </si>
  <si>
    <t>Heel-to-toe drop of running shoes: a systematic review of its biomechanical effects</t>
  </si>
  <si>
    <t>FOOTWEAR SCIENCE</t>
  </si>
  <si>
    <t>Heel-to-toe drop (HTD) values may modify the running biomechanics. However, more than twenty additional footwear characteristics may contribute to this too. The aim of this review was to identify and systematise the specific effects caused by different HTDs on running biomechanics. A systematic search was carried out in seven online databases and Footwear Science according to PRISMA protocol for studies that included the practice of endurance running in running shoes with different HTD types. A modified Downs and Black checklist was used to assess the risk of bias. Characteristics of the studies and footwear, the equipment used, and biomechanical outcomes were extracted for qualitative synthesis. Twelve studies were included. Only one had a randomised control trial design, which was classified as 'good' (score = 24) quality. The studies reported thirty-nine kinematic and sixteen kinetic variables. HTD ranged between -8 to 16 mm. HTDs did not produce modifications in contact and flight time, stride frequency, and stride length. Some controversial evidence supports that the foot strike pattern changes towards forefoot strike only with HTD 0 compared to HTD 8-10. All evidence indicates that HTD values modified neither ankle, knee, or hip kinematics. Greater evidence supports that the modification of HTD in running shoes does not modify the values of GRF. Despite the controversial nature of the data, the trend is that a lower HTD shows a higher vertical loading rate. The different HTDs modified neither of the joint moments. The negative HTD could be an interesting variable to consider for future research. In addition, it is necessary to study the relationship between the HTD values and different combinations of heel height and forefoot height.</t>
  </si>
  <si>
    <t>Ramsey, Codi/AAA-1056-2019; Aedo-Muñoz, Esteban/R-5623-2019</t>
  </si>
  <si>
    <t>Ramsey, Codi/0000-0001-8746-3929; SANCHEZ-RAMIREZ, CELSO/0000-0001-6696-5751; Aedo-Munoz, Esteban/0000-0003-1544-2824</t>
  </si>
  <si>
    <t>1942-4280</t>
  </si>
  <si>
    <t>1942-4299</t>
  </si>
  <si>
    <t>MAY 4</t>
  </si>
  <si>
    <t>10.1080/19424280.2023.2180542</t>
  </si>
  <si>
    <t>FEB 2023</t>
  </si>
  <si>
    <t>WOS:000941857600001</t>
  </si>
  <si>
    <t>Gonzalez, PDB; Poblete, SIG</t>
  </si>
  <si>
    <t>Bravo Gonzalez, Paulina de los Angeles; Poblete, Sergio Ignacio Galdames</t>
  </si>
  <si>
    <t>PEEKING BEHIND THE CURTAIN: UNBOXING SCIENCE TEACHER EDUCATORS' SUBJECTIVITIES IN CONTINUOUS PROFESSIONAL DEVELOPMENT PROGRAMMES</t>
  </si>
  <si>
    <t>PERSPECTIVA EDUCACIONAL</t>
  </si>
  <si>
    <t>A large body of knowledge agrees about the central contribution of continuous professional development (CPD) programmes to support curriculum reform. Nonetheless, achieving outstanding CPD is challenging, as it demands financial resources, time, talent, and a well-defined university-school alliance. In Latin-American, there is growing concern about the university-school relationship, mostly related to the CPD of teachers, having arguments addressing and challenging the distance between educative levels. In Chile, the relationship university-school is posed in institutional discourses as a desirable goal of professional development, but still, its importance is less recognised in practice. In this scenario, the role of the teacher educators regarding their own professional development is frequently silenced by the university's conditions. Promoting, creating and implementing CPD demands a critical examination of the work of teacher educators and the context in which these initiatives are first thought. Considering the teacher educators' subjectivity in higher education is barely explored in the teacher education literature leaves the question of who are the teachers educators involved in CPD programmes?Using a qualitative approach and a dialogical strategy, this study draws data from a recent project funded by the Ministry of Education anonymously called 'National Inquiry-Professional Development' (NIPDE). NIPDE had four main topics: (1) big ideas of science education, (2) contextualisation to the local territory, (3) community of learning, and (4) scientific inquiry. We study 11 design meetings of a university team/teacher educators leading a science CPD programme. The university team was formed by 12 professionals (including one of the article's authors) from different areas related to science education. The meetings were transcribed verbatim. Data were initially coded, having as a backdrop the notion of border and figured worlds in the relationship academia-school -within academia too -considering the interactions among the university team during the design meetingsFindings show salient features of the teacher educators' subjectivity produced around the interaction between the school and the higher education sector, their relationship among themselves, the conditions of the university, and their perception of schoolteachers. Teacher educators positioned them(our)selves as experts due to preconceived knowledge imbalances between teacher educators and schoolteachers. These subjectivities shifted during the CPD course, resulting in different forms of engagement. This article attempts to expand narrow understandings of teacher educators, whose professional development is usually not considered, restricted to mainly giving the necessary support to guarantee that the curriculum and its changes are 'implemented appropriately'. Implications to policy and practices are discussed.</t>
  </si>
  <si>
    <t>0718-9729</t>
  </si>
  <si>
    <t>10.4151/07189729-Vol.62-Iss.1-Art.1396</t>
  </si>
  <si>
    <t>WOS:001019127100005</t>
  </si>
  <si>
    <t>Castillo, A; Ortega-Martínez, E; Pagés-Díaz, J; Montalvo, S; Huiliñir, C</t>
  </si>
  <si>
    <t>Castillo, Alejandra; Ortega-Martinez, Eduardo; Pages-Diaz, Jhosane; Montalvo, Silvio; Huilinir, Cesar</t>
  </si>
  <si>
    <t>Micro-Aerobic Pre-Treatment vs. Thermal Pre-Treatment of Waste Activated Sludge for Its Subsequent Anaerobic Digestion in Semi-Continuous Digesters: A Comparative Study</t>
  </si>
  <si>
    <t>FERMENTATION-BASEL</t>
  </si>
  <si>
    <t>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degrees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t>
  </si>
  <si>
    <t>Pagés-Díaz, Jhosané/AAD-5648-2020; Huilinir, Cesar/IYS-6899-2023</t>
  </si>
  <si>
    <t>Pages Diaz, Jhosane/0000-0002-2956-5705; Ortega-Martinez, Eduardo/0000-0002-2836-2658</t>
  </si>
  <si>
    <t>2311-5637</t>
  </si>
  <si>
    <t>10.3390/fermentation8100565</t>
  </si>
  <si>
    <t>WOS:000872695800001</t>
  </si>
  <si>
    <t>Soto, JA; Silva, CP</t>
  </si>
  <si>
    <t>Adones Soto Javiera; Perez Silva Claudio</t>
  </si>
  <si>
    <t>THE CUBAN REVOLUTION HAS BEEN MADE WITH A FLAVOR OF RUM AND A TASTE OF SUGAR, OURS WILL BE MADE WITH A FLAVOR OF RED WINE AND EMPANADAS. SALVADOR ALLENDE AND THE CUBAN REVOLUTION, 1953-1964</t>
  </si>
  <si>
    <t>E-LATINA-REVISTA ELECTRONICA DE ESTUDIOS LATINOAMERICANOS</t>
  </si>
  <si>
    <t>From new political history, this paper analyzes Salvador Allendes reception of the Cuban revolutionary process between 1953 and 1964. About this, until the triumph of the Cuban revolution this process did not occupy a relevant place in the continental political references of the socialist leader. The foregoing changed rapidly after the revolutionary triumph, carrying out an intense process of reaffirmation and deepening of his main definitions regarding the character of the Chilean revolution. In this way, through the analysis of his parliamentary speeches, party documentation, magazines and militant memoirs, it is possible to point out that the Cuban Revolution became an important experience and input for Salvador Allende during the process of formulating his strategic project. On the one hand, to ratify its commitment to the peaceful path and on the other, to develop central elements of its national-popular programmatic proposal with a view to socialism.</t>
  </si>
  <si>
    <t>1666-9606</t>
  </si>
  <si>
    <t>WOS:000783660800005</t>
  </si>
  <si>
    <t>Crespo, R; Rajabifard, A</t>
  </si>
  <si>
    <t>Crespo, Ricardo; Rajabifard, Abbas</t>
  </si>
  <si>
    <t>INVERSE MODEL USING LAND AND PROPERTY SUB-SYSTEMS FOR PLANNING FUTURE CITIES: A GENERAL FRAMEWORK</t>
  </si>
  <si>
    <t>JOURNAL OF URBAN AND REGIONAL ANALYSIS</t>
  </si>
  <si>
    <t>This paper suggests the use of the inverse model coupled with land and property systems to support urban decision-making. The inverse model is to be used for planning decisions today to achieve the desired tomorrow. This approach has been used previously in urban planning with a property system. The use of a property system alone is insufficient in dealing with the complexity of urban systems. Complex systems are made up of sub-systems that interact with each other; the integration of two sub-systems offers a first and simple alternative to address the complexity of urban systems. We suggest the use of two parametric approaches, logistic regression and house price, to model land and property sub-systems, respectively. Finally, we stress that further studies are needed to integrate the inverse model with other statistical techniques that also deal with complexity, such as cellular automata (CA) or agent-based models.</t>
  </si>
  <si>
    <t>Rajabifard, Abbas/D-1818-2015; Crespo, Ricardo/JUF-6435-2023</t>
  </si>
  <si>
    <t>2067-4082</t>
  </si>
  <si>
    <t>2068-9969</t>
  </si>
  <si>
    <t>10.37043/JURA.2022.14.1.1</t>
  </si>
  <si>
    <t>WOS:000771580100001</t>
  </si>
  <si>
    <t>Fuentes, C; Chavez, H; Paternina, MRA</t>
  </si>
  <si>
    <t>Fuentes, Carlos; Chavez, Hector; Paternina, Mario R. Arrieta</t>
  </si>
  <si>
    <t>Predictive Control-Based NADIR-Minimizing Algorithm for Solid-State Transformer</t>
  </si>
  <si>
    <t>Solid-state transformers (SSTs) are becoming an important solution to control active distribution systems. Their significant flexibility in comparison with traditional magnetic transformers is essential to ensure power quality and protection coordination at the distribution level in scenarios of large penetration of distributed energy resources such as renewables, electric vehicles and energy storage. However, the power electronic interface of SSTs decouples the nature of the inertial and frequency responses of distribution loads, deteriorating the frequency stability, especially under the integration of large-scale solar and wind power plants. Despite the virtual inertia/voltage sensitivity-based algorithms that have been proposed, the frequency sensitivity of loads and the capability of guaranteeing optimal control, considering the operating restrictions, have been overlooked. To counteract this specific issue, this work proposes a predictive control-driven approach to provide SSTs with frequency response actions by a strategy that harnesses the voltage and frequency sensibility of distribution loads and considers the limitations of voltage and frequency given by grid codes at distribution grids. In particular, the control strategy is centered in minimizing the NADIR of frequency transients. Numerical results are attained employing an empirically-validated model of the power system frequency dynamics and a dynamic model of distribution loads. Through proportional frequency control, the results of the proposed algorithm are contrasted. It is demonstrated that the NADIR improved about 0.1 Hz for 30% of SST penetration.</t>
  </si>
  <si>
    <t>Paternina, Mario/AAK-6723-2020; Lago-Fuentes, Carlos/J-4361-2019</t>
  </si>
  <si>
    <t>Chavez, Hector/0000-0003-2849-0876</t>
  </si>
  <si>
    <t>10.3390/en15010073</t>
  </si>
  <si>
    <t>WOS:000758531200001</t>
  </si>
  <si>
    <t>Asdame, SI</t>
  </si>
  <si>
    <t>Inostroza Asdame, Sonia</t>
  </si>
  <si>
    <t>Article 2330 of the Chilean Civil Code: A Review Regarding to Limits to the Strict Liability of the Defendant</t>
  </si>
  <si>
    <t>REVISTA DE DERECHO PRIVADO</t>
  </si>
  <si>
    <t>The article 2330 of the Chilean Civil Code stablishes at first glance that the compensation for damage due to the author's negligence can be lowered if the recklessness of the victim contributed to produce it. The question is whether such a reduction is applied to the author subject to strict responsibility, and if it is subject to limits in relation to its quantum or time. There would be no problem when that responsibility operates as negligence under the presumption of law, but it must be explained on principles of equity or procedural economy when its foundation is distributive justice, or when it is applied to victims by repercussion.</t>
  </si>
  <si>
    <t>0123-4366</t>
  </si>
  <si>
    <t>2346-2442</t>
  </si>
  <si>
    <t>10.18601/01234366.n42.08</t>
  </si>
  <si>
    <t>WOS:000728549600008</t>
  </si>
  <si>
    <t>Villamar, CA; Salazar, K; Montenegro-Rosero, K; Huaraca, L; Conceicao, KC</t>
  </si>
  <si>
    <t>Villamar, Cristina A.; Salazar, Katherine; Montenegro-Rosero, Karla; Huaraca, Luis; Conceicao, Kennedy C.</t>
  </si>
  <si>
    <t>Preventive strategies for reuse and recycling of wastewater within the HDG production</t>
  </si>
  <si>
    <t>The hot-dip galvanizing consumes raw materials, supplies, and influence in the quantity/quality of wastewater, opening advantage for its segregation, reuse, and recycling. Therefore, the aim was to establish strategies for segregation, recycling, and preventives process of wastewater from a hot dip galvanizing enterprise (&gt;10,000 t/year of galvanizing steel or gs). A mass balance (inputs-outputs by 1 t gs), Sindex considering organic and inorganic parameters for segregation/recycling, and Water Pinch (Zn, COD, TDS) for reuse opportunities were determined. Flows diagrams were based on three scenarios that combine segregation/reuse/recycling, comparing saving water, energy, costs, and carbon dioxide equivalent (CO2-eq) emissions. Results (mass balance) demonstrated that the water consumption in the rising phases (2,355.2 Lit gs) corresponding to 95% of the total water demand. The best scenario combined reuse/segregation/recycling, which decreased up to 36% of treated wastewater, up to 40% of chemicals consumption, about 41% of treatment cost, close to 38% of energy consumed, up to 17% of CO2-eq emissions by wastewater treatment. Therefore, taking preventive measures without the need of technological changes (treatment) can achieve on efficient water management within of the hot dip galvanizing production in developing countries.</t>
  </si>
  <si>
    <t>Costa da Conceicao, Kennedy/KQV-2011-2024; Villamar, Cristina-Alejandra/AAB-4154-2019</t>
  </si>
  <si>
    <t>Costa da Conceicao, Kennedy/0000-0001-7528-8617; Villamar, Cristina Alejandra/0000-0003-4654-0670; Montenegro-Rosero, Karla Lucia/0000-0002-0279-3484</t>
  </si>
  <si>
    <t>10.2166/wst.2021.621</t>
  </si>
  <si>
    <t>WOS:000730755800001</t>
  </si>
  <si>
    <t>González, A; Laporte, D; Moenne, A</t>
  </si>
  <si>
    <t>Gonzalez, Alberto; Laporte, Daniel; Moenne, Alejandra</t>
  </si>
  <si>
    <t>Cadmium Accumulation Involves Synthesis of Glutathione and Phytochelatins, and Activation of CDPK, CaMK, CBLPK, and MAPK Signaling Pathways in Ulva compressa</t>
  </si>
  <si>
    <t>FRONTIERS IN PLANT SCIENCE</t>
  </si>
  <si>
    <t>In order to analyze the effect of cadmium in Ulva compressa (Chlorophyta), the alga was cultivated with 10, 25, and 50 mu M of cadmium for 7 days, and the level of intracellular cadmium was determined. Intracellular cadmium showed an increase on day 1, no change until day 5, and an increase on day 7. Then, the alga was cultivated with 10 mu M for 7 days, and the level of hydrogen peroxide, superoxide anions, and lipoperoxides; activities of antioxidant enzymes ascorbate peroxidase (AP), dehydroascorbate reductase (DHAR), and glutathione reductase (GR); the level of glutathione (GSH) and ascorbate (ASC); and the level of phytochelatins (PCs) and transcripts encoding metallothioneins (UcMTs) levels were determined. The level of hydrogen peroxide increased at 2 and 12 h, superoxide anions on day 1, and lipoperoxides on days 3 to 5. The activities of AP and GR were increased, but not the DHAR activity. The level of GSH increased on day 1, decreased on day 3, and increased again on day 5, whereas ASC slightly increased on days 3 and 7, and activities of enzymes involved in GSH and ASC synthesis were increased on days 3 to 7. The level of PC2 and PC4 decreased on day 3 but increased again on day 5. The level of transcripts encoding UcMT1 and UcMT2 increased on days 3 to 5, mainly that of UcMT2. Thus, cadmium accumulation induced an oxidative stress condition that was mitigated by the activation of antioxidant enzymes and synthesis of GSH and ASC. Then, the alga cultivated with inhibitors of calcium-dependent protein kinases (CDPKs), calmodulin-dependent protein kinases (CaMKs), calcineurin B-like protein kinases (CBLPKs), and MAPKs and 10 mu M of cadmium for 5 days showed a decrease in intracellular cadmium and in the level of GSH and PCs, with the four inhibitors, and in the level of transcripts encoding UcMTs, with two inhibitors. Thus, CDPKs, CaMK, CBLPKS, and MAPKs are involved in cadmium accumulation and GSH and PC synthesis, and GSH and PCs and/or UcMTs may participate in cadmium accumulation.</t>
  </si>
  <si>
    <t>Figueroa, Alberto/AAA-7911-2020</t>
  </si>
  <si>
    <t>Gonzalez Figueroa, Alberto/0000-0002-5777-9022</t>
  </si>
  <si>
    <t>1664-462X</t>
  </si>
  <si>
    <t>JUN 21</t>
  </si>
  <si>
    <t>10.3389/fpls.2021.669096</t>
  </si>
  <si>
    <t>WOS:000669464600001</t>
  </si>
  <si>
    <t>de Oliveira, JF; Ubilla, P</t>
  </si>
  <si>
    <t>de Oliveira, Jose Francisco; Ubilla, Pedro</t>
  </si>
  <si>
    <t>Extremal functions for a supercritical k-Hessian inequality of Sobolev-type</t>
  </si>
  <si>
    <t>Our main purpose in this paper is to investigate a supercritical Sobolev-type nequality for the k-Hessian operator acting on Phi(k)(0,rad)(B), the space of radially symmetric k-admissible functions on the unit ball B subset of R-N. We also prove both the existence of admissible extremal functions for the associated variational problem and the solvability of a related k-Hessian equation with supercritical growth. (C) 2021 Elsevier Ltd. All rights reserved.</t>
  </si>
  <si>
    <t>Oliveira, José/AAD-1802-2019</t>
  </si>
  <si>
    <t>10.1016/j.nonrwa.2021.103314</t>
  </si>
  <si>
    <t>WOS:000633361700025</t>
  </si>
  <si>
    <t>Garrido, B; Cifuentes, G; Fredes, P; Pino, E; Calderón, C; Cifuentes-Cabezas, M</t>
  </si>
  <si>
    <t>Garrido, Belen; Cifuentes, Gerardo; Fredes, Pedro; Pino, Eduardo; Calderon, Cristian; Cifuentes-Cabezas, Magdalena</t>
  </si>
  <si>
    <t>Copper Recovery From Ammonia Solutions Through Electro-Electrodialysis (EED)</t>
  </si>
  <si>
    <t>Alkaline leaching with highly selective ammoniacal complexing agents is an interesting alternative for the treatment of copper concentrates. This treatment is beneficial for copper recovery because it allows the formation of soluble amines complexes, with cupric tetramine ( Cu(NH3)(4)(2+)) being the most stable. In order to suppress the unit operation of solvent extraction (SX) and move directly to the electrochemical process, an electroelectrodialysis (EED) process using ion exchange membranes to obtain copper is proposed. The study contemplates the operation with synthetic ammonia solutions containing copper at different concentrations and current density under standard conditions of pressure and temperature. The presented data demonstrate that the concentration of copper in the solution and the excess of ammonia are inversely related to the efficiency of the current and the voltage of the cell, whereas an increase in current density causes an increase in current efficiency, contrary to what happens in sulfuric systems.</t>
  </si>
  <si>
    <t>Calderon, cristian/GQA-7422-2022; Garrido, Belén/ABB-7814-2021; Cifuentes, Gerardo/AAS-2148-2021; Cifuentes-Cabezas, Magdalena/JZE-2959-2024</t>
  </si>
  <si>
    <t>Garrido Moreno, Belen/0000-0002-5335-1686; Pino, Eduardo Francisco/0000-0002-7851-3952; Cifuentes-Cabezas, Magdalena/0000-0002-3884-4060; Cifuentes, Gerardo/0000-0002-9543-1625</t>
  </si>
  <si>
    <t>10.3389/fchem.2020.622611</t>
  </si>
  <si>
    <t>WOS:000616795300001</t>
  </si>
  <si>
    <t>González-Camus, J; Lizama, C; Miana, PJ</t>
  </si>
  <si>
    <t>Gonzalez-Camus, Jorge; Lizama, Carlos; Miana, Pedro J.</t>
  </si>
  <si>
    <t>Fundamental solutions for semidiscrete evolution equations via Banach algebras</t>
  </si>
  <si>
    <t>We give representations for solutions of time-fractional differential equations that involve operators on Lebesgue spaces of sequences defined by discrete convolutions involving kernels through the discrete Fourier transform. We consider finite difference operators of first and second orders, which are generators of uniformly continuous semigroups and cosine functions. We present the linear and algebraic structures (in particular, factorization properties) and their norms and spectra in the Lebesgue space of summable sequences. We identify fractional powers of these generators and apply to them the subordination principle. We also give some applications and consequences of our results.</t>
  </si>
  <si>
    <t>Gonzalez-Camus, Jorge/ABG-8235-2021; Lizama, Carlos/E-5909-2011</t>
  </si>
  <si>
    <t>Gonzalez-Camus, Jorge/0000-0001-6198-5403; Lizama, Carlos/0000-0002-9807-1100</t>
  </si>
  <si>
    <t>10.1186/s13662-020-03206-7</t>
  </si>
  <si>
    <t>WOS:000609498700027</t>
  </si>
  <si>
    <t>Franchini, E; Herrera-Valenzuela, T</t>
  </si>
  <si>
    <t>Franchini, Emerson; Herrera-Valenzuela, Tomas</t>
  </si>
  <si>
    <t>Strength and conditioning for combat sports athletes Preface</t>
  </si>
  <si>
    <t>REVISTA DE ARTES MARCIALES ASIATICAS</t>
  </si>
  <si>
    <t>Herrera-Valenzuela, Tomas/L-1819-2019; Franchini, Emerson/B-9119-2012</t>
  </si>
  <si>
    <t>Franchini, Emerson/0000-0002-0769-8398</t>
  </si>
  <si>
    <t>2174-0747</t>
  </si>
  <si>
    <t>10.18002/rama.v16i1s.6998</t>
  </si>
  <si>
    <t>WOS:000632219600002</t>
  </si>
  <si>
    <t>Sánchez, J; Butter, B; Rivas, BL</t>
  </si>
  <si>
    <t>Sanchez, Julio; Butter, Bryan; Rivas, Bernabe L.</t>
  </si>
  <si>
    <t>BIOPOLYMERS APPLIED TO REMOVE METAL IONS THROUGH ULTRAFILTRATION. A REVIEW</t>
  </si>
  <si>
    <t>This manuscript is an overview of the versatile biopolymer materials alginic acid, carboxymethyl cellulose, and quatemized chitosan which contain different functional groups to remove hazardous inorganic species. These bioadsorbents are completely water-soluble and have a high versatility to achieve a higher sorption capacity and efficiency under different experimental conditions in combination with ultrafiltration membranes through the liquid-phase polymer-based retention (LPR) technique. In general, thesebioadsorbents are friendly with the environment and have a higher biodegradability compared with those more employed synthetic polymers.</t>
  </si>
  <si>
    <t>WOS:000596297000013</t>
  </si>
  <si>
    <t>Riquelme, N; Sepúlveda, C; Arancibia, C</t>
  </si>
  <si>
    <t>Riquelme, Natalia; Sepulveda, Camila; Arancibia, Carla</t>
  </si>
  <si>
    <t>Influence of Ternary Emulsifier Mixtures on Oxidative Stability of Nanoemulsions Based on Avocado Oil</t>
  </si>
  <si>
    <t>The aim of this work was to study the effect of two emulsifiers (M-1: SL-soy lecithin, Tw80-Tween 80 and CasCa-calcium caseinate and M-2: SL-soy lecithin, Tw80-Tween 80 and SE-sucrose esters) on the oxidative stability of avocado oil-based nanoemulsions. Oil-in-water nanoemulsions were prepared using 3.6% w/w of two emulsifier mixtures, which were optimized by mixture experimental design in order to minimize particle size (PS) and polydispersity index (PdI). Then, the oxidative stability of nanoemulsions was evaluated through both an induction period and a quantification of hydroperoxides and thiobarbituric acid reactive species (TBARs) under accelerated storage conditions. The simplex-centroid mixture design showed that PS and PdI varied when proportions of different emulsifiers were modified, obtaining an optimized concentration for each mixture of: 85% SL, 10% Tw80 and 5%CasCa (M-1) and 85% SL, 7.4% Tw80 and 7.6% SE (M-2) that produced nanoemulsions with PS 116 nm and PdI &lt; 0.2. Nanoemulsions elaborated with M1 and M2 presented similar particle characteristics and physical stability to the control sample with Tw80. However, M1 nanoemulsions were more stable against lipid oxidation, since they showed the highest induction period and lower formation of hydroperoxides and TBARs during storage.</t>
  </si>
  <si>
    <t>sepulveda, camila/GRJ-5777-2022; Arancibia, Carla/AAN-2290-2020</t>
  </si>
  <si>
    <t>Riquelme Hinojosa, Natalia Andrea/0000-0003-3490-1045</t>
  </si>
  <si>
    <t>10.3390/foods9010042</t>
  </si>
  <si>
    <t>WOS:000513235300042</t>
  </si>
  <si>
    <t>Neculhueque, CS; Valdivia, FD</t>
  </si>
  <si>
    <t>Sottorff Neculhueque, Carlos; Delgado Valdivia, Felipe</t>
  </si>
  <si>
    <t>EXPANDING VIEWS AND APPROACHES TO THE HISTORICAL RECONSTRUCTION OF THE EXPANSION OF THE RAILROAD IN LATIN AMERICA. XIXTH AND XXTH CENTURIES</t>
  </si>
  <si>
    <t>WOS:000538050700002</t>
  </si>
  <si>
    <t>Vera, C; Guerrero, C; Aburto, C; Cordova, A; Illanes, A</t>
  </si>
  <si>
    <t>Vera, Carlos; Guerrero, Cecilia; Aburto, Carla; Cordova, Andres; Illanes, Andres</t>
  </si>
  <si>
    <t>Conventional and non-conventional applications of β-galactosidases</t>
  </si>
  <si>
    <t>BIOCHIMICA ET BIOPHYSICA ACTA-PROTEINS AND PROTEOMICS</t>
  </si>
  <si>
    <t>beta-Galactosidase is one of the most important industrial enzymes, that has been used for many decades in the dairy industry. The main application of beta-galactosidase is related to the production of low-lactose and lactose-free milk and dairy products, which are now common consumer goods in supermarket shelves. This is a well-established market that is expected to keep on growing as these products become more accessible to mid-income people worldwide. However, a fresh air has come into the p-galactosidase business as non-conventional applications arose in recent decades based on its transgalactosylation activity. This capacity is certainly a major asset for a commodity enzyme that can be used now as a catalyst for the upgrading of readily available and cheap lactose into high added-value glycosides in processes of organic synthesis in tune with green chemistry principles within the framework of sustainability. This is a reflection of a paradigm shift, where enzymes are now being considered as apt catalysts for the synthesis of valuable organic compounds. This article reviews the main applications of P-galactosidase, going from its conventional use related to its hydrolytic activity to the ongoing non-conventional applications in the synthesis of high added-value oligosaccharides based on its transgalactosylation activity.</t>
  </si>
  <si>
    <t>ABURTO GAJARDO, CARLA/0000-0002-8886-8642; Cordova, Andres/0000-0001-8572-4857; Vera Vera, Carlos Felipe/0000-0003-2179-9467; Guerrero, Cecilia/0000-0002-4701-3525</t>
  </si>
  <si>
    <t>1570-9639</t>
  </si>
  <si>
    <t>1878-1454</t>
  </si>
  <si>
    <t>10.1016/j.bbapap.2019.140271</t>
  </si>
  <si>
    <t>WOS:000503094800018</t>
  </si>
  <si>
    <t>Oddershede, AM; Quezada, LE; Valenzuela, JE; Palominos, PI; Lopez-Ospina, H</t>
  </si>
  <si>
    <t>Dagli, CH; Suer, GA</t>
  </si>
  <si>
    <t>Oddershede, Astrid M.; Quezada, Luis E.; Valenzuela, Juan E.; Palominos, Pedro I.; Lopez-Ospina, Hector</t>
  </si>
  <si>
    <t>Formulation of a Manufacturing Strategy Using the House of Quality</t>
  </si>
  <si>
    <t>25TH INTERNATIONAL CONFERENCE ON PRODUCTION RESEARCH MANUFACTURING INNOVATION: CYBER PHYSICAL MANUFACTURING</t>
  </si>
  <si>
    <t>Procedia Manufacturing</t>
  </si>
  <si>
    <t>25th International Conference on Production Research Manufacturing Innovation (ICPR) - Cyber Physical Manufacturing</t>
  </si>
  <si>
    <t>AUG 09-14, 2019</t>
  </si>
  <si>
    <t>Chicago, IL</t>
  </si>
  <si>
    <t>This paper describes a framework to formulate a manufacturing strategy based on the House of Quality (HOQ). This method consists of two main phases. The phase I relates what the market wants (the WHATs) with the manufacturing decision categories (the HOWs). The WHATs are expressed as the manufacturing objectives (i.e. cost, quality, delivery, flexibility and innovation) and the HOWs are expressed as the strategic manufacturing decisions areas (such as, facilities, capacity, process technology, new product design and control systems). A matrix is built, where the rows are the WHATs and the columns are the HOWs. The entries of the matrix are the relationships between both types of concepts. The root' of the house is the relationships between the manufacturing decisions (the HOWS). The analysis of this House allows managers to generate strategic action plans in order to fill the gap between what the market wants and what manufacturing is achieving. The phase II builds another house, where the WHATs are the manufacturing decision areas and the HOWS are strategic manufacturing plans. In this phase the strategic action plans are ranked. The application of the proposed method in a company that manufactures industrial tanks is shown. (C) 2019 The Authors. Published by Elsevier Ltd.</t>
  </si>
  <si>
    <t>Lopez-Ospina, Hector/0000-0001-8144-6394; Palominos, Pedro/0000-0002-5695-3025</t>
  </si>
  <si>
    <t>2351-9789</t>
  </si>
  <si>
    <t>10.1016/j.promfg.2020.01.417</t>
  </si>
  <si>
    <t>WOS:000889480200098</t>
  </si>
  <si>
    <t>Parada, L; Herrera, C; Flores, P; Parada, V</t>
  </si>
  <si>
    <t>Parada, Leandro; Herrera, Carlos; Flores, Paulo; Parada, Victor</t>
  </si>
  <si>
    <t>Assessing the energy benefit of using a wind turbine micro-siting model</t>
  </si>
  <si>
    <t>RENEWABLE ENERGY</t>
  </si>
  <si>
    <t>Wind farm layouts are often designed based on simple rules that give rise to regular arrays. Several studies have stated that these arrays may not be efficient due to high wake losses for some wind directions. Recently, wind turbine micro-siting models have been compared with respect to regularly arrayed layouts. However, these studies have considered just a single regular layout configuration and a fixed number of turbines. In this paper, an approach is proposed to design highly efficient wind farms and is further compared to different configurations of regularly arrayed layouts considering different spacings and number of wind turbines. The proposed approach maximizes the power of a wind farm and efficiently incorporates the use of irregular terrain boundaries and real wind data. The proposed approach is first compared to the Horns Rev I layout. Subsequently, the proposed approach is further compared to different regular layout configurations using wind data measured at a site located in Northern Chile. The results suggest that regularly arrayed wind farms are sub-optimal and may be subjected to high wake losses, particularly for some wind directions. With the proposed approach, 4.09% and 2.18% higher efficiencies on average were obtained compared to aligned and staggered layouts, respectively. (C) 2017 Elsevier Ltd. All rights reserved.</t>
  </si>
  <si>
    <t>Parada, Victor/M-5840-2014; Herrera, Carlos/AAF-9657-2021; Flores, Joao/HRA-4424-2023</t>
  </si>
  <si>
    <t>Herrera, Carlos/0000-0003-1369-9861; Parada, Leandro/0000-0003-0571-0178</t>
  </si>
  <si>
    <t>0960-1481</t>
  </si>
  <si>
    <t>10.1016/j.renene.2017.11.018</t>
  </si>
  <si>
    <t>WOS:000423008500052</t>
  </si>
  <si>
    <t>Hàn, H; Jiménez, A</t>
  </si>
  <si>
    <t>Han, Hiep; Jimenez, Andrea</t>
  </si>
  <si>
    <t>IMPROVED BOUND ON THE MAXIMUM NUMBER OF CLIQUE-FREE COLORINGS WITH TWO AND THREE COLORS</t>
  </si>
  <si>
    <t>SIAM JOURNAL ON DISCRETE MATHEMATICS</t>
  </si>
  <si>
    <t>Given integers r, k &gt;= 2 let k(r), (k+1)(G) denote the number of distinct edge colorings of G with r colors, which are Kk+1-free, i.e., which contain no monochromatic clique on k + 1 vertices. Alon et al. [J. Lond. Math. Soc. (2), 70 (2004), pp. 273-288] show that for r is an element of{2, 3} and all k &gt;= 2 the maximum of k(r), (k+1)(G) over all G on n vertices is achieved only by the Turan graph, provided n &gt; n(0)(k) is sufficiently large. The proof uses Szemeredi's regularity lemma and yields an n(0)(k) which is tower type with height exponential in k. As a lower bound the authors observed that n(0)(k) must be at least exponential in k. In this paper we essentially close the gap between the upper and the lower bound for n(0)(k). Answering the question posed by Alon et al. we show that the lower bound is of correct order and that it suffices to choose n(0)(k) = exp(Ck(4)) for some absolute constant C.</t>
  </si>
  <si>
    <t>Jimenez, Andrea/R-9186-2017; Han, Hiep/IVV-0527-2023</t>
  </si>
  <si>
    <t>Han, Hiep/0000-0001-7757-7244; Jimenez, Andrea/0000-0002-6671-1599</t>
  </si>
  <si>
    <t>0895-4801</t>
  </si>
  <si>
    <t>1095-7146</t>
  </si>
  <si>
    <t>10.1137/17M1130502</t>
  </si>
  <si>
    <t>WOS:000436975900033</t>
  </si>
  <si>
    <t>Hofman, A; Aravena, C</t>
  </si>
  <si>
    <t>Das, DK</t>
  </si>
  <si>
    <t>Hofman, Andre; Aravena, Claudio</t>
  </si>
  <si>
    <t>Latin America Economic growth and productivity since the 1990s</t>
  </si>
  <si>
    <t>PRODUCTIVITY DYNAMICS IN EMERGING AND INDUSTRIALIZED COUNTRIES</t>
  </si>
  <si>
    <t>978-1-351-00254-7; 978-1-138-74550-6</t>
  </si>
  <si>
    <t>10.4324/9781351002547</t>
  </si>
  <si>
    <t>WOS:000475487900006</t>
  </si>
  <si>
    <t>Arancibia, JM</t>
  </si>
  <si>
    <t>Manriquez Arancibia, Joselyn</t>
  </si>
  <si>
    <t>Simulation and Post Truth. Construction of the Chilean democracy in the Cyber Society</t>
  </si>
  <si>
    <t>WOS:000462868900005</t>
  </si>
  <si>
    <t>Medina-Tapia, M; Robusté, F</t>
  </si>
  <si>
    <t>Luque, P; Mantaras, DA</t>
  </si>
  <si>
    <t>Exploring paradigm shift impacts in urban mobility: Autonomous Vehicles and Smart Cities</t>
  </si>
  <si>
    <t>XIII CONFERENCE ON TRANSPORT ENGINEERING, CIT2018</t>
  </si>
  <si>
    <t>Transportation Research Procedia</t>
  </si>
  <si>
    <t>13th Conference on Transport Engineering (CIT)</t>
  </si>
  <si>
    <t>JUN 06-08, 2018</t>
  </si>
  <si>
    <t>Univ Oviedo, Polytechn Sch Engn Gijon, Gijon, SPAIN</t>
  </si>
  <si>
    <t>Univ Oviedo, Polytechn Sch Engn Gijon</t>
  </si>
  <si>
    <t>Urban mobility is a dynamic system that has had a (slow) natural evolution. Scientists and engineers are currently developing new mobility technologies. A progressive paradigm shift will change everything from the fuel type to the way of driving vehicles. Vehicles will progressively become autonomous and will communicate and cooperate with each other. In the long run, profound changes are expected in mobility as a service. Furthermore, urban areas will have a higher level of development, and cities will likely turn into Smart Cities in which the vehicles will interact with the urban infrastructure. The main objective of this paper is to explore the macroscopic effects of mobility interaction in a radial-circular urban road system for current and future cities (Smart Cities). In the literature, there is documentation of the direct effects of autonomous vehicles, but some indirect effects will cause undesirable impacts such as an increase in demand and more congestion, which change the demand behavior and the urban structure. Finally, this paper exhibits the results of direct and indirect effects calculated through analytical tools (Continuous Approximation Method). In fact, our research shows that if demand increases by about 50%, the current scenario could have the same total cost as the future scenario with autonomous vehicles. Moreover, if the city radius increases by about 33% and the subjective value of time decreases about 20%, the benefits of the autonomous cars will be compensated. Therefore, the paper proves that autonomous vehicles could encourage the urban sprawl in the long run. Finally, Administrations should define transport strategies and policies to control these externalities, because autonomous driving could deteriorate mobility even worse than it is now. (C) 2018 The Authors. Published by Elsevier Ltd.</t>
  </si>
  <si>
    <t>Medina-Tapia, Marcos/F-8779-2016</t>
  </si>
  <si>
    <t>Medina-Tapia, Marcos/0000-0002-3961-5075</t>
  </si>
  <si>
    <t>2352-1465</t>
  </si>
  <si>
    <t>10.1016/j.trpro.2018.10.093</t>
  </si>
  <si>
    <t>WOS:000548065400026</t>
  </si>
  <si>
    <t>Benavides, J; Barrias, P; Piro, N; Arenas, A; Orrego, A; Pino, E; Villegas, L; Dorta, E; Aspée, A; López-Alarcón, C</t>
  </si>
  <si>
    <t>Benavides, J.; Barrias, P.; Piro, N.; Arenas, A.; Orrego, A.; Pino, E.; Villegas, L.; Dorta, E.; Aspee, A.; Lopez-Alarcon, C.</t>
  </si>
  <si>
    <t>Reaction of tetracycline with biologically relevant chloramines</t>
  </si>
  <si>
    <t>Helicobacter pylori (H. pylori) infection triggers inflammatory processes with the consequent production of hypochlorous acid (HOG), monochloramine (NH2CI), and protein-derived chloramines. As the therapy for eradicating H. pylori is partially based on the use of tetracycline, we studied the kinetic of its consumption elicited by HOCI, NH2CI, N-chloro-n-butylamine (NHCI-But, used as a lysine-derived chloramine model), and lysozyme-derived chloramines. In the micromolar concentration range, tetracycline reacted rapidly with HOG, generating in the first few seconds intermediates of short half-life. In contrast, a slow tetracycline consumption was observed in the presene of high NH2CI and NHCI-But concentrations (millimolar range). Similar chlorinated.products of tetracycline were identified by mass spectrometry, in the presence of HOCI and NH2CI. These results evidenced that tautomers of tetracycline are pivotal intermediates in all reactions. In spite of the low reactivity of chloramines towards tetracycline, it is evident that, in the concentration range where they are produced in a H. pylori infection (millimolar range), the reactions lead to oxidation and/or chlorination of tetracycline. This kind of reactions, which were also observed triggered by lysozyme-derived chloramines, could limit the efficiency of the tetracycline -based therapy. (C) 2017 Elsevier B.V. All rights reserved.</t>
  </si>
  <si>
    <t>Pérez, Dorta/T-7820-2019; Lopez, Camilo/J-5770-2013; Barrias, Pablo/V-7218-2018</t>
  </si>
  <si>
    <t>Arenas, Andrea/0009-0002-0882-4947; Pino, Eduardo Francisco/0000-0002-7851-3952; Lopez, Camilo/0000-0002-0174-8972; Barrias, Pablo/0000-0003-4072-4436; Dorta, Eva/0000-0002-2292-0356</t>
  </si>
  <si>
    <t>MAY 5</t>
  </si>
  <si>
    <t>10.1016/j.saa.2017.02.001</t>
  </si>
  <si>
    <t>WOS:000397370000023</t>
  </si>
  <si>
    <t>Pérez-Pérez, L; García-Gavín, J; Wortsman, X; Santos-Briz, A</t>
  </si>
  <si>
    <t>Perez-Perez, Lidia; Garcia-Gavin, Juan; Wortsman, Ximena; Santos-Briz, Angel</t>
  </si>
  <si>
    <t>Delayed Adverse Subcutaneous Reaction to a New Family of Hyaluronic Acid Dermal Fillers With Clinical, Ultrasound, and Histologic Correlation</t>
  </si>
  <si>
    <t>DERMATOLOGIC SURGERY</t>
  </si>
  <si>
    <t>Wortsman, Ximena/F-4432-2010</t>
  </si>
  <si>
    <t>Wortsman, Ximena/0000-0003-3359-5023</t>
  </si>
  <si>
    <t>1076-0512</t>
  </si>
  <si>
    <t>1524-4725</t>
  </si>
  <si>
    <t>10.1097/DSS.0000000000000945</t>
  </si>
  <si>
    <t>WOS:000402154900024</t>
  </si>
  <si>
    <t>Salazar, C; Contreras, N; Mansilla, HD; Yáñez, J; Salazar, R</t>
  </si>
  <si>
    <t>Salazar, Claudio; Contreras, Nicole; Mansilla, Hector D.; Yanez, Jorge; Salazar, Ricardo</t>
  </si>
  <si>
    <t>Electrochemical degradation of the antihypertensive losartan in aqueous medium by electro-oxidation with boron-doped diamond electrode</t>
  </si>
  <si>
    <t>In this work the electrochemical oxidation of losartan, an emerging pharmaceutical pollutant, was studied. Electrochemical oxidation was carried out in batch mode, in an open and undivided cell of 100 cm(3) using a boron-doped diamond (BDD)/stainless steel system. With medium 56% of mineralization was registered, while with the trials containing SO42- as supporting electrolyte a higher mineralization yield of 67% was reached, even obtaining a total removal of losartan potassium at 80 mA cm(-2) and 180 min of reaction time at pH 7.0. Higher losartan potassium concentrations enhanced the mineralization degree and the efficiency of the electrochemical oxidation process. During the mineralization up to 4 aromatic intermediates were identified by ultra high performance liquid chromatography tandem mass spectrometry (UHPLC-MS/MS). Moreover, short-linear carboxylic acids, like oxalic, succinic and oxamic were detected and quantified by ion-exclusion HPLC. Finally, the ability of the electrochemical oxidation process to mineralize dissolved commercial tablets containing losartan was achieved, obtaining TOC removal up to 71% under optimized conditions (10 mA cm(-2), 0.05 M Na2SO4, pH 7.0 and 25 degrees C and 360 min of electrolysis). (C) 2016 Elsevier B.V. All rights reserved.</t>
  </si>
  <si>
    <t>Salazar, Ricardo/L-7870-2013</t>
  </si>
  <si>
    <t>Yanez, Jorge/0000-0001-7208-1880; Salazar, Claudio/0000-0003-0976-1546; Salazar-Gonzalez, Ricardo/0000-0003-2180-6022; Mansilla, Hector/0000-0003-3589-908X</t>
  </si>
  <si>
    <t>DEC 5</t>
  </si>
  <si>
    <t>10.1016/j.jhazmat.2016.04.009</t>
  </si>
  <si>
    <t>WOS:000383299100011</t>
  </si>
  <si>
    <t>Santiago-García, JL; Loría-Bastarrachea, MI; Sánchez, J; Aguilar-Vega, M</t>
  </si>
  <si>
    <t>Luis Santiago-Garcia, Jose; Isabel Loria-Bastarrachea, Maria; Sanchez, Julio; Aguilar-Vega, Manuel</t>
  </si>
  <si>
    <t>SYNTHESIS, CHARACTERIZATION, AND GAS TRANSPORT PROPERTIES OF NEW COPOLY(ETHER-AMIDE) S CONTAINING BENZOPHENONE AROMATIC ISOPHTHALIC SEGMENT</t>
  </si>
  <si>
    <t>Three new copoly(ether-amide) s based on polyether segments of different molecular weight (average molecular weight 400, 900 and 2000 g/mol) and polyamide segments obtained from 4,4'-diamine benzophenone (DBF) and isophthalic acid (ISO) are reported. The resulting new copoly(ether-amide) s have inherent viscosities ranging of 0.32 to 0.35 dL/g at concentration of 0.5 g/dL, and form dense membranes by solvent casting method. The gas transport properties of the new copoly(ether-amide) membranes for pure gases (He, CO2, O-2, CH4, and N-2) are studied at different pressures (2.0, 5.0, 7.5, and 10.0 atm) and at different temperatures (35-75 degrees C). The soft segment of polyether allows an increase in gas permeability coefficients, mainly CO2, in comparison with the values reported for DBFISO aromatic polyamide. However, an increase in polyether segment length decreases the overall permeability coefficients, because the polyether shows a strong tendency to crystallize.</t>
  </si>
  <si>
    <t>Aguilar-Vega, Manuel/AFT-2873-2022; García, José/O-5528-2016; Sanchez, Julio/AEO-4360-2022</t>
  </si>
  <si>
    <t>10.4067/S0717-97072016000400021</t>
  </si>
  <si>
    <t>WOS:000393079900021</t>
  </si>
  <si>
    <t>Cubillos, FA</t>
  </si>
  <si>
    <t>Cubillos, Francisco A.</t>
  </si>
  <si>
    <t>Exploiting budding yeast natural variation for industrial processes</t>
  </si>
  <si>
    <t>CURRENT GENETICS</t>
  </si>
  <si>
    <t>For the last two decades, the natural variation of the yeast Saccharomyces cerevisiae has been massively exploited with the aim of understanding ecological and evolutionary processes. As a result, many new genetic variants have been uncovered, providing a large catalogue of alleles underlying complex traits. These alleles represent a rich genetic resource with the potential to provide new strains that can cope with the growing demands of industrial fermentation processes. When surveyed in detail, several of these variants have proven useful in wine and beer industries by improving nitrogen utilisation, fermentation kinetics, ethanol production, sulphite resistance and aroma production. Here, I illustrate how allele-specific expression and polymorphisms within the coding region of GDB1 underlie fermentation kinetic differences in synthetic wine must. Nevertheless, the genetic basis of how GDB1 variants and other natural alleles interact in foreign genetic backgrounds remains unclear. Further studies in large sets of strains, recombinant hybrids and multiple parental pairs will broaden our knowledge of the molecular and genetic basis of trait adaptation for utilisation in applied and industrial processes.</t>
  </si>
  <si>
    <t>0172-8083</t>
  </si>
  <si>
    <t>1432-0983</t>
  </si>
  <si>
    <t>10.1007/s00294-016-0602-6</t>
  </si>
  <si>
    <t>WOS:000385168400011</t>
  </si>
  <si>
    <t>Lizama, C; Pereira, A; Ponce, R</t>
  </si>
  <si>
    <t>Lizama, Carlos; Pereira, Aldo; Ponce, Rodrigo</t>
  </si>
  <si>
    <t>On the compactness of fractional resolvent operator functions</t>
  </si>
  <si>
    <t>SEMIGROUP FORUM</t>
  </si>
  <si>
    <t>We study and characterize the compactness of resolvent families of operators associated to fractional differential equations. We show an application in the study of existence of mild solutions for a class of semilinear fractional differential equations with non-local initial conditions.</t>
  </si>
  <si>
    <t>Pereira, Aldo/0000-0002-1553-9231; Lizama, Carlos/0000-0002-9807-1100; Ponce, Rodrigo/0000-0002-1337-8083</t>
  </si>
  <si>
    <t>0037-1912</t>
  </si>
  <si>
    <t>1432-2137</t>
  </si>
  <si>
    <t>10.1007/s00233-016-9788-7</t>
  </si>
  <si>
    <t>WOS:000383476500008</t>
  </si>
  <si>
    <t>Aliaga, C; de Arbina, AL; Rezende, MC</t>
  </si>
  <si>
    <t>Aliaga, Carolina; Lopez de Arbina, Amaia; Caroli Rezende, Marcos</t>
  </si>
  <si>
    <t>Cut-off effect of antioxidants and/or probes of variable lipophilicity in microheterogeneous media</t>
  </si>
  <si>
    <t>The activities of two hydrophilic (ascorbic acid and Trolox) and two hydrophobic (alpha-tocopherol and BHT) antioxidants were measured by reaction with a series of 4-alkanoyloxyTEMPO radical probes 1 in buffered (pH 7), aqueous, micellar solutions of reduced Triton-X 100. In all cases, a cut-off effect was observed, in line with previous observations of the same effect for the partitioning of probe series 1 in this medium. These results support an interpretation of the cut-off effect in food emulsions, based on the amphiphobic nature of either the antioxidants or probes: competition between two molecular moieties, for the micellar hydrophobic core, tends to expose a reacting fragment differently to a more hydrophilic microenvironment, as the probe or antioxidant hydrophobicity increases. (C) 2016 Elsevier Ltd. All rights reserved.</t>
  </si>
  <si>
    <t>10.1016/j.foodchem.2016.03.024</t>
  </si>
  <si>
    <t>WOS:000373054500016</t>
  </si>
  <si>
    <t>Medina-Tapia, M; Baeza, C; Arancibia, D; Robusté, F</t>
  </si>
  <si>
    <t>Ferrandiz, JVC; Franco, RI; Sanchez, TR</t>
  </si>
  <si>
    <t>Medina-Tapia, Marcos; Baeza, Cristian; Arancibia, Daniel; Robuste, Francesc</t>
  </si>
  <si>
    <t>Relocation of public transport stops to be incorporated into contingency plans as a result of the construction of road improvement works</t>
  </si>
  <si>
    <t>XII CONGRESO DE INGENIERIA DEL TRANSPORTE</t>
  </si>
  <si>
    <t>12th Conference on Transport Engineering (CIT)</t>
  </si>
  <si>
    <t>JUN 07-09, 2016</t>
  </si>
  <si>
    <t>Univ Politecnica Valencia, Sch Civil Engn, Valencia, SPAIN</t>
  </si>
  <si>
    <t>Foro Ingn Transporte,Departmento Transporte,Inst Transporte Territorio,ETS Ingenieros Caminos Canales Puertos,Univ Politecnica Valencia,Centro Formac Permanente</t>
  </si>
  <si>
    <t>Univ Politecnica Valencia, Sch Civil Engn</t>
  </si>
  <si>
    <t>978-84-608-9960-0</t>
  </si>
  <si>
    <t>10.4995/CIT2016.2016.4253</t>
  </si>
  <si>
    <t>WOS:000441374000216</t>
  </si>
  <si>
    <t>Rabert, C; Hödar, M; Bravo, L; Quiroz, A; Urzua, A</t>
  </si>
  <si>
    <t>Rabert, Claudia; Hoedar, Martin; Bravo, Leon; Quiroz, Andres; Urzua, Alejandro</t>
  </si>
  <si>
    <t>A rapid preparative-TLC/GC-MS methodology for discriminating between two filmy ferns (Hymenophyllaceae) native from the temperate rain forest of Southern Chile based on their soluble carbohydrates</t>
  </si>
  <si>
    <t>Filmy ferns are a conspicuous epiphytic component of the temperate rain forest of southern Chile and the more abundant genus is Hymenophyllum represented by 19 species, they are a primitive fern family sharing their limited water lost control (poikilohydricity) with lower non-vascular plants, such as bryophytes and lichens. Because, carbohydrate accumulation is a desiccation tolerance mechanism proposed for desiccation-tolerant vascularized plants, the aim of this investigation was to propose a methodology for soluble carbohydrate analysis in native ferns. Preparative-TLC showed to be a simple and rapid technique for separating Hymenophyllum sugars. GC-MS analysis allowed identifying glucitol (2.0%), sucrose (2.0%),. or alpha-melibiose (5.0%) and salidroside (4.4%) in H. cruentum carbohydrate profile from H. dentatum showed significant differences presenting only two sugars sucrose (1.4%) and. or beta-melibiose (3.2%). Furthermore, salidroside, an antioxidant compound, was identified only in H. cruentum. Our results suggest that H. cruentum, has higher preventive mechanisms than H. dentatum; that would allow delay the effects of desiccation (prevent a rapid dehydration) and thus survive to short periods of drought present in the study area. Due to the presence of salidroside in H. cruentum this species should be more resistant to oxidative stress that H. dentatum.</t>
  </si>
  <si>
    <t>Quiroz, Andres/I-2748-2018; Rabert, Claudia/MGB-5765-2025; Bravo, Leon/H-9251-2018</t>
  </si>
  <si>
    <t>Urzua, Alejandro/0000-0003-2638-0921; Rabert, Claudia/0000-0001-8179-9245; Bravo, Leon/0000-0003-4705-4842</t>
  </si>
  <si>
    <t>WOS:000364522800003</t>
  </si>
  <si>
    <t>For the airplane refueling problem local precedence implies global precedence</t>
  </si>
  <si>
    <t>OPTIMIZATION LETTERS</t>
  </si>
  <si>
    <t>We are given airplanes, which can refuel one another during the flight. Each airplane has a specific tank volume and gas consumption rate. The goal of the airplane refueling problem is to find a drop out permutation for the planes that maximizes the distance traveled by the last plane to drop out. This paper studies some structural properties of the problem and proposes pruning rules for an exact resolution.</t>
  </si>
  <si>
    <t>1862-4472</t>
  </si>
  <si>
    <t>1862-4480</t>
  </si>
  <si>
    <t>10.1007/s11590-014-0758-2</t>
  </si>
  <si>
    <t>WOS:000351520900003</t>
  </si>
  <si>
    <t>Guevara, D; Firoozabadi, AD; Soto, I; Huenupan, F</t>
  </si>
  <si>
    <t>Guevara, David; Firoozabadi, Ali Dehghan; Soto, Ismael; Huenupan, Fernando</t>
  </si>
  <si>
    <t>Noise Reduction of Seismic Signal for Llaima Volcano</t>
  </si>
  <si>
    <t>The aim of this paper is to remove the Gaussian Noise present in seismic signals obtained in the Llaima volcano, one of the most active volcanoes in Chile. In order to classify subsequently, the methods used to clean the seismic signals are usually band pass Butterworth filter for its low ripple to reduce interference from other sources of mechanical energy to provide low frequency components. However, these methods are unable to eliminate white Gaussian noise present in seismic signal samples, which affects the observation signals that are too weak to show slightly above the noise, thereby preventing classification. The methods used in this study to eliminate the white noise spectral subtraction are consisting of narrow samples and then subtract noise in the frequency domain and the modified Wiener filter that using the statistical method of least squares generates clarification signal. When comparing both methods, it was observed that the Wiener filter has greater effectiveness in cleaning the noise when owning an iterative noise estimation. The development of these methods applied to the investigation of seismic signals provides information of seismic events that are of low intensity for further observation.</t>
  </si>
  <si>
    <t>Dehghan Firoozabadi, Ali/AAD-4858-2019</t>
  </si>
  <si>
    <t>WOS:000380551100117</t>
  </si>
  <si>
    <t>Millán, G; Juan, ES; Jamett, M</t>
  </si>
  <si>
    <t>Millan, G.; Juan, E. S.; Jamett, M.</t>
  </si>
  <si>
    <t>A Simple Estimator of the Hurst Exponent for Self-Similar Traffic Flows</t>
  </si>
  <si>
    <t>In this paper it presents, develops and discusses a new and simple algorithm based on the local maximum likelihood estimator of Whittle, for the estimation of the Hurst exponent of stationary second order time series representing the self-similar with long-range dependence traffic flows presents in the high-speed computer networks. This algorithm reduces the computational cost associated with the calculation of the local maximum likelihood estimator of Whittle reducing the amount of points to evaluate advantage the convexity of the objective function in the interest interval (0.5, 1), and applying a bisection search method over the derivate of the function. The instance is exposed with the intention of being considered as a new and alternative approach for modeling and simulating traffic in existing computer networks.</t>
  </si>
  <si>
    <t>Millán, Ginno/AAP-8680-2020</t>
  </si>
  <si>
    <t>10.1109/TLA.2014.7014500</t>
  </si>
  <si>
    <t>WOS:000348457900003</t>
  </si>
  <si>
    <t>Lazo, E; Humire, FR; Saavedra, E</t>
  </si>
  <si>
    <t>Lazo, E.; Humire, F. R.; Saavedra, E.</t>
  </si>
  <si>
    <t>Generation of extended states in diluted transmission lines with distribution of inductances according to Galois sequences: Hamiltonian map approach</t>
  </si>
  <si>
    <t>PHYSICA B-CONDENSED MATTER</t>
  </si>
  <si>
    <t>We study the localization properties of diluted direct transmission lines, when we distribute two values of inductances L-A and L-B, according to the aperiodic Galois sequence. When we dilute the aperiodic Galois system with (d - 1) inductances with constant L-0 value, we find d sub-bands and (d - 1) gaps; here d is the period of the distribution of the Galois sequence in the diluted system. Under the condition L-0 approximate to (L-A, L-B), we find a set of extended states for finite N-d system size, which disappears when N-d -&gt;infinity. For the case L-0 &gt;&gt; (L-A, L-B), using the scaling behavior of the averaged participation number &lt; D(omega)&gt; and the scaling behavior of the averaged normalized participation number , we demonstrate the existence of extended states in the thermodynamic limit. (C) 2014 Elsevier B.V. All rights reserved.</t>
  </si>
  <si>
    <t>Saavedra, Eduardo/IQS-4264-2023</t>
  </si>
  <si>
    <t>Humire, Fernando/0000-0002-8054-3149; Saavedra Diaz, Eduardo Andres/0000-0002-2842-2526</t>
  </si>
  <si>
    <t>0921-4526</t>
  </si>
  <si>
    <t>1873-2135</t>
  </si>
  <si>
    <t>10.1016/j.physb.2014.07.009</t>
  </si>
  <si>
    <t>WOS:000340928400014</t>
  </si>
  <si>
    <t>Piña, R; Ugarte, G; González, A; Bacigalupo, J; Madrid, R</t>
  </si>
  <si>
    <t>Pina, R.; Ugarte, G.; Gonzalez, A.; Bacigalupo, J.; Madrid, R.</t>
  </si>
  <si>
    <t>ROLE OF TRPM8 CHANNELS IN THE ALTERED SENSITIVITY TO COLD OF CORNEAL PRIMARY SENSORY NEURONS AFTER AXONAL DAMAGE</t>
  </si>
  <si>
    <t>ACTA PHYSIOLOGICA</t>
  </si>
  <si>
    <t>Muñoz, Ricardo/AAO-5249-2020</t>
  </si>
  <si>
    <t>1748-1708</t>
  </si>
  <si>
    <t>1748-1716</t>
  </si>
  <si>
    <t>P104</t>
  </si>
  <si>
    <t>WOS:000342750000205</t>
  </si>
  <si>
    <t>Acuña, G; Curilem, M; Araya, B; Cubillos, F; Miranda, R; Garrido, F</t>
  </si>
  <si>
    <t>Gelbukh, A; Espinoza, FC; GaliciaHaro, SN</t>
  </si>
  <si>
    <t>Acuna, Gonzalo; Curilem, Millaray; Araya, Beatriz; Cubillos, Francisco; Miranda, Rodrigo; Garrido, Fernanda</t>
  </si>
  <si>
    <t>Predictive Models Applied to Heavy Duty Equipment Management</t>
  </si>
  <si>
    <t>NATURE-INSPIRED COMPUTATION AND MACHINE LEARNING, PT II</t>
  </si>
  <si>
    <t>Lecture Notes in Artificial Intelligence</t>
  </si>
  <si>
    <t>13th Mexican International Conference on Artificial Intelligence (MICAI)</t>
  </si>
  <si>
    <t>NOV 16-22, 2014</t>
  </si>
  <si>
    <t>Tuxtla Gutierrez, MEXICO</t>
  </si>
  <si>
    <t>Mexican Soc Artificial Intelligence,Govt Chiapas,Ist Tecnologico Tuxtla Gutierrez,Univ Autonoma Chiapas,Centro Investigac Computac Ist Politecnico Nacl,Univ Autonoma Estado Hidalgo,Univ Nacl Autonoma Mexico</t>
  </si>
  <si>
    <t>In this work we present the development of nonlinear autoregressive with exogenous inputs models to predict some relevant variables for asset management of heavy mining equipment, like Mean Time between Failures (MTBF), Mean Time to Repair (MTTR) and Availability is presented. The models were developed using support vector machine with historical data obtained on a daily basis during 2013 from one heavy mining equipment of an important copper mine site in Chile. One-step-ahead predictions of the predicted variables confirmed good performance of the dynamic models.</t>
  </si>
  <si>
    <t>978-3-319-13650-9; 978-3-319-13649-3</t>
  </si>
  <si>
    <t>WOS:000354938000018</t>
  </si>
  <si>
    <t>Maldonado, M; Quinn, JJ; Gomez, CO; Finch, JA</t>
  </si>
  <si>
    <t>Maldonado, M.; Quinn, J. J.; Gomez, C. O.; Finch, J. A.</t>
  </si>
  <si>
    <t>An experimental study examining the relationship between bubble shape and rise velocity</t>
  </si>
  <si>
    <t>CHEMICAL ENGINEERING SCIENCE</t>
  </si>
  <si>
    <t>Individual bubbles ca. 2.5 mm in diameter were produced at a capillary in water containing frother, polymer or inorganic salt. Bubble aspect ratio (shape) and rise velocity were measured ca. 1.2 m above the point of generation. Results suggest a unique relationship between bubble shape and rise velocity which is independent of solute type or concentration. (c) 2013 Elsevier Ltd. All rights reserved.</t>
  </si>
  <si>
    <t>Quinn, Jarrett J./0000-0003-3493-6723</t>
  </si>
  <si>
    <t>0009-2509</t>
  </si>
  <si>
    <t>JUL 19</t>
  </si>
  <si>
    <t>10.1016/j.ces.2013.04.050</t>
  </si>
  <si>
    <t>WOS:000321427400002</t>
  </si>
  <si>
    <t>Recio, FJ; Cañete, P; Tasca, F; Linares-Flores, C; Zagal, JH</t>
  </si>
  <si>
    <t>Javier Recio, Francisco; Canete, Paulina; Tasca, Federico; Linares-Flores, Cristian; Heraclito Zagal, Jose</t>
  </si>
  <si>
    <t>Tuning the Fe(II)/(I) formal potential of the FeN4 catalysts adsorbed on graphite electrodes to the reversible potential of the reaction for maximum activity: Hydrazine oxidation</t>
  </si>
  <si>
    <t>In classical volcano correlations in electrocatalysis, the shape of (log i(o)) plots versus the binding energy of the reactant to active sites, the maximum activity is associated to a situation where the surface coverage of reactant species is equal to 0.5 corresponding to a free energy of adsorption of the reactant equal to zero. When studying electrochemical reactions catalysed by macrocyclic transition metal complexes adsorbed on graphite electrodes, volcano correlations are found when plotting the activity versus the formal potential of the catalyst for several reactions, assuming that the formal potential is somehow related to the free energy of the adsorption of the reacting molecule. In this work we offer an interpretation different from that given in the literature for these correlations for the electrooxidation of hydrazine. The highest catalytic activity is achieved when the formal potential of the catalyst approaches the N2H4/N-2 reversible potential. In contrast, if log i (normalized for the actual surface concentrations of Fe(II) active sites at constant potential) is plotted versus the difference between the Fe(II)/(I) formal potential of the catalysts and the standard potential of the N2H4/N-2 reaction, the correlation is linear with a slope close to 2RT/F. (C) 2013 Elsevier B.V. All rights reserved.</t>
  </si>
  <si>
    <t>zagal, jose/L-9648-2014; Tasca, Federico/J-4134-2015; Recio, Francisco/AAB-2148-2020; Sierra-Rosales, Paulina/K-4733-2019</t>
  </si>
  <si>
    <t>Linares-Flores, Cristian/0000-0002-2967-0388; Sierra-Rosales, Paulina/0000-0001-7077-785X; Recio, Francisco/0000-0002-5181-3197</t>
  </si>
  <si>
    <t>1873-1902</t>
  </si>
  <si>
    <t>10.1016/j.elecom.2013.01.024</t>
  </si>
  <si>
    <t>WOS:000317453100009</t>
  </si>
  <si>
    <t>Arancibia, A; Guilarte, JM; Plyushchay, MS</t>
  </si>
  <si>
    <t>Arancibia, Adrian; Mateos Guilarte, Juan; Plyushchay, Mikhail S.</t>
  </si>
  <si>
    <t>Effect of scalings and translations on the supersymmetric quantum mechanical structure of soliton systems</t>
  </si>
  <si>
    <t>We investigate a peculiar supersymmetry of the pairs of reflectionless quantum mechanical systems described by n-soliton potentials of a general form that depends on n scaling and n translation parameters. We show that if all the discrete energy levels of the subsystems are different, the superalgebra, being insensitive to translation parameters, is generated by two supercharges of differential order 2n, two supercharges of order 2n + 1, and two bosonic integrals of order 2n + 1 composed from Lax integrals of the partners. The exotic supersymmetry undergoes a reduction when r discrete energy levels of one subsystem coincide with any r discrete levels of the partner; the total order of the two independent intertwining generators reduces then to 4n - 2r + 1, and the nonlinear superalgebraic structure acquires a dependence on r relative translations. For a complete pairwise coincidence of the scaling parameters which control the energies of the bound states and the transmission scattering amplitudes, the emerging isospectrality is detected by a transmutation of one of the Lax integrals into a bosonic central charge. Within the isospectral class, we reveal a special case giving a new family of finite-gap first order Bogoliubov-de Gennes systems related to the Ablowitz-Kaup-Newell-Segur integrable hierarchy. DOI: 10.1103/PhysRevD.87.045009</t>
  </si>
  <si>
    <t>Mateos Guilarte, Juan/D-8199-2018; Arancibia, Adrian/W-1889-2018</t>
  </si>
  <si>
    <t>Mateos Guilarte, Juan/0000-0001-7928-9086; Arancibia, Adrian/0000-0002-9170-0891</t>
  </si>
  <si>
    <t>10.1103/PhysRevD.87.045009</t>
  </si>
  <si>
    <t>WOS:000314878900009</t>
  </si>
  <si>
    <t>Acuña, G; González, J; Curilem, M; Cubillos, F</t>
  </si>
  <si>
    <t>Varbanov, P; Klemes, JJ; Seferlis, P; Papadopoulos, AI; Voutetakis, S; Pierucci, S</t>
  </si>
  <si>
    <t>Acuna, Gonzalo; Gonzalez, Jennifer; Curilem, Millaray; Cubillos, Francisco</t>
  </si>
  <si>
    <t>A SVM Gray-Box Model for a Solid Substrate Fermentation Process</t>
  </si>
  <si>
    <t>16TH INTERNATIONAL CONFERENCE ON PROCESS INTEGRATION, MODELLING AND OPTIMISATION FOR ENERGY SAVING AND POLLUTION REDUCTION (PRES'13)</t>
  </si>
  <si>
    <t>Chemical Engineering Transactions</t>
  </si>
  <si>
    <t>16th International Conference on Process Integration, Modelling and Optimisation for Energy Saving and Pollution Reduction (PRES)</t>
  </si>
  <si>
    <t>SEP 29-OCT 02, 2013</t>
  </si>
  <si>
    <t>Rhodes, GREECE</t>
  </si>
  <si>
    <t>Aristotle Univ Thessaloniki, Dept Mech Engn,Ctr Res &amp; Technol Hellas, Chem Proc &amp; Engergy Resources Inst</t>
  </si>
  <si>
    <t>Gray-Box models (GBM) which combine a priori knowledge of a process -e.g. first principle equations-with a black-box modeling technique are useful when some parameters of the first-principle model - normally time-variant parameters like the specific kinetics of some bioprocesses- cannot be easily determined. In this case the black-box part of the GBM can be used to model the influence of input and state variables on the evolution of those parameters. The most commonly used black-box technique for GBM is Artificial Neural Networks (ANN). However Support Vector Machine (SVM) has shown its usefulness by improving over the performance of different supervised learning methods, either as classification models or as regression models. In this paper, a kind of SVM -the Least-Square Support Vector Machine (LS-SVM)- are used to develop a GBM for a solid-substrate fermentation (SSF) batch process, the growth of the filamentous fungus Gibberella fujikuroi. SSF are well known as low water consumption processes, therefore reducing liquid effluent treatment costs. They can also use agricultural wastes as substrates. Although these advantages lack of adequate models attempts to better exploit SSF processes at an industrial level. The aim of the present work is then to build a GBM to simultaneously estimate the specific growth kinetics and the specific production kinetics. Good results confirm that SVM can be effectively used for developing GBM for SSF processes.</t>
  </si>
  <si>
    <t>2283-9216</t>
  </si>
  <si>
    <t>978-88-95608-26-6</t>
  </si>
  <si>
    <t>10.3303/CET1335160</t>
  </si>
  <si>
    <t>WOS:000337963900160</t>
  </si>
  <si>
    <t>Barbosa, KA; Cipriano, A</t>
  </si>
  <si>
    <t>Barbosa, K. A.; Cipriano, A.</t>
  </si>
  <si>
    <t>Robust H∞ filter design for singular systems with time-varying uncertainties</t>
  </si>
  <si>
    <t>IET CONTROL THEORY AND APPLICATIONS</t>
  </si>
  <si>
    <t>This article deals with the design of robust H-infinity filter for singular systems in general form, subject to bounded time-varying uncertainties. The aim is to design linear admissible descriptor filters that ensure a guaranteed bound on the L-2 gain of the operator from the noise signals to the estimation error signal, irrespective of the time-varying uncertain parameters. A strict linear matrix inequality based method is proposed to the robust H-infinity filter design employing affine Lyapunov functions. A numerical example is presented to show the efficiency of the proposed method.</t>
  </si>
  <si>
    <t>Cipriano, Aldo/F-8282-2013; Barbosa, Karina/A-2236-2014</t>
  </si>
  <si>
    <t>1751-8644</t>
  </si>
  <si>
    <t>1751-8652</t>
  </si>
  <si>
    <t>10.1049/iet-cta.2010.0175</t>
  </si>
  <si>
    <t>WOS:000292634600004</t>
  </si>
  <si>
    <t>Palza, H; Vergara, R; Zapata, P</t>
  </si>
  <si>
    <t>Palza, H.; Vergara, R.; Zapata, P.</t>
  </si>
  <si>
    <t>Composites of polypropylene melt blended with synthesized silica nanoparticles</t>
  </si>
  <si>
    <t>COMPOSITES SCIENCE AND TECHNOLOGY</t>
  </si>
  <si>
    <t>Spherical and layered silica nanoparticles synthesized by the sol-gel method were melt blended with a polypropylene matrix in order to quantify their effect on thermal and mechanical behaviours of the resulting polymer composites. Transmission electron microscopy images showed that spherical nanoparticles were dispersed in the polymer matrix whereas layered particles display tactoid and agglomerated structures. By thermogravimetric analysis, it was observed that independent of the particle aspect ratio, the nanofillers render larger thermal degradation stabilization to the polymer matrix under oxidative conditions than under inert atmosphere. Noteworthy, the largest improvements were found by using spherical nanoparticles in presence of a compatibilizer. These results allow the conclusion that the physical/chemical adsorption of the volatile products on the particle surface during the oxidative degradation is the plausible mechanism behind the thermal stabilization. Tensile stress-strain tests otherwise showed that composites with spherical nanoparticles can display similar or even larger elastic modulus than composites with layered particles showing that the polymer/particle entanglement could be the mechanism for the load transfer in these nanocomposites. (C) 2011 Elsevier Ltd. All rights reserved.</t>
  </si>
  <si>
    <t>; Palza, Humberto/H-2782-2014</t>
  </si>
  <si>
    <t>Zapata, Paula Andrea/0000-0003-3361-6226; Palza, Humberto/0000-0001-5246-6791</t>
  </si>
  <si>
    <t>0266-3538</t>
  </si>
  <si>
    <t>1879-1050</t>
  </si>
  <si>
    <t>FEB 28</t>
  </si>
  <si>
    <t>10.1016/j.compscitech.2011.01.002</t>
  </si>
  <si>
    <t>WOS:000288357700015</t>
  </si>
  <si>
    <t>Aguirre, JAC; Valencia, PJL; Quintanilla, V</t>
  </si>
  <si>
    <t>Cadinanos Aguirre, Jose Antonio; Lozano Valencia, Pedro Jose; Quintanilla, Victor</t>
  </si>
  <si>
    <t>PROPOSAL FOR METHODOLOGICAL MARK INTEGRATED BY BIOGEOGRAPHIC EVALUATION OF NATURE NET 2000 SPACES OF THE AUTONOMOUS COMMUNITY OF THE BASQUE COUNTRY. THE EXAMPLE OF SANTA BARBARA GARATE</t>
  </si>
  <si>
    <t>BOLETIN DE LA ASOCIACION DE GEOGRAFOS ESPANOLES</t>
  </si>
  <si>
    <t>The present work is based on a project of research supported by the Basque Government (Department of Environment and Territorial Arrangement and the IHOBE. The fundamental aim is the development of a methodological tool for the socioeconomic and environmental valuation of the Nature Net 2000 Spaces of the Autonomous Community of the Basque Country (CAPV). This model, put in march in the Place of Community Importance (LIC) of Garate-Santa Barbara, wants to be applied to the rest of the protected areas of the Autonomous Community as tool of evaluation, arrangement and management. The present article centers on the application of a global method of biogeographic valuation and exposes the results derived from the same one.</t>
  </si>
  <si>
    <t>Aguirre, Jose/AAA-8025-2019; LOZANO-VALENCIA, PEDRO JOSE/AAB-5623-2019</t>
  </si>
  <si>
    <t>LOZANO-VALENCIA, PEDRO JOSE/0000-0002-1345-5704</t>
  </si>
  <si>
    <t>0212-9426</t>
  </si>
  <si>
    <t>2605-3322</t>
  </si>
  <si>
    <t>WOS:000299301800002</t>
  </si>
  <si>
    <t>Henríquez, HR; Hernández, E</t>
  </si>
  <si>
    <t>Henriquez, Hernan R.; Hernandez M, Eduardo</t>
  </si>
  <si>
    <t>EXISTENCE OF SOLUTIONS OF SECOND-ORDER PARTIAL NEUTRAL FUNCTIONAL DIFFERENTIAL EQUATIONS WITH INFINITE DELAY</t>
  </si>
  <si>
    <t>ROCKY MOUNTAIN JOURNAL OF MATHEMATICS</t>
  </si>
  <si>
    <t>In this paper we establish the existence of mild solutions for a class of abstract second-order partial neutral functional differential equations with infinite delay in a Banach space.</t>
  </si>
  <si>
    <t>Hernández, Eduardo/N-4531-2013</t>
  </si>
  <si>
    <t>Hernandez, Eduardo/0000-0002-4279-8570</t>
  </si>
  <si>
    <t>0035-7596</t>
  </si>
  <si>
    <t>10.1216/RMJ-2011-41-6-1861</t>
  </si>
  <si>
    <t>WOS:000298020300006</t>
  </si>
  <si>
    <t>Moraga, NO; Vega-Gálvez, A; Lemus-Mondaca, R</t>
  </si>
  <si>
    <t>Moraga, Nelson O.; Vega-Galvez, Antonio; Lemus-Mondaca, Roberto</t>
  </si>
  <si>
    <t>Numerical Simulation of Experimental Freezing Process of Ground Meat Cylinders</t>
  </si>
  <si>
    <t>INTERNATIONAL JOURNAL OF FOOD ENGINEERING</t>
  </si>
  <si>
    <t>The efficient prediction of freezing processes is important for the frozen food industry with the purpose of preserving food quality. A comparison is made between the finite difference and finite volume methods to predict the unsteady 2D temperature distribution for the freezing of three different ground meat cylinders, with variable convective boundary conditions. Experiments were carried out to measure the local heat transfer coefficients as a function of freezing time and location. Time-dependent air temperature conditions caused by thermostat action were included in the analysis. The meat thermophysical properties as density, specific heat, and thermal conductivity are assumed to vary non-linearly with temperature. The experimentally measured time-temperature data were compared with the simulation results obtained by both numerical methods. According to statistical test results (RE %), the finite volume method gave the best fit quality. The finite volume method is more accurate for simulating the freezing process, as well as estimating the freezing time of this product</t>
  </si>
  <si>
    <t>2194-5764</t>
  </si>
  <si>
    <t>1556-3758</t>
  </si>
  <si>
    <t>10.1515/1556-3758.1966</t>
  </si>
  <si>
    <t>WOS:000302348500011</t>
  </si>
  <si>
    <t>Solutions to stochastic fractional oscillation equations</t>
  </si>
  <si>
    <t>APPLIED MATHEMATICS LETTERS</t>
  </si>
  <si>
    <t>We formulate a fractional stochastic oscillation equation as a generalization of Bagley's fractional differential equation. We do this in analogy with the case for Basset's equation, which gives rise to fractional stochastic relaxation equations. We analyze solutions under some conditions of spatial regularity of the operators considered. (C) 2010 Elsevier Ltd. All rights reserved.</t>
  </si>
  <si>
    <t>0893-9659</t>
  </si>
  <si>
    <t>10.1016/j.aml.2010.06.032</t>
  </si>
  <si>
    <t>WOS:000281877200010</t>
  </si>
  <si>
    <t>Cuevas, C; Lizama, C</t>
  </si>
  <si>
    <t>Cuevas, Claudio; Lizama, Carlos</t>
  </si>
  <si>
    <t>Semilinear evolution equations on discrete time and maximal regularity</t>
  </si>
  <si>
    <t>This paper deals with the existence and stability of solutions for semilinear equations on Banach spaces by using recent characterizations of discrete maximal regularity. As application we examine the asymptotic behavior of discrete control systems. (C) 2009 Elsevier Inc. All rights reserved.</t>
  </si>
  <si>
    <t>10.1016/j.jmaa.2009.08.063</t>
  </si>
  <si>
    <t>WOS:000273063900021</t>
  </si>
  <si>
    <t>Gatica, N; Guerra, S; Vargas, Y; Gaete, L; Galleguillos, E; Ruzzante, J</t>
  </si>
  <si>
    <t>Gatica, N.; Guerra, S.; Vargas, Y.; Gaete, L.; Galleguillos, E.; Ruzzante, J.</t>
  </si>
  <si>
    <t>Acoustic Emissions in Borosilicate and epoxy resin composite</t>
  </si>
  <si>
    <t>In this paper a research looking for to extend the acoustic emission (AE) technique from the evaluation of stress state of rock samples to know its composition is presented. For this purpose the rock samples were simulated by a composite made of a resin and borosilicate spheres. The epoxy resin playing the role of country rock and Borosilicate spheres represent the coarse grain. These samples were undergone to uniaxial compression test and the AE signals were recorded and studied looking for the identification of each material characteristic spectrum. The spectral analysis of these recorded signals shown that it is possible to identify the characteristic spectra of each material from the full spectra of composite.</t>
  </si>
  <si>
    <t>Ruzzante, Jose/ABH-2598-2020</t>
  </si>
  <si>
    <t>Galleguillos, Renato/0000-0001-6065-5218; Ruzzante, Jose Evaristo/0000-0003-0980-7380</t>
  </si>
  <si>
    <t>10.1016/j.phpro.2010.01.110</t>
  </si>
  <si>
    <t>WOS:000275913100122</t>
  </si>
  <si>
    <t>Ríos, R; Marín, A; Ramírez, G</t>
  </si>
  <si>
    <t>Rios, Roxana; Marin, America; Ramirez, Galo</t>
  </si>
  <si>
    <t>Nitrite electro-oxidation mediated by Co(II)-[tetra(4-aminophenyl)porphyrin]-modified electrodes: behavior as an amperometric sensor</t>
  </si>
  <si>
    <t>Electro-oxidation of nitrite mediated by Co(II)-[tetra(4-aminophenyl)porphyrin]-modified electrodes (4-CoTAPP) is presented in this article. Catalytic activity of electrodes modified with porphyrin polymeric films (poly-4-CoTAPP) and with multilayer of monomers (m-4-CoTAPP) for the oxidation of nitrite was compared. The number of cycles for the electrosynthesis of poly-4-CoTAPP determines the activity of the electrode toward nitrite oxidation because the system loses its catalytic activity as the number of polymerization cycles increases above 15. The effect of pH on activity is also reported. The response for the nitrite oxidation of electrodes modified with 4-CoTAPP and with metal-free ligand, that is, tetra(4-aminophenyl)porphyrin, either as multilayer of monomers or as polymer (m-4-H2TAPP and poly-4-H2TAPP, respectively), was compared. An increase of activity in the presence of the metal was found. Furthermore, when the device was tested as an amperometric sensor for different nitrite concentrations under the optimum working conditions, only poly-4-CoTAPP exhibited a linear response throughout the concentration range studied with a reasonably low limit of detection, while m-4-CoTAPP and poly-H2TAPP systems have no linear response throughout the range of concentration. Finally, the number of electrons involved and the Tafel slope for the reaction were estimated.</t>
  </si>
  <si>
    <t>Ramirez, Galo/0000-0002-6217-4730</t>
  </si>
  <si>
    <t>PII 921647945</t>
  </si>
  <si>
    <t>10.1080/00958971003802091</t>
  </si>
  <si>
    <t>WOS:000277737700001</t>
  </si>
  <si>
    <t>Salinas, V; Vargas, Y; Ruzzante, J; Gaete, L</t>
  </si>
  <si>
    <t>Salinas, V.; Vargas, Y.; Ruzzante, J.; Gaete, L.</t>
  </si>
  <si>
    <t>Localization Algorithm for Acoustic Emission</t>
  </si>
  <si>
    <t>In this paper, an iterative algorithm for localization of acoustic emission (AE) source is presented. The main advantage of the system is that it is independent of the ability in the determination of signal level to triggering the signal by the researcher. The system was tested in cylindrical samples with an AE localized in a known position; the precision in the source determination was of about 2 mm, better than the precision obtained with classic localization algorithms (similar to 1cm).</t>
  </si>
  <si>
    <t>Ruzzante, Jose/ABH-2598-2020; Salinas, Vicente/B-9803-2013</t>
  </si>
  <si>
    <t>Ruzzante, Jose Evaristo/0000-0003-0980-7380; Salinas, Vicente/0000-0002-5759-9371</t>
  </si>
  <si>
    <t>10.1016/j.phpro.2010.01.111</t>
  </si>
  <si>
    <t>WOS:000275913100123</t>
  </si>
  <si>
    <t>Karczewska, A.; Lizama, C.</t>
  </si>
  <si>
    <t>Solutions to stochastic fractional relaxation equations</t>
  </si>
  <si>
    <t>In the present paper, we study fractional relaxation equations, deterministic and stochastic as well. We provide an operator theoretical approach to the equations considered. In order to do this, we introduce a new family of strongly continuous operators, called alpha-regularized family, corresponding to the deterministic relaxation equations. Next, we provide sufficient conditions for the existence of mild, weak and strong solutions to the stochastic fractional relaxation equations.</t>
  </si>
  <si>
    <t>T136</t>
  </si>
  <si>
    <t>10.1088/0031-8949/2009/T136/014030</t>
  </si>
  <si>
    <t>WOS:000270803300031</t>
  </si>
  <si>
    <t>Aguilar, JR; Arenas, JP; Salinas, R</t>
  </si>
  <si>
    <t>Aguilar, Juan R.; Arenas, Jorge P.; Salinas, Renato</t>
  </si>
  <si>
    <t>Friction noise technique for the measurement of surface roughness of papers</t>
  </si>
  <si>
    <t>APPLIED ACOUSTICS</t>
  </si>
  <si>
    <t>Surface roughness is one of the most important attributes of paper and its measurement is normally used in quality control applications. Currently, measurement of surface roughness is done by using air leakage, optical, or subjective methods. In this article, an acoustical method for the determination of surface roughness of papers is described. The method is applied off-line and uses the friction noise recorded when a small brush slide over the surface of the paper. The analysis is done consider the friction noise ranging from 300 Hz to 10 kHz. Considering that friction noise is associated to surface roughness, a signal analysis algorithm was developed to take advantage of this fact. The algorithm consists of a frequency-domain feature extraction routine and an artificial neural network that represents the variation of the spectral features in a roughness scale. The results show that an affordable and efficient friction noise based system can be used for measuring surface roughness of tissue papers and other soft surfaces as an alternative to other methods. (C) 2009 Elsevier Ltd. All rights reserved.</t>
  </si>
  <si>
    <t>Arenas, Jorge/A-6037-2008</t>
  </si>
  <si>
    <t>Arenas, Jorge/0000-0003-4728-8964</t>
  </si>
  <si>
    <t>0003-682X</t>
  </si>
  <si>
    <t>10.1016/j.apacoust.2009.03.008</t>
  </si>
  <si>
    <t>WOS:000267530300012</t>
  </si>
  <si>
    <t>Mahn, A; Lienqueo, ME; Salgado, JC</t>
  </si>
  <si>
    <t>Mahn, Andrea; Lienqueo, M. Elena; Salgado, J. Cristian</t>
  </si>
  <si>
    <t>Methods of calculating protein hydrophobicity and their application in developing correlations to predict hydrophobic interaction chromatography retention</t>
  </si>
  <si>
    <t>JOURNAL OF CHROMATOGRAPHY A</t>
  </si>
  <si>
    <t>Hydrophobic interaction chromatography (HIC) is a key technique for protein separation and purification. Different methodologies to estimate the hydrophobicity of a protein are reviewed, which have been related to the chromatographic behavior of proteins in HIC. These methodologies consider either knowledge of the three-dimensional structure or the amino acid composition of proteins. Despite some restrictions; they have proven to be useful in predicting protein retention time in HIC. (C) 2008 Elsevier B.V. All rights reserved.</t>
  </si>
  <si>
    <t>lienqueo, maria/AAA-1408-2021; Salgado, J. Cristian/N-1275-2013</t>
  </si>
  <si>
    <t>Salgado, J. Cristian/0000-0002-5507-8695</t>
  </si>
  <si>
    <t>0021-9673</t>
  </si>
  <si>
    <t>1873-3778</t>
  </si>
  <si>
    <t>MAR 6</t>
  </si>
  <si>
    <t>10.1016/j.chroma.2008.11.089</t>
  </si>
  <si>
    <t>WOS:000264025600020</t>
  </si>
  <si>
    <t>Almost automorphic solutions to a class of semilinear fractional differential equations</t>
  </si>
  <si>
    <t>We study almost automorphic (mild) solutions of the semilinear fractional equation delta(alpha)(t)u = Au + delta(alpha-1)(t)f (., u), 1 &lt; alpha &lt; 2, considered in a Banach space X, where A is a linear operator of sectorial type omega &lt; 0. We prove the existence and uniqueness of an almost automorphic mild solution assuming that f (t, x) is almost automorphic in t for each x E X, satisfies some Lipschitz type conditions and takes values on X. (C) 2008 Elsevier Ltd. All rights reserved.</t>
  </si>
  <si>
    <t>10.1016/j.aml.2008.02.001</t>
  </si>
  <si>
    <t>WOS:000260724600018</t>
  </si>
  <si>
    <t>Fuentealba, D; Galvez, M; Alarcón, E; Lissi, E; Silva, E</t>
  </si>
  <si>
    <t>Fuentealba, Denis; Galvez, Manuel; Alarcon, Emilio; Lissi, Eduardo; Silva, Eduardo</t>
  </si>
  <si>
    <t>Photosensitizing activity of advanced glycation endproducts on tryptophan, glucose 6-phosphate dehydrogenase, human serum albumin and ascorbic acid evaluated at low oxygen pressure</t>
  </si>
  <si>
    <t>A comparative study of the photosensitizing activity of advanced glycation endproducts (AGEs) prepared by incubating glucose (Glc), threose (Threo) and ascorbate (AH(-)) in the presence of lysine (Lys) was performed. Photochemical activity was evaluated under low oxygen pressure with the aim to simulate the conditions of the eye lens. AGE-sensitized tryptophan and AH- photodecomposition and glucose 6-phosphate dehydrogenase inactivation were studied. In all systems, glucose-derived AGEs showed the highest photosensitizing efficiency, followed by ascorbate and threose. The presence of different sensitizers in glycation products mixtures was investigated. For this purpose, Trp decomposition quantum yields were determined at 344 and 367 nm. The values obtained at 344 nm are between three and six times higher than those observed at 367 nm, confirming the presence of at least two compounds with different photosensitizing activities in the mixtures. The chemilluminescence associated with the AGE-mediated oxidation of free Trp and Trp residues in human serum albumin was also studied, and a good correlation between the emission of light and the extent of Trp decomposition was found. In conclusion, it is demonstrated that glucose derived AGEs, which can be formed in vivo in the eye lens of diabetic patients and are accumulated in elderly lenses, have a higher photosensitizing efficiency, at low oxygen pressure, than those arising from ascorbate and threose. This high efficiency is especially significant when proteins are employed as photochemical targets, indicating that protein-sensitizer interaction and the local environment around the sensitizers play an important role.</t>
  </si>
  <si>
    <t>Silva, Eduardo/KUC-8055-2024; Alarcon, Emilio/A-7285-2011; Fuentealba, Denis/R-9880-2016</t>
  </si>
  <si>
    <t>Fuentealba, Denis/0000-0003-4798-7204</t>
  </si>
  <si>
    <t>10.1562/2006-08-01-RA-990</t>
  </si>
  <si>
    <t>WOS:000247327400014</t>
  </si>
  <si>
    <t>Escrig, J; Landeros, P; Altbir, D; Vogel, EE</t>
  </si>
  <si>
    <t>Escrig, J.; Landeros, P.; Altbir, D.; Vogel, E. E.</t>
  </si>
  <si>
    <t>Effect of anisotropy in magnetic nanotubes</t>
  </si>
  <si>
    <t>Analytical expressions for the total magnetic energy of two characteristic internal configurations of nanometric tubes are calculated. A magnetic phase diagram with respect to the aspect ratio of the tubes is obtained considering anisotropy properties of four materials: iron, cobalt, permalloy and nickel. Conditions for low/high coercive field are discussed. (c) 2006 Elsevier B.V. All rights reserved.</t>
  </si>
  <si>
    <t>Altbir, Dora/R-6781-2018; Escrig, Juan/N-4304-2015; Landeros, Pedro/B-4603-2012</t>
  </si>
  <si>
    <t>Altbir, Dora/0000-0002-2945-4909; Escrig, Juan/0000-0002-3958-8185; Vogel, Eugenio/0000-0002-1701-3030; Landeros, Pedro/0000-0002-0927-1419</t>
  </si>
  <si>
    <t>10.1016/j.jmmm.2006.10.910</t>
  </si>
  <si>
    <t>WOS:000247720400194</t>
  </si>
  <si>
    <t>Yévenes, A; González-Nilo, FD; Cardemill, E</t>
  </si>
  <si>
    <t>Yevenes, Alejandro; Gonzalez-Nilo, Fernando D.; Cardemill, Emilio</t>
  </si>
  <si>
    <t>Relevance of phenylalanine 216 in the affinity of Saccharomyces cerevisiae phosphoenolpyruvate carboxykinase for Mn(II)</t>
  </si>
  <si>
    <t>Saccharomyces cerevisiae phosphoenolpyruvate (PEP) carboxykinase catalyzes the reversible formation of oxaloacetate and adenosine triphosphate from PEP, adenosine diphosphate and carbon dioxide, and uses Mn2+ as the activating metal ion. Comparison with the crystalline structure of homologous Escherichia coli PEP carboxykinase [Tari et at. (1997) Nature Struct. Biol. 4, 990-994] shows that Lys(213) is one of the ligands to Mn2+ at the enzyme active site. Coordination of Mn2+ to a lysyl residue is not common and suggests a low pK(a) value for the epsilon-NH2 group of Lys(213). In this work, we evaluate the role of neighboring Phe(216) in contributing to provide a low polarity microenvironment suitable to keep the epsilon-NH2 of Lys(213) in the unprotonated form. Mutation Phe216Tyr shows that the introduction of a hydroxyl group in the lateral chain of the residue produces a substantial loss in the enzyme affinity for Mn2+, suggesting an increase of the p&amp; of Lys. In agreement with this interpretation, theoretical calculations indicate an alkaline shift of 2.8 pH units in the pK(a) of the epsilon-amino group of Lys(213) upon Phe216Tyr mutation.</t>
  </si>
  <si>
    <t>Gonzalez Nilo, Fernando Danilo/M-5671-2016</t>
  </si>
  <si>
    <t>Gonzalez Nilo, Fernando Danilo/0000-0001-6857-3575; Yevenes, Alejandro/0000-0003-3799-1509</t>
  </si>
  <si>
    <t>10.1007/s10930-006-9054-z</t>
  </si>
  <si>
    <t>WOS:000245408100007</t>
  </si>
  <si>
    <t>del Olmo, MA; Plyushchay, MS</t>
  </si>
  <si>
    <t>del Olmo, Mariano A.; Plyushchay, Mikhail S.</t>
  </si>
  <si>
    <t>Electric Chern-Simons term, enlarged exotic Galilei symmetry and noncommutative plane</t>
  </si>
  <si>
    <t>The extended exotic planar model for a charged particle is constructed. It includes a Chern-Simons-like term for a dynamical electric field, but produces usual equations of motion for the particle in background constant uniform electric and magnetic fields. The electric Chern-Simons term is responsible for the noncommutativity of the boost generators in the 10-dimensional enlarged exotic Galilei symmetry algebra of the extended system. The model admits two reduction schemes by the integrals of motion, one of which reproduces the usual formulation for the charged particle in external constant electric and magnetic fields with associated field-deformed Galilei symmetry, whose commuting boost generators are identified with the nonlocal in time Noether charges reduced on-shell. Another reduction scheme, in which electric field transmutes into the commuting space translation generators, extracts from the model a free particle on the noncommutative plane described by the twofold centrally extended Galilei group of the nonrelativistic anyons. (c) 2006 Elsevier Inc. All rights reserved.</t>
  </si>
  <si>
    <t>del Olmo, Mariano A./0000-0001-7772-9981</t>
  </si>
  <si>
    <t>10.1016/j.aop.2006.03.001</t>
  </si>
  <si>
    <t>WOS:000242740400006</t>
  </si>
  <si>
    <t>Arancibia, A; Henriquez-Roman, J; Páez, MA; Padilla-Campos, L; Zagal, JH; Costamagna, J; Cárdenas-Jirón, G</t>
  </si>
  <si>
    <t>Arancibia, A.; Henriquez-Roman, J.; Paez, M. A.; Padilla-Campos, L.; Zagal, J. H.; Costamagna, J.; Cardenas-Jiron, G.</t>
  </si>
  <si>
    <t>Influence of 5-chloro and 5-methyl benzotriazole on the corrosion of copper in acid solution: an experimental and a theoretical approach</t>
  </si>
  <si>
    <t>The inhibition of copper corrosion in aerated 0.1 mol l(-1) hydrochloric acid solutions was studied using electrochemical polarization in the presence of different concentrations of benzotriazole and its two derivatives, 5-chloro and 5-methyl benzotriazole. The inhibition efficiencies obtained from cathodic Tafel plots increased markedly with increase in the additive concentration. Benzotriazole and 5-methyl-benzotriazole were found to be cathodic type corrosion inhibitors for concentrations higher than 10(-4) mol l(-1). However, the 5-chloro-benzotriazole was found to be a mixed inhibitor for concentrations up to 10(-3) mol l(-1), above this concentration the inhibitor behaves as an anodic type inhibitor. The inhibitors are physisorbed on the copper surface following a Langmuir's isotherm. The inhibition efficiencies depended on the inhibitor concentration and follows the order 5-chloro-benzotriazole &gt; 5-methyl-benzotriazole &gt; 1-H-benzotriazole. From the theoretical calculations, the change in the inhibition mechanism observed for 5-chloro-benzotriazole at concentrations higher than 10(-3) mol l(-1) is associated with the electronic acceptor characteristic of chloro, which increases the benzotriazole acidity allowing the formation of CuBTA.</t>
  </si>
  <si>
    <t>zagal, jose/L-9648-2014; Paez, Maritza/M-2010-2014; Cardenas-Jiron, Gloria/H-9508-2012</t>
  </si>
  <si>
    <t>paez, maritza/0000-0001-5881-884X; Cardenas-Jiron, Gloria/0000-0003-4305-8088</t>
  </si>
  <si>
    <t>10.1007/s10008-005-0014-x</t>
  </si>
  <si>
    <t>WOS:000239720300003</t>
  </si>
  <si>
    <t>Rubio, MA; Zamorano, N; Lissi, E; Rojas, A; Gutiérrez, L; von Baer, D</t>
  </si>
  <si>
    <t>Volatile carbonylic compounds in downtown Santiago, Chile</t>
  </si>
  <si>
    <t>CHEMOSPHERE</t>
  </si>
  <si>
    <t>Formaldehyde, acetaldehyde, acetone, propanal, butanal, 2-butenal, 3-methylbutanal, hexanal, benzaldehyde, 2-methylbenzaldehyde, and 2,5-dimethylbenzaldehyde were measured during six spring days at downtown Santiago de Chile. Measurements were performed 24 h/day and averaged over three hour periods. The averages of the maxima (ppbv) were, formaldehyde: 3.9 +/- 1.4; butanal: 3.3 +/- 3.4; acetaldehyde: 3.0 +/- 0.9; acetone: 2.4 +/- 1.0; 2-butenal: 0.56 +/- 0.52; propanal: 0.46 +/- 0.21; benzaldehyde: 0.34 +/- 0.3; 3-butanal: 0.11 +/- 0.05; hexanal: 0.11 +/- 0.08; 2-methylbenzaldehyde: 0.08 +/- 0.05; 2,5-dimethylbenzaldehyde: 0.05 +/- 0.03. Aliphatic aldehydes (C1-C3) are strongly correlated among thetas and weakly with primary (toluene) and secondary (ozone plus nitrogen dioxide or PAN) pollutants. In particular, the correlation between acetaldehyde and propanal values remains even if diurnal and nocturnal data are considered separately, indicating similar sources. All these aldehydes present maxima values in the morning (9-12 h) and minima at night (0-3 h). The best correlation is observed when butanal and 2-butenal data are considered (r = 0.99, butanal/2-butenal = 6.2). These compounds present maxima values during the 3-6 h period, with minima values in the 0-3 h period. These data imply a strong pre-dawn emission. Other aldehydes show different daily profiles, suggesting unrelated origins. Formaldehyde is the aldehyde whose concentration values best correlate with the levels of oxidants. The contribution of primary emissions and photochemical processes to formaldehyde concentrations were estimated by using a multiple regression. This treatment indicates that (32 +/- 16)% of measured values arise from direct emissions, while (79 +/- 23)% is attributable to secondary formation. (c) 2005 Elsevier Ltd. All rights reserved.</t>
  </si>
  <si>
    <t>Bajo, Maria/ABF-6991-2020; Gutierrez, Luis/I-1025-2013</t>
  </si>
  <si>
    <t>von Baer, Dietrich/0000-0001-8492-1314</t>
  </si>
  <si>
    <t>0045-6535</t>
  </si>
  <si>
    <t>10.1016/j.chemosphere.2005.06.022</t>
  </si>
  <si>
    <t>WOS:000235594800016</t>
  </si>
  <si>
    <t>Vera-Villarroel, P; Mustaca, A</t>
  </si>
  <si>
    <t>Vera-Villarroel, Pablo; Mustaca, Alba</t>
  </si>
  <si>
    <t>Empirically supported psychological treatments in Chile and Argentina</t>
  </si>
  <si>
    <t>REVISTA LATINOAMERICANA DE PSICOLOGIA</t>
  </si>
  <si>
    <t>A bibliometric revision of the researches based on Clinical. Psychology evidences published on six psychological journals between 1990-2002 and 2005: Terapia Psicologica, Revista Chilena de Psicologia, Psykhe (Chileans), and Interdisciplinaria, Revista Argentina de Clinica Psicologica and Investigaciones en Psicologia (argentines) was investigated. The results were evaluated based on the frequency of the articles, orientation and efficiency criteria for treatments with empiric support established by Chambles &amp; Hollond (1998) and by Seligman (1995). Scarce publications were found about empiric researches on clinical psychology in both countries. Also, most of them agree with the international tendency related with the predominance of the cognitive- behavioral approach, although none of them reunites all the requirements of efficiency established by Chambles &amp; Hollond (1998) and by Seligman (1995). Some incipient data seem to indicate that these results will be modified in the future.</t>
  </si>
  <si>
    <t>Vera-Villarroel, Pablo/A-1134-2011</t>
  </si>
  <si>
    <t>Vera-Villarroel, Pablo/0000-0001-9187-8414</t>
  </si>
  <si>
    <t>0120-0534</t>
  </si>
  <si>
    <t>WOS:000241903200008</t>
  </si>
  <si>
    <t>Montes, SS; Valero, EG; Morales, LS; Vilches, AM; Schmidt, R</t>
  </si>
  <si>
    <t>Adsorption capacity of copper of natural and modified radiata bark pine.</t>
  </si>
  <si>
    <t>The presence of soluble heavy metals in wastewaters, can be toxic for the living beings depending on theirs concentrations. Several studies have been proposed in the literature about the use of natural and modified barks, in relation with heavy metal adsorption from water. This technique have some comparative advantages in front of neutralization-precipitation traditional technique. This work studies the radiata bark pine behaviour in contact with pure solutions of copper at 20degreesC. The ionic exchange depends on slurry density, pH value and metal concentration. The maximun adsorption capacity on natural bark takes 90 to 120 minutes (slurry density greater than or equal to 0.15%(m/v)). The range of saturation values is between 20 to 50 mg/g dry bark. Using activated bark, the range of values is between 45 to 60 mg/g dried bark, with slight dependance of the pH value. In acid media, copper adsorption kinetic is compatible with a first order model, and its specific rate constant increases with the pH value. At same experimental conditions performed for both raw and chemically treated bark separately, it was observed that, keeping the same kinetic model, the specific rate constant increases near to three times when the chemically treated bark is used.</t>
  </si>
  <si>
    <t>WOS:000187318000001</t>
  </si>
  <si>
    <t>Henríquez, HR; Vásquez, CH</t>
  </si>
  <si>
    <t>Differentiability of solutions of second-order functional differential equations with unbounded delay</t>
  </si>
  <si>
    <t>In this paper we study the differentiability of solutions of the second-order semilinear abstract retarded functional differential equation with unbounded delay, specially when the underlying space is reflexive or at least has the Radon-Nikodym property. We apply our results to characterize the infinitesimal generators of several strongly continuous semigroups of linear operators that arise in the theory of linear abstract retarded functional differential equations with unbounded delay on a phase space defined axiomatically. (C) 2003 Elsevier Science (USA). All rights reserved.</t>
  </si>
  <si>
    <t>Vasquez, Carlos H./0000-0003-0529-571X</t>
  </si>
  <si>
    <t>10.1016/S0022-247X(03)00042-8</t>
  </si>
  <si>
    <t>WOS:000182876800008</t>
  </si>
  <si>
    <t>Kasahara, I; Osorio, F; Moyano, P; Pizarro, G; Beltran, J</t>
  </si>
  <si>
    <t>Study of texture and glass transition of French Fried potatoes pretreated with soaking solutions</t>
  </si>
  <si>
    <t>JOURNAL OF FOOD PROCESSING AND PRESERVATION</t>
  </si>
  <si>
    <t>The objective of this work was to study the effects of soaking pretreatments, frying time and temperature, and oil content on texture and glass transition properties of French fried potatoes. Sodium chloride and total sugar contents showed a significant difference (P&lt;0.05) between soaked samples and an unsoaked control. Texture parameters such as rigidity, work and maximum force showed that, up to 2 min of frying, these values decreased. Thereafter, there was a significant increase in these values as frying time increased beyond 3 min as confirmed by a Taguchi statistical analysis. Glass transition temperature (Tg) was higher at the crust than in the strip center for all products and a control sample. This may have been due not only to differences in water content, but also dependent on the presence of other molecules that may have acted as plasticizers. As expected, the extent of starch gelatinization was greater at the crust for all treatments.</t>
  </si>
  <si>
    <t>osorio, fernando/0000-0001-7206-0924; Kasahara, Ismael/0000-0003-4261-5065</t>
  </si>
  <si>
    <t>0145-8892</t>
  </si>
  <si>
    <t>10.1111/j.1745-4549.2002.tb00482.x</t>
  </si>
  <si>
    <t>WOS:000179258200001</t>
  </si>
  <si>
    <t>Ahonen, H; Alvarenga, AG; Provedel, A; Parada, V</t>
  </si>
  <si>
    <t>A client-broker-server architecture of a virtual enterprise for cutting stock applications</t>
  </si>
  <si>
    <t>INTERNATIONAL JOURNAL OF COMPUTER INTEGRATED MANUFACTURING</t>
  </si>
  <si>
    <t>Cutting workpieces of given shapes and sizes from an object of larger dimensions with minimal material loss is a practical problem whose optimal or suboptimal solutions have great economic value in many applications. The solution to this problem often requires automated tools, which may not be achievable for small and medium sized enterprises. For this, an approach is proposed based on the concept of virtual enterprise using a client-broker-server architecture as an implementational model. Details of the architecture and its implementation are analysed.</t>
  </si>
  <si>
    <t>0951-192X</t>
  </si>
  <si>
    <t>10.1080/09511920150216314</t>
  </si>
  <si>
    <t>WOS:000166613200007</t>
  </si>
  <si>
    <t>Rabagliati, FM; Pérez, MA; Cancino, RA; Soto, MA; Rodríguez, FJ; Caro, CJ; León, AG; Ayal, HA; Quijada, R</t>
  </si>
  <si>
    <t>Polymerization and copolymerization of styrene by Ph2Zn-Metallocene-MAO initiator systems.</t>
  </si>
  <si>
    <t>MACROMOLECULAR SYMPOSIA</t>
  </si>
  <si>
    <t>7th Latin-American Symposium on Polymers (SLAP 2000)/5TH Ibero-American Congress on Polymers/1st Ibero-American Symposium on Chitin and Chitosan</t>
  </si>
  <si>
    <t>NOV 20-24, 2000</t>
  </si>
  <si>
    <t>HAVANA, CUBA</t>
  </si>
  <si>
    <t>Cuban Chem Soc, Polymers Sect,Univ Havana,Int Union Pure &amp; Appl Chem,Ctr Res Food &amp; Dev,3rd World Acad Sci</t>
  </si>
  <si>
    <t>Combined systems including diphenylzinc, Ph2Zn, metallocene, and methylaluminoxane, MAO, have been employed to initiate styrene polymerization. These initiator systems have been also used to initiate the copolymerization of styrene with p-alkylsubstituted styrenes and with cc-olefins. Both polymerization and copolymerization processes depend on the nature of the metallocene included in the initiator system, the presence of Ph2Zn, the temperature and the solvent used. Titanocenes produced syndiotactic polystyrene, s-PS, while zirconocenes gave atactic polystyrene, a-PS, with a certain content, less the 20% of s-PS. For copolymerizations the conversion to polymer was also influenced by the comonomer nature and its molar proportion in the initial feed, as well as the sort of metallocene, titanocene or zirconocene included.</t>
  </si>
  <si>
    <t>Rodríguez, Francisco/I-5283-2018</t>
  </si>
  <si>
    <t>Rodriguez-Mercado, Francisco/0000-0002-0530-6653; QUIJADA, RAUL/0000-0003-0791-6954</t>
  </si>
  <si>
    <t>1022-1360</t>
  </si>
  <si>
    <t>1521-3900</t>
  </si>
  <si>
    <t>10.1002/1521-3900(200103)168:1&lt;31::AID-MASY31&gt;3.0.CO;2-B</t>
  </si>
  <si>
    <t>WOS:000168550700004</t>
  </si>
  <si>
    <t>Vogel, EE; Cartes, J; Vargas, P; Altbir, D</t>
  </si>
  <si>
    <t>Simulation of hysteresis for ±J triangular lattices</t>
  </si>
  <si>
    <t>PHYSICA B</t>
  </si>
  <si>
    <t>22nd International Conference on Low Temperature Physics</t>
  </si>
  <si>
    <t>AUG 04-11, 1999</t>
  </si>
  <si>
    <t>HELSINKI UNIV TECHNOL, HELSINKI, FINLAND</t>
  </si>
  <si>
    <t>Commiss C5 low Temp Phys,Int Union Pure &amp; Appl Phys,Acad Finland,Helsinki Univ Technol,Int Assoc Promot Sci,Oxford Instruments Ltd,FortumCorp,Nokia Grp,Finnair Ltd,Datex Engstrom Ltd,Finnish Phys Soc,Picker Nordstar Ltd,Neuromag ltd,SAP Finland Ltd,Espoo Elect Ltd,Outokumpu Ltd,City Espoo,Finnish Acad Sci &amp; Letters,DCA-Instruments Ltd,Vaisala Ltd</t>
  </si>
  <si>
    <t>HELSINKI UNIV TECHNOL</t>
  </si>
  <si>
    <t>We report Monte Carlo simulations of low-temperature hysteresis of +/-J Ising triangular lattices. A hysteresis loop similar to the one shown by real spin glasses is found. Such loop is divided in six sectors, according to the coordination number. Average hysteresis curves, obtained over large numbers of randomly prepared samples, are discussed for different values of temperature (T): it is found that the hysteresis loop disappears for T greater than or equal to 2.2J. Characteristics of the zero-temperature curve are explained by probabilistic analysis. (C) 2000 Elsevier Science B.V. All rights reserved.</t>
  </si>
  <si>
    <t>Vargas, Patricio/AAL-2633-2020; Altbir, Dora/R-6781-2018</t>
  </si>
  <si>
    <t>Vogel, Eugenio/0000-0002-1701-3030; Altbir, Dora/0000-0002-2945-4909; vargas, patricio/0000-0001-9235-9747</t>
  </si>
  <si>
    <t>10.1016/S0921-4526(99)02669-1</t>
  </si>
  <si>
    <t>WOS:000087423100045</t>
  </si>
  <si>
    <t>Quijada, R; Guevara, JL; Rojas, R; Rabagliati, FM</t>
  </si>
  <si>
    <t>Synthesis and properties of homopolymer and copolymers obtained from 1-octadecene with zirconocene catalysts</t>
  </si>
  <si>
    <t>CHINESE JOURNAL OF POLYMER SCIENCE</t>
  </si>
  <si>
    <t>Studies related to the behavior of different metallocene catalysts for the homopolymerization of 1-octadecene and its copolymerization with ethylene will be presented. The metallocenes: rac-Et(Ind)(2)ZrCl2, rac-Me2Si(Ind)(2)ZrCl2 and Ph2C(Flu)(Cp)ZrCl2 were chosen for the homopolymerization study. They show important differences in catalytic activity at high temperatures (greater than or equal to 70 degrees C), with rac-Et(Ind)(2)ZrCl2 showing the highest activity. At lower temperatures (less than or equal to 30 degrees C) the differences are negligible. For the copolymerization of ethylene with 1-octadecene only the catalysts rac-Et(Ind)(2)ZrCl2 and rac-Me2Si(Ind)(2)ZrCl2 were studied. The results show that their catalytic activity is just like that for the homopolymerization of 1-octadecene, with higher activity for the metallocene with the Et-bridged catalyst. C-13-NMR analysis shows that the composition of the copolymerization products depends on the catalytic systems. Copolymers obtained with rac-Me2Si(Ind)(2)ZrCl2 have greater comonomer incorporation. Thermal analysis shows that poly-1-octadecene synthesized with the catalyst rac-Et(Ind)(2)ZrCl2 is very dependent on the polymerization temperature. The homopolymer obtained at 70 degrees C presents two endothermal peaks at 41 degrees C and 53 degrees C, as compared with the one obtained at 30 degrees C which presents one wider peak with a maximum at 67 degrees C. For the catalyst rac-Me2Si(Ind)(2)ZrCl2 this trend is not observed. The type of metallocene and the reaction time do not significantly change the intrinsic viscosity, but the polymerization temperature changes it drastically, giving higher values at lower temperature. Viscosity measurements on the copolymers show that an increase of comonomer concentration in the feed reduces the molecular weight of the copolymer, and it was also found that for homopolymer, the molecular weight is independent of the catalytic systems.</t>
  </si>
  <si>
    <t>Rojas, René/C-4921-2009</t>
  </si>
  <si>
    <t>Rojas, Rene/0000-0002-5292-0816; QUIJADA, RAUL/0000-0003-0791-6954</t>
  </si>
  <si>
    <t>0256-7679</t>
  </si>
  <si>
    <t>WOS:000086762200008</t>
  </si>
  <si>
    <t>González, D; Neilands, O; Rezende, MC</t>
  </si>
  <si>
    <t>The solvatochromic behaviour of 2- and 4-pyridiniophenoxides</t>
  </si>
  <si>
    <t>JOURNAL OF THE CHEMICAL SOCIETY-PERKIN TRANSACTIONS 2</t>
  </si>
  <si>
    <t>The solvatochromic shifts of the two isomeric title betaines 4 and 5, built up from the unsubstituted pyridinio acceptor and phenoxide donor fragments, were recorded in twelve solvents and the data compared with results from semi-empirical (AM1) and ab initio (HF/6-311G and B3LYP/6-311G) calculations.</t>
  </si>
  <si>
    <t>Golubeva, Marina/C-6154-2014; Caroli, Marcos/H-3570-2019; Gonzalez Nilo, Fernando Danilo/M-5671-2016</t>
  </si>
  <si>
    <t>1472-779X</t>
  </si>
  <si>
    <t>10.1039/a900470j</t>
  </si>
  <si>
    <t>WOS:000079747400007</t>
  </si>
  <si>
    <t>Campodonico, P; Barbieri, E; Pizarro, M; Sotomayor, CP; Lissi, EA</t>
  </si>
  <si>
    <t>A comparison between total phenol content of wines and their TRAP values measured by the bleaching of ABTS radical cations</t>
  </si>
  <si>
    <t>Total content of phenols in several wine samples, evaluated by Folin's methodology, were compared with their capacity to react with free radicals (TRAP), as measured by the bleaching of pre-formed ABTS derived radical cations. II is concluded that for red and white wines and for a wine during its maturation, there is a strong correlation between both measurements. This indicates that in wines the total content of phenols conditions the number of free radicals that can be trapped by the beverage.</t>
  </si>
  <si>
    <t>Campodónico, Paola/L-9664-2014</t>
  </si>
  <si>
    <t>Campodonico, Paola/0000-0003-2840-0666</t>
  </si>
  <si>
    <t>WOS:000076339000006</t>
  </si>
  <si>
    <t>MIRANDA, L; VARGAS, P; CERON, H; LAGOS, M</t>
  </si>
  <si>
    <t>HYDROGEN DIFFUSION IN TANTALUM</t>
  </si>
  <si>
    <t>PHYSICS LETTERS A</t>
  </si>
  <si>
    <t>Lagos, Miguel/0000-0002-6114-0782; vargas, patricio/0000-0001-9235-9747</t>
  </si>
  <si>
    <t>0375-9601</t>
  </si>
  <si>
    <t>SEP 5</t>
  </si>
  <si>
    <t>7-8</t>
  </si>
  <si>
    <t>10.1016/0375-9601(88)90298-8</t>
  </si>
  <si>
    <t>WOS:A1988Q132900010</t>
  </si>
  <si>
    <t>SALAS, CE; LEBOY, PS</t>
  </si>
  <si>
    <t>INVITRO, METHYLATION OF ADENOCARCINOMA TRANSFER-RNA BY TRANSFER-RNA METHYLTRANSFERASES</t>
  </si>
  <si>
    <t>ARCHIVOS DE BIOLOGIA Y MEDICINA EXPERIMENTALES</t>
  </si>
  <si>
    <t>0004-0533</t>
  </si>
  <si>
    <t>R166</t>
  </si>
  <si>
    <t>WOS:A1985AVC7500255</t>
  </si>
  <si>
    <t>Aguirre, A; Codina, R; Baiges, J</t>
  </si>
  <si>
    <t>Aguirre, A.; Codina, R.; Baiges, J.</t>
  </si>
  <si>
    <t>Stress-displacement stabilized finite element analysis of thin structures using solid-shell elements, Part I: On the need of interpolating the stresses</t>
  </si>
  <si>
    <t>FINITE ELEMENTS IN ANALYSIS AND DESIGN</t>
  </si>
  <si>
    <t>This work studies the solid-shell finite element approach to approximate thin structures using a stabilized mixed displacement-stress formulation based on the Variational Multiscale framework. The work is divided in two parts. In Part I, the numerical locking effects inherent to the solid-shell approach are characterized using a variety of benchmark problems in the infinitesimal strain approximation. In Part II, the results are extended to formulate the mixed approach in finite strain hyperelastic problems. In the present work, the stabilized mixed displacement-stress formulation is proven to be adequate to deal with all kinds of numerical locking. Additionally, a more comprehensive analysis of each individual type of numerical locking, how it is triggered and how it is overcome is also provided. The numerical locking usually occurs when parasitic strains overtake the system of equations through specific components of the stress tensor. To properly analyze them, the direction of each component of the stress tensor has been defined with respect to the shell directors. Therefore, it becomes necessary to formulate the solid-shell problem in curvilinear coordinates, allowing to give mechanical meaning to the stress components (shear, twisting, membrane and thickness stresses) independently of the global frame of reference. The conditions in which numerical locking is triggered as well as the stress tensor component responsible of correcting the locking behavior have been identified individually by characterizing the numerical response of a set of different benchmark problems.</t>
  </si>
  <si>
    <t>Baiges, Joan/D-3433-2014; Codina, Ramon/I-2311-2014</t>
  </si>
  <si>
    <t>Aguirre, Alejandro/0000-0003-0638-5258; Codina, Ramon/0000-0002-7412-778X</t>
  </si>
  <si>
    <t>0168-874X</t>
  </si>
  <si>
    <t>1872-6925</t>
  </si>
  <si>
    <t>10.1016/j.finel.2024.104168</t>
  </si>
  <si>
    <t>APR 2024</t>
  </si>
  <si>
    <t>WOS:001345676300001</t>
  </si>
  <si>
    <t>Correa, F; Quintana, O</t>
  </si>
  <si>
    <t>Correa, Francisco; Quintana, Octavio</t>
  </si>
  <si>
    <t>Integrable extensions of two-center Coulomb systems</t>
  </si>
  <si>
    <t>In this paper, we investigate new integrable extensions of two-center Coulomb systems. We study the most general n-dimensional deformation of the two-center problem by adding arbitrary functions supporting second-order commuting conserved quantities. The system is superintegrable for n &gt; 4 and, for certain choices of the arbitrary functions, reduces to known models previously discovered. Then, based on this extended system, we introduce an additional integrable generalization involving Calogero interactions for n = 3. In all examples, including the two-center problem, we explicitly present the complete list of Liouville integrals in terms of second-order integrals of motion.</t>
  </si>
  <si>
    <t>10.1103/PhysRevD.109.085011</t>
  </si>
  <si>
    <t>WOS:001222484500009</t>
  </si>
  <si>
    <t>Gallegos, DFC; Pavlic, RD</t>
  </si>
  <si>
    <t>Gallegos, Daniel Fernando Cifuentes; Pavlic, Rodolfo Disi</t>
  </si>
  <si>
    <t>Exploring Democracy Beyond the State: Students' Union Democracy in Chilean Colleges</t>
  </si>
  <si>
    <t>PAPERS-REVISTA DE SOCIOLOGIA</t>
  </si>
  <si>
    <t>Political scientists have studied state democracy for decades using sophisticated meth-ods for conceptualization and measurement to evaluate the explanatory power of various theories. They have paid little attention, however, to democracy in nonstate political sys-tems. This paper fills this gap by characterizing democracy in college student government and investigating the factors affecting the levels of students' union democracy (SUD) in Chilean colleges. Utilizing concepts from political science and sociology, the study identi-fies different dimensions of SUD with data from 162 campuses in 2018. The dimensions are aggregated to build an index of democracy for students' unions. Although the majority of Chilean university students attended colleges with democratic unions, our findings reveal a deficit in democratic student representation in most institutions. The article also draws from the comparative politics, trade union democracy, and higher education literatures to explore the factors that vary by institution that could explain differences in levels of SUD. Ordered logistic regression analyses suggest that SUD is associated with institutional qual-ity, membership in inter-university organizations, and student body size and socioeconomic makeup. The results increase our understanding of the features, status, and correlates of democracy beyond the state.</t>
  </si>
  <si>
    <t>Disi Pavlic, Rodolfo/X-6376-2019</t>
  </si>
  <si>
    <t>Disi Pavlic, Rodolfo/0000-0003-4655-153X</t>
  </si>
  <si>
    <t>0210-2862</t>
  </si>
  <si>
    <t>2013-9004</t>
  </si>
  <si>
    <t>e3114</t>
  </si>
  <si>
    <t>10.5565/rev/papers.3114</t>
  </si>
  <si>
    <t>WOS:001240039700006</t>
  </si>
  <si>
    <t>Paz, EF; Crespo, CC</t>
  </si>
  <si>
    <t>Paz, Elena Freire; Crespo, Carmen Cipriano</t>
  </si>
  <si>
    <t>COMPLETING THE UNESCO PUZZLE: INTANGIBLE HERITAGE AS A LIFELINE FOR TALAVERA CERAMICS</t>
  </si>
  <si>
    <t>DISPARIDADES-REVISTA DE ANTROPOLOGIA</t>
  </si>
  <si>
    <t>The multiple inscriptions that UNESCO accumulates on heritage in all its versions, both under the label of World Heritage and Intangible Cultural Heritage or, more recently, the cataloguing of Cultural Landscapes that are also inscribed on the World Heritage list, have given rise to a considerable amount of casuistry susceptible of analysis from the perspective of socio-cultural anthropology. The present work is part of this line and involves a detailed ethnography on the process of inclusion of Talavera ceramics in the canon of cultural manifestations worthy of being considered as World Heritage. Our aim is twofold: on the one hand, to record a case study in which it becomes clear how the cracks in the system allow for an ad hoc formulation of the candidatures, which, far from being analysed in exclusively negative terms, should also be understood as an opportunity for the work of small groups of what could be called citizen resistance. At the same time, it also raises the inevitable questions that, under the critical and rigorous approach of anthropology, become evident in the face of any heritage activation and which, in a generic way, can be stated as follows: do the measures for the Safeguarding of Heritage save and safeguard cultural assets?</t>
  </si>
  <si>
    <t>Crespo-Gonzalez, Carmen/JXN-9920-2024</t>
  </si>
  <si>
    <t>2659-6881</t>
  </si>
  <si>
    <t>10.3989/dra.2024.004</t>
  </si>
  <si>
    <t>WOS:001344185600005</t>
  </si>
  <si>
    <t>Venegas, CA; Saona, LA; Urbina, K; Quintrel, P; Peña, TA; Mardones, W; Cubillos, FA</t>
  </si>
  <si>
    <t>Venegas, Camila A.; Saona, Luis A.; Urbina, Kamila; Quintrel, Pablo; Pena, Tomas A.; Mardones, Wladimir; Cubillos, Francisco A.</t>
  </si>
  <si>
    <t>Addition of Saccharomyces eubayanus to SCOBY fermentations modulates the chemical and volatile compound profiles in kombucha</t>
  </si>
  <si>
    <t>FOOD MICROBIOLOGY</t>
  </si>
  <si>
    <t>Kombucha is a fermented beverage derived from a sweetened tea fermentation inoculated with a bacteria-yeast consortium referred to as Symbiotic Culture of Bacteria and Yeast (SCOBY). Different SCOBY cultures can impact the beverage's quality and make the whole process highly variable. Adding Saccharomyces yeast cultures to the fermentation process can avoid stalled fermentations, providing a reproducible beverage. Here, we explored using different Saccharomyces eubayanus strains together with SCOBY in the context of kombucha fermentation. Our results show that yeast x SCOBY co-cultures exhibited a robust fermentation profile, providing ethanol and acetic acid levels ranging from 0,18-1,81 %v/v and 0,35-1,15 g/L, respectively. The kombucha volatile compound profile of co-cultures was unique, where compounds such as Isopentyl acetate where only found in yeast x SCOBY fermentations. Metabarcoding revealed that the SCOBY composition was also dependent on the S. eubayanus genotype, where besides Saccharomyces, amplicon sequence variants belonging to Brettanomyces and Starmerella were detected. These differences concomitated global changes in transcript levels in S. eubayanus related to the metabolism of organic molecules used in kombucha fermentation. This study highlights the potential for exploring different S. eubayanus strains for kombucha fermentation, and the significant yeast genotype effect in the profile differentiation in this process.</t>
  </si>
  <si>
    <t>Cubillos, Francisco/MIT-2389-2025; Saona, Luis A./AFY-6283-2022; Cubillos, Francisco/G-5195-2019</t>
  </si>
  <si>
    <t>Cubillos, Francisco/0000-0003-3022-469X; Saona, Luis Alberto/0000-0002-7739-8614</t>
  </si>
  <si>
    <t>0740-0020</t>
  </si>
  <si>
    <t>1095-9998</t>
  </si>
  <si>
    <t>10.1016/j.fm.2023.104357</t>
  </si>
  <si>
    <t>AUG 2023</t>
  </si>
  <si>
    <t>WOS:001059412000001</t>
  </si>
  <si>
    <t>Gallegos, CA; Henríquez, HR</t>
  </si>
  <si>
    <t>Gallegos, Claudio A.; Henriquez, Hernan R.</t>
  </si>
  <si>
    <t>On the dominated convergence theorem for the Kurzweil-Stieltjes integral</t>
  </si>
  <si>
    <t>This paper is concerned with a version of the Lebesgue dominated convergence theorem (DCT) which has been stated for the Kurzweil-Stieltjes integral of real functions. Our objective in this work is to analyze the extension of this result to include vector functions with values in Banach spaces. We establish that the mentioned convergence theorem for the Kurzweil-Stieltjes integral can be formulated in weaker versions for reflexive and separable Banach spaces, and spaces having the Schur property, nonetheless it is not verified in the general case.</t>
  </si>
  <si>
    <t>Gallegos, Claudio A./0000-0002-6410-8470</t>
  </si>
  <si>
    <t>10.1002/mana.202200109</t>
  </si>
  <si>
    <t>JUL 2023</t>
  </si>
  <si>
    <t>WOS:001026905100001</t>
  </si>
  <si>
    <t>Hernández-Vielma, C; Estay, D; Cruchaga, M</t>
  </si>
  <si>
    <t>Hernandez-Vielma, Cesar; Estay, Danilo; Cruchaga, Marcela</t>
  </si>
  <si>
    <t>Investigation on the Influence of the Bit Radius and Impact Velocity on Rock Fragmentation by Discrete Element Method</t>
  </si>
  <si>
    <t>The bit-rock interaction is a key point in the fracture process observed in excavation applications, which makes its analysis relevant. As the discrete element method (DEM) has been successfully applied to study rock breakage behavior, we apply it in the present study to analyze various aspects of the bit-rock interaction. This research focuses on numerically analyzing the bit-rock interaction, encompassing the force penetration relationship (FPR), mechanical energy transfer to the rock, and the efficiency of the mechanical energy transfer process. In order to perform this analysis, we simulate various bit radii and impact velocities. In this study, we establish a power-law function to describe the relationship between the energy transferred to the rock and the force, both as functions of bit penetration. The least-squares method is employed to accomplish this determination. Remarkably, it was observed that the latter aligns with the Hertzian contact law when lower impact velocities of the bit are employed. Moreover, a bit-radius-dependent optimal velocity for the mechanical energy transfer process was determined, signifying its significance in the design of excavation tools. The primary conclusion drawn from this research is the quantification of the influence of both the bit impact velocity and the bit radius on the force penetration relationship during the bit-rock interaction. This quantification was achieved by employing the coefficients derived from the regression model established for the FPR. These findings hold practical implications for the enhancement of excavation tools' efficiency during the design phase, thus contributing to advancements in the field of excavation engineering.</t>
  </si>
  <si>
    <t>/O-3231-2015; Vielma, César/ABD-8055-2020; Cruchaga, Marcela/M-7522-2014</t>
  </si>
  <si>
    <t>Hernandez Vielma, Cesar Alejandro/0000-0001-5156-6192; Cruchaga, Marcela/0000-0002-8708-2402</t>
  </si>
  <si>
    <t>JUN 3</t>
  </si>
  <si>
    <t>10.3390/su15119051</t>
  </si>
  <si>
    <t>WOS:001004133600001</t>
  </si>
  <si>
    <t>Henríquez, HR; Poblete, V; Pozo, JC</t>
  </si>
  <si>
    <t>Henriquez, Hernan R.; Poblete, Veronica; Pozo, Juan C.</t>
  </si>
  <si>
    <t>EXISTENCE OF SOLUTIONS FOR THE SEMILINEAR ABSTRACT CAUCHY PROBLEM OF FRACTIONAL ORDER</t>
  </si>
  <si>
    <t>FRACTIONAL CALCULUS AND APPLIED ANALYSIS</t>
  </si>
  <si>
    <t>In this paper we establish the existence of solutions for the nonlinear abstract Cauchy problem of order alpha is an element of (1, 2), where the fractional derivative is considered in the sense of Caputo. The autonomous and nonautonomous cases are studied. We assume the existence of an a-resolvent family for the homogeneous linear problem. By using this ex-resolvent family and appropriate conditions on the forcing function, we study the existence of classical solutions of the non-homogeneus semilinear problem. The nonautonomous problem is discussed as a perturbation of the autonomous case. We establish a variation of the constants formula for the nonautonomous and nonhomogeneous equation.</t>
  </si>
  <si>
    <t>Poblete, Veronica/D-8810-2015</t>
  </si>
  <si>
    <t>Pozo, Juan Carlos/0009-0003-1910-7895</t>
  </si>
  <si>
    <t>1311-0454</t>
  </si>
  <si>
    <t>1314-2224</t>
  </si>
  <si>
    <t>10.1515/fca-2021-0060</t>
  </si>
  <si>
    <t>WOS:000712796600005</t>
  </si>
  <si>
    <t>Campillay, MC; Carrasco, A; Rivero, ER; Lizarraga, AP; Araya, PD; Galleguillos, FA</t>
  </si>
  <si>
    <t>Campillay Campillay, Maggie; Calle Carrasco, Ana; Rivas Rivero, Edith; Pavez Lizarraga, Amaya; Dubo Araya, Pablo; Araya Galleguillos, Fabian</t>
  </si>
  <si>
    <t>Ageism as an invisible sociocultural phenomenon that affects and excludes the care of the elderly</t>
  </si>
  <si>
    <t>Ageism in old age has been related to the social imaginary, responsible for maintaining prejudices and stereotypes towards older people. Prevailing as a common phenomenon in westernized countries like Chile, replicating an image of old age full of deficiencies and bodily deterioration. This article reflects on the phenomenon of ageism that promotes behaviors that exclude older people from life in society and from formal care. For this, it will be contextualized on the imaginaries that predominate in Chilean society about old age, and that transversally affect the family, institutions and professions; secondly, some explanatory theories about ageism will be described to better understand the phenomenon and its generational impact, and finally, about the initial abandonment of the elderly during the Covid-19 pandemic as a result of State ageism. Making this issue visible favors informed social debate and the promotion of new public policies in favor of the inclusion of older people.</t>
  </si>
  <si>
    <t>Campillay Campillay, Maggie/ADC-6657-2022; Calle Carrasco, Ana/ABF-9325-2021</t>
  </si>
  <si>
    <t>Campillay Campillay, Maggie/0000-0002-4054-1595; Calle Carrasco, Ana/0000-0002-8099-1486</t>
  </si>
  <si>
    <t>0717-5906</t>
  </si>
  <si>
    <t>WOS:000661299600013</t>
  </si>
  <si>
    <t>Oyarce, E; Santander, P; Butter, B; Pizarro, GD; Sánchez, J</t>
  </si>
  <si>
    <t>Oyarce, Estefania; Santander, Paola; Butter, Bryan; Pizarro, Guadalupe Del C.; Sanchez, Julio</t>
  </si>
  <si>
    <t>Use of sodium alginate biopolymer as an extracting agent of methylene blue in the polymer-enhanced ultrafiltration technique</t>
  </si>
  <si>
    <t>In this study, the removal of methylene blue (MB) cationic dye from an aqueous solution was investigated using the polymer-enhanced ultrafiltration (PEUF) technique with sodium alginate (SA) as an extracting soluble polymer, in combination with an ultrafiltration membrane of regenerated cellulose with a 10 kDa molar mass cut-off. SA was characterized via Fourier-transform infrared spectroscopy and thermogravimetric analysis. For ultrafiltration studies, the washing method was used to evaluate various experimental variables, such as the pH, SA dose and initial MB concentration, and adsorption isotherms to identify the optimal adsorption conditions. Finally, the regeneration of the SA polymer was evaluated in five consecutive cycles of adsorption-desorption of MB. In the obtained characterization results, the structural composition of SA and the characteristic thermal stability of the polymer were verified. The PEUF results demonstrated that a retention capacity of 98% of the MB was realized at pH 8.0 using 0.025 g of SA at an initial optimal MB concentration of 50 mg L-1. It is possible to observe that the Freundlich model better explain the interaction between the dye and the polymer surface. According to the results is demonstrated the regeneration capacity of the polymer and its subsequent reuse.</t>
  </si>
  <si>
    <t>PIZARRO, GUADALUPE/V-3353-2017; Santander, Paola/ITU-5257-2023; Sanchez, Julio/AEO-4360-2022</t>
  </si>
  <si>
    <t>Santander, Paola/0000-0002-2084-6658</t>
  </si>
  <si>
    <t>SEP 10</t>
  </si>
  <si>
    <t>e50844</t>
  </si>
  <si>
    <t>10.1002/app.50844</t>
  </si>
  <si>
    <t>APR 2021</t>
  </si>
  <si>
    <t>WOS:000640598000001</t>
  </si>
  <si>
    <t>Alvarez, R; Mancilla, P</t>
  </si>
  <si>
    <t>Alvarez, Rodrigo; Mancilla, Pamela</t>
  </si>
  <si>
    <t>The Nuclear Proliferation of North Korea: between forward and backward, United States; and China?</t>
  </si>
  <si>
    <t>This paper analyzes and reflects on the current tension regarding the proliferation and denuclearization in North Korea. After an incident during 2017 and a later detente in 2018, it has become necessary to, once again, analyze the current standing of North Korea's nuclear program. The very existence of the program strains the global nuclear architecture and contributes to the current power struggle between the United States and China. This work was developed based on primary and secondary sources and attempts to tackle issues such as the capacity of states for nuclear proliferation, the validity of North's Korea nuclear program and the present and past tension between the United States and North Korea, and China's role is taken into account with regards to the containment, proliferation and/or elimination of North's Korea nuclear program. The United States and North Korea, and China's role is taken into account regarding the containment, proliferation and/or elimination of North's Korea nuclear program. is taken into account with regards to the containment, proliferation and/or elimination of North's Korea nuclear program. United States and North Korea, and China's role is taken into account with regards to the containment, proliferation and/or elimination of North's Korea nuclear program.</t>
  </si>
  <si>
    <t>Mancilla Azargado, Pamela/0000-0003-0844-5285</t>
  </si>
  <si>
    <t>WOS:000740694200004</t>
  </si>
  <si>
    <t>Barrueto, A; Díaz, M; Chávez, H</t>
  </si>
  <si>
    <t>Barrueto, Aldo; Diaz, Matias; Chavez, Hector</t>
  </si>
  <si>
    <t>An Overview of Challenges related to Power-Electronics Based Power Systems</t>
  </si>
  <si>
    <t>The Role of power electronics in the future of power system is becoming critical due to the growth in renewable energy generation and the evolution of technologies such as flexible alternating or direct current transmission systems. Consequently, electrical power systems are facing new challenges related to the reduction of inertia and increment of the requirements in terms of control and flexibility. In this context, this paper aims to facilitate future research in this subject by providing a compact overview of the main challenges of power electronic-based power systems, inertia management, stability and control issues.</t>
  </si>
  <si>
    <t>Diaz, Matias/R-7570-2018</t>
  </si>
  <si>
    <t>Diaz, Matias/0000-0003-4489-9532</t>
  </si>
  <si>
    <t>10.1109/ICAACCA51523.2021.9465317</t>
  </si>
  <si>
    <t>WOS:000855764500047</t>
  </si>
  <si>
    <t>Lizama, C; Murillo, M</t>
  </si>
  <si>
    <t>Lizama, Carlos; Murillo, Marina</t>
  </si>
  <si>
    <t>Well-posedness for a fourth-order equation of Moore-Gibson-Thompson type</t>
  </si>
  <si>
    <t>ELECTRONIC JOURNAL OF QUALITATIVE THEORY OF DIFFERENTIAL EQUATIONS</t>
  </si>
  <si>
    <t>In this paper, we completely characterize, only in terms of the data, the well-posedness of a fourth order abstract evolution equation arising from the Moore-Gibson-Thomson equation with memory. This characterization is obtained in the scales of vector-valued Lebesgue, Besov and Triebel-Lizorkin function spaces. Our characterization is flexible enough to admit as examples the Laplacian and the fractional Laplacian operators, among others. We also provide a practical and general criteria that allows L-p-L-q-well-posedness.</t>
  </si>
  <si>
    <t>1417-3875</t>
  </si>
  <si>
    <t>10.14232/ejqtde.2021.1.81</t>
  </si>
  <si>
    <t>WOS:000707618800001</t>
  </si>
  <si>
    <t>Bhalotra, S; Clarke, D</t>
  </si>
  <si>
    <t>Bhalotra, Sonia; Clarke, Damian</t>
  </si>
  <si>
    <t>THE TWIN INSTRUMENT: FERTILITY AND HUMAN CAPITAL INVESTMENT</t>
  </si>
  <si>
    <t>JOURNAL OF THE EUROPEAN ECONOMIC ASSOCIATION</t>
  </si>
  <si>
    <t>Twin births are often used as an instrument to address selection of women into fertility. However, recent work shows selection of women into twin birth such that, while OLS estimates tend to be downward biased, twin-IV estimates will tend to be upward biased. This is pertinent given the emerging consensus that fertility has limited impacts on women's labour supply, or on investments in children. Using data for developing countries and the United States to estimate the trade-off between fertility and children's human capital, we demonstrate the nature and size of the bias in the twin-IV estimator and estimate bounds on the true parameter.</t>
  </si>
  <si>
    <t>Clarke, Damian/Y-7318-2019</t>
  </si>
  <si>
    <t>Clarke, Damian/0009-0000-9113-2188</t>
  </si>
  <si>
    <t>1542-4766</t>
  </si>
  <si>
    <t>1542-4774</t>
  </si>
  <si>
    <t>10.1093/jeea/jvz058</t>
  </si>
  <si>
    <t>WOS:000606029300010</t>
  </si>
  <si>
    <t>Schwarze, JE; Crosby, J; Mackenna, A</t>
  </si>
  <si>
    <t>Enrique Schwarze, Juan; Crosby, Javier; Mackenna, Antonio</t>
  </si>
  <si>
    <t>Atosiban improves the outcome of embryo transfer. A systematic review and meta-analysis of randomized and non-randomized trials</t>
  </si>
  <si>
    <t>JORNAL BRASILEIRO DE REPRODUCAO ASSISTIDA</t>
  </si>
  <si>
    <t>Objective: To estimate the effectiveness of Atosiban in improving the outcome after embryo transfer. The effectiveness of embryo transfer per cycle is still relatively low. One possible explanation might be uterine contractility that expels the transferred embryos. Atosiban improved the outcome of embryo transfer by reducing uterine contractility. Methods: Data sources: A systematic review of papers in English using MEDLINE and EMBASE (1990-2019). Search terms included Atosiban, embryo transfer. Study selection: We included studies that compared the outcomes of embryo transfer with Atosiban and a control group. Data Extracting: Independent extraction of papers by two authors, using predefined data fields, including study quality indicators. Results: All pooled analyses were based on a fixed-effect model. Four randomised controlled trials, including 1,025 women, and two non-randomised trials, including 686 patients, met our inclusion criteria. In both studies, the heterogeneity was moderate. Atosiban increased clinical pregnancy rates regardless of the indication for ART or type of embryo transferred. Pooled OR in randomized controlled trials reached 1.47 (1.18-1.82), and in non-randomised controlled trials it reached 1.50 (95% CI 1.102.05) Conclusion: Atosiban appears to increase the clinical pregnancy rates in women undergoing embryo transfer.</t>
  </si>
  <si>
    <t>1517-5693</t>
  </si>
  <si>
    <t>1518-0557</t>
  </si>
  <si>
    <t>10.5935/1518-0557.20200016</t>
  </si>
  <si>
    <t>WOS:000605279700008</t>
  </si>
  <si>
    <t>Martinez, J; Maldonado, M; Gutierrez, L</t>
  </si>
  <si>
    <t>Martinez, Jose; Maldonado, Miguel; Gutierrez, Leopoldo</t>
  </si>
  <si>
    <t>A Method to Predict Water Recovery Rate in the Collection and Froth Zone of Flotation Systems</t>
  </si>
  <si>
    <t>MINERALS</t>
  </si>
  <si>
    <t>This paper describes a method to predict water recovery rate into and through the foam in a bubble column operating under different gas rates, froth depths, and frother types and concentrations. Three frothers were considered: Metil Isobutil Carbinol (MIBC), a proprietary blend of alcohols, aldehydes, and esters commercialized under the name PINNACLE(R)9891, and a PGE-based Dow Froth 1012 (DF1012). The water rate entering into the froth (foam) layer from the bubbly (collection) zone was estimated as the water rate overflowing the column when operating at a thin stable foam layer, i.e., 0.5 cm. It was observed that the rate at which water entered into the froth phase could be modelled as a unique linear function of the gas holdup below the froth, regardless of the frother chemistry. This is a fundamental result not previously found in the literature that also facilitates the calculation of the froth zone water recovery for deeper froths. The water recovery in the froth was found to be an inverse logarithmic function of the average liquid residence time in the froth. Although the same trend was observed for the three frothers tested, they did not converge into a single function, which suggests that frother chemistry plays a role in determining froth structure and then needs to be incorporated when modeling water transport in the froth. Finally, the water overflow rate calculated as the product of the water rate into the froth and froth water recovery predicted the actual measured values fairly well. The water transport model here proposed provides a simple representation of the interactions between collection and froth zone and its relation to easily measure operating variables.</t>
  </si>
  <si>
    <t>Gutierrez, Leopoldo/K-4536-2017</t>
  </si>
  <si>
    <t>Gutierrez-Briones, Leopoldo/0000-0002-0065-2178</t>
  </si>
  <si>
    <t>2075-163X</t>
  </si>
  <si>
    <t>10.3390/min10070630</t>
  </si>
  <si>
    <t>WOS:000557058800001</t>
  </si>
  <si>
    <t>Lizama, C; Trujillo, M</t>
  </si>
  <si>
    <t>Lizama, C.; Trujillo, M.</t>
  </si>
  <si>
    <t>The time fractional approach for the modeling of thermal therapies: Temperature analysis in laser irradiation</t>
  </si>
  <si>
    <t>In this study we assessed the use of the fractional derivative formulation of the heat transmission equation (FDHTE) as an alternative to the classical or parabolic heat transfer equation (PHTE) in the mathematical modeling of some thermal therapy processes. We obtained the FDHTE analytical solutions in two cases: a general case of heat transfer in a finite bar with different and constant temperature in its extremes (without heat source), and the heating by a laser source of a semi-infinite medium which includes a heat source and it was considered in thermal therapies to destroy or alter biological tissue. Both solutions were obtained analytically and compared with the PHTE results. We also compared the FDHTE solution with the results of the hyperbolic heat transfer equation (HHTE), which is another alternative to the PHTE, but is only used for problems in which intense heat is applied to materials for very short times. The results show that the FDHTE can be used as an alternative to the PHTE in thermal therapy processes in which the PHTE theoretical models underestimate or overestimate the temperatures achieved in tissue. Unlike the HHTE, the FDHTE is not restricted to special problems only. We have thus laid the groundwork for the analytical resolution of the problems considered by the FDHTE. (C) 2020 Elsevier Ltd. All rights reserved.</t>
  </si>
  <si>
    <t>Trujillo Guillen, Macarena/0000-0003-4145-2188</t>
  </si>
  <si>
    <t>10.1016/j.ijheatmasstransfer.2020.119677</t>
  </si>
  <si>
    <t>WOS:000537017500034</t>
  </si>
  <si>
    <t>Salazar, MER; Pérez, IAA; Ulloa, MAO; Canales, ADT</t>
  </si>
  <si>
    <t>Rapiman Salazar, Maria Eugenia; Acevedo Perez, Irene Alicia; Osorio Ulloa, Mauricio Adrian; Torres Canales, Adrian Dario</t>
  </si>
  <si>
    <t>Paul Ricoeur and with a good and other life other: a purpose of teamwork in health</t>
  </si>
  <si>
    <t>This article essential aspects of teamwork in the field of health, are reviewed from the ethical perspective of Paul Ricoeur. Ethics conceptualized by the author as tending to a good life with others and for others in just institutions, is an alternative for reflection, analysis and discussion the ethical foundation of teamwork in health, and urges its members to build and / or redesign the bases for the articulation and implementation of this intentionality of good life with others and others in their daily lives. Teamwork is an instance in which the human being in intersubjectivity with others, develops his way of being ethical and moral constructs his experience. To the extent that each member develop and exercise permanent interpretation of himself and his actions leading the esteem and their self-esteem, may help establish better living spaces and working with others.</t>
  </si>
  <si>
    <t>WOS:000543246400005</t>
  </si>
  <si>
    <t>Monsalves, MT; Ollivet-Besson, GP; Amenabar, MJ; Blamey, JM</t>
  </si>
  <si>
    <t>Monsalves, Maria T.; Ollivet-Besson, Gabriela P.; Amenabar, Maximiliano J.; Blamey, Jenny M.</t>
  </si>
  <si>
    <t>Isolation of a Psychrotolerant and UV-C-Resistant Bacterium from Elephant Island, Antarctica with a Highly Thermoactive and Thermostable Catalase</t>
  </si>
  <si>
    <t>Microorganisms present in Antarctica have to deal not only with cold temperatures but also with other environmental conditions, such as high UV radiation, that trigger the generation of reactive oxygen species. Therefore, Antarctic microorganisms must have an important antioxidant defense system to prevent oxidative damage. One of these defenses are antioxidant enzymes, such as catalase, which is involved in the detoxification of hydrogen peroxide produced under oxidative conditions. Here, we reported the isolation and partial characterization of an Antarctic bacterium belonging to the Serratia genus that was resistant to UV-C radiation and well-adapted to cold temperatures. This microorganism, denominated strain I1P, was efficient at decreasing reactive oxygen species levels produced after UV-C irradiation. Genomic and activity assays suggested that the enzymatic antioxidant defense mechanisms of strain I1P, especially its catalase enzyme, may confer UV resistance. This catalase was active in a wide range of temperatures (20-70 degrees C), showing optimal activity at 50 degrees C (at pH 7.0), a remarkable finding considering its psychrotolerant origin. In addition, this enzyme was thermostable, retaining around 60% of its activity after 6 h of incubation at 50 degrees C. The antioxidant defense systems of strain I1P, including its surprisingly thermoactive and thermostable catalase enzyme, make this microorganism a good source of biocompounds with potential biotechnological applications.</t>
  </si>
  <si>
    <t>10.3390/microorganisms8010095</t>
  </si>
  <si>
    <t>WOS:000514650700057</t>
  </si>
  <si>
    <t>Loubat, M; Astudillo-Zúñiga, A</t>
  </si>
  <si>
    <t>Loubat, Margarita; Astudillo-Zuniga, Albert</t>
  </si>
  <si>
    <t>Systematic Review (2010-2017) of evaluation instruments and rehabilitation programs of social cognition, used with people with schizophrenia</t>
  </si>
  <si>
    <t>TERAPIA PSICOLOGICA</t>
  </si>
  <si>
    <t>Research is done regarding evaluation instruments and training programs of social cognition in benefit of the rehabilitation processes of patients with schizophrenia.The PRiSM methodology is used, reviewing the Scopus, ISI and ApaPsycNet journals databases, between 2010 and 2017, considering as inclusion criteria pieces of research where instruments with evaluative purposes and rehabilitation programs of the different sub-domains of social cognition for people with schizophrenia are used. 290 articles are found, and 195 which are thoroughly examined, are selected. A summary of 37 instruments is established, and 10 rehabilitation programs of social cognition are described. It is concluded that it is necessary to explicitly state in the literature the properties, reliability and validity of the tests used, so as to measure what is intended to be measured. Also, it is important to describe the programs used in benefit of the social cognition rehabilitation of the patient with schizophrenia.</t>
  </si>
  <si>
    <t>loubat, Margarita/0000-0003-0454-3857</t>
  </si>
  <si>
    <t>0718-4808</t>
  </si>
  <si>
    <t>WOS:000515669200009</t>
  </si>
  <si>
    <t>Suárez, S; Guerrero, C; Vera, C; Illanes, A</t>
  </si>
  <si>
    <t>Suarez, Sebastian; Guerrero, Cecilia; Vera, Carlos; Illanes, Andres</t>
  </si>
  <si>
    <t>Effect of particle size and enzyme load on the simultaneous reactions of lactose hydrolysis and transgalactosylation with glyoxyl-agarose immobilized β-galactosidase from Aspergillus oryzae</t>
  </si>
  <si>
    <t>The simultaneous reactions of lactose hydrolysis and transgalactosylation in the production of galacto-oligosaccharides (GOS) were evaluated with immobilized Aspergillus oryzae beta-galactosidase in glyoxyl-agarose of different particle sizes (fine and macro) and enzyme loads (1, 10 and 30 mg(proiein)/g(support)) to produce biocatalysts subjected to different magnitudes of internal diffusional restrictions. The ratio of initial reaction rates depended on the initial concentration of lactose: at values higher than 800 mM, the ratio of hydrolysis to total reaction rate (r(hydr)/r(total)), which reflects the hydrolytic potential, had values of 16 and 30%, and the ratio of transgalactosylation to total reaction rates (r(transgal)/r(total)), which reflects the transgalactosylation potential, had values of 84 and 70% with the biocatalysts of smaller size and enzyme load, and bigger size and enzyme load, respectively. Results obtained highlight the fact that the biocatalyst should be optimized with regard to its intended use; beta-galactosidase biocatalysts that have been optimized for lactose hydrolysis can be quite inadequate for performing GOS synthesis.</t>
  </si>
  <si>
    <t>Suárez, Sebastián/GWC-8885-2022; vera, Carlos/G-5240-2019</t>
  </si>
  <si>
    <t>10.1016/j.procbio.2018.08.016</t>
  </si>
  <si>
    <t>WOS:000447475300008</t>
  </si>
  <si>
    <t>Retamal-Morales, G; Mehnert, M; Schwabe, R; Tischler, D; Zapata, C; Chávez, R; Schlömann, M; Levicán, G</t>
  </si>
  <si>
    <t>Retamal-Morales, Gerardo; Mehnert, Marika; Schwabe, Ringo; Tischler, Dirk; Zapata, Claudia; Chavez, Renato; Schloemann, Michael; Levican, Gloria</t>
  </si>
  <si>
    <t>Detection of arsenic-binding siderophores in arsenic-tolerating Actinobacteria by a modified CAS assay</t>
  </si>
  <si>
    <t>The metalloid arsenic is highly toxic to all forms of life, and in many countries decontamination of water and soil is still required. Some bacteria have mechanisms to detoxify arsenic and can live in its presence. Actinobacteria are well known for their ability to produce a myriad of biologically-active compounds. In the present study, we isolated arsenic-tolerant Actinobacteria from contaminated water in Saxony, Germany, and determined their ability to produce siderophores able to bind arsenic. The binding capacity of different siderophore-like compounds was determined by a modified chrome azurol S (As-(m)CAS) assay with As(III) at high pH and using CAS decolorization as a readout. Arsenic-tolerant isolates from three actinobacterial genera were identified by 16 S rRNA gene sequence analysis: Rhodococcus, Arthrobacter and Kocuria. The isolated Actinobacteria showed a high As(III)-binding activity by siderophore-like compounds, resulting in 82-100% CAS decolorization, as compared to the results with EDTA. The interaction between As(III) and siderophore-like compounds was also detected at neutral pH. In summary, our results suggest that the isolated arsenic-tolerant Actinobacteria produce siderophores that bind arsenic, and open new perspectives on potential candidates for decontaminating environments with arsenic and for other biotechnological applications.</t>
  </si>
  <si>
    <t>Zapata Del Rio, Claudia/I-2156-2012; Levican, Gloria/R-5191-2019; Tischler, Dirk/H-9431-2013</t>
  </si>
  <si>
    <t>Hofmann, Marika/0000-0002-9701-2387; Tischler, Dirk/0000-0002-6288-2403; Levican, Gloria/0000-0002-1275-7399; Chavez, Renato/0000-0003-1754-3610</t>
  </si>
  <si>
    <t>10.1016/j.ecoenv.2018.03.087</t>
  </si>
  <si>
    <t>WOS:000431835400021</t>
  </si>
  <si>
    <t>McSherry, JP</t>
  </si>
  <si>
    <t>Patrice McSherry, J.</t>
  </si>
  <si>
    <t>Psychedelic Chile: Youth, Counterculture, and Politics on the Road to Socialism and Dictatorship</t>
  </si>
  <si>
    <t>10.1017/tam.2018.23</t>
  </si>
  <si>
    <t>WOS:000439041200024</t>
  </si>
  <si>
    <t>Letelier, MF; Barrera, C; Siginer, DA; González, A</t>
  </si>
  <si>
    <t>Letelier, Mario F.; Barrera, Cristian; Siginer, Dennis A.; Gonzalez, Amaru</t>
  </si>
  <si>
    <t>Elastoviscoplastic fluid flow in non-circular tubes: Transversal field and interplay of elasticity and plasticity</t>
  </si>
  <si>
    <t>An analytical study of elastoviscoplastic fluid flow in tubes of non-circular cross section is presented. The constitutive structure of the fluid is described by a linear frame invariant combination of the Phan-Thien Tanner model of viscoelastic fluids and the Bingham model of plastic fluids. Non-circular tube cross sections are modeled by the shape factor method a one-to-one mapping of the circular base contour into a wide spectrum family of arbitrary tube contours. Field variables are expanded into asymptotic series in terms of the elasticity measure, the Weissenberg number We, coupled with an asymptotic expansion in terms of the geometrical mapping parameter epsilon leading to a set of hierarchical momentum balance equations which are solved successively up to and including the third order in We when the secondary field appears for the first time. The computational algorithm developed is applied to the study of the non-rectilinear flow in tubes with triangular and square cross sections. We find that the presence of the yield stress dampens the intensity of the purely viscoelastic vortices, the higher the yield stress the lower the intensity of the vortices in the cross-section, and the further away the vortices are from the center of the cross section as compared to the purely viscoelastic vortices. The results also evidence that viscoelasticity increases the axial flow for given viscoplastic conditions and pressure drop, and consequently increases the rate of flow, a phenomenon that may find applications in optimizing material transportation. (C) 2017 Elsevier Inc. All rights reserved.</t>
  </si>
  <si>
    <t>Gonzalez, Amaru/0000-0003-4403-2154; Barrera Hinojosa, Cristian/0000-0003-4976-3028</t>
  </si>
  <si>
    <t>10.1016/j.apm.2017.10.008</t>
  </si>
  <si>
    <t>WOS:000423005000046</t>
  </si>
  <si>
    <t>Andersson, G; Carmen, R; Labra, I; Richards, H</t>
  </si>
  <si>
    <t>Andersson, Gavin; Carmen, Raff; Labra, Ivan; Richards, Howard</t>
  </si>
  <si>
    <t>Organisation Workshop. Beyond the Workplace: Large Groups, Activity and the Shared Object</t>
  </si>
  <si>
    <t>MIND CULTURE AND ACTIVITY</t>
  </si>
  <si>
    <t>Organisation Workshop stands for a body of practice derived from the pioneering work that Clodomir de Morais did with the Brasilian Peasant Leagues starting in the early 1960s and shown to be relevant today in situations of high unemployment. Two essential ingredients are a large group and a common resource pool. The Organisation Workshop method is illuminated by Leontiev's objectivised activity concept, as well as important insights from 3 generations of activity theory (CHAT). Moraisean thought and practice are shown to open up new avenues to community development and to break new ground in the social psychology of the large group.</t>
  </si>
  <si>
    <t>1074-9039</t>
  </si>
  <si>
    <t>1532-7884</t>
  </si>
  <si>
    <t>10.1080/10749039.2017.1386218</t>
  </si>
  <si>
    <t>WOS:000424076800008</t>
  </si>
  <si>
    <t>Donoso, CC; Frade, M</t>
  </si>
  <si>
    <t>Calquin Donoso, Claudia; Frade, Magana</t>
  </si>
  <si>
    <t>Childhood and Cinema: notes on a relationship between visual machinery and identity representations</t>
  </si>
  <si>
    <t>HISTORIA Y COMUNICACION SOCIAL</t>
  </si>
  <si>
    <t>The article reflects about the role of cinema machine in the construction of childhood identity. Besides discussing some theoretical issues about visual language, it offers two inquiry lines through wich the authors show the performative character of cinematographic image in childhood production: the use of cinematographic cameras in psychological investigation of childhood and analysis of some tropes about childhood from contemporary Chilean cinema</t>
  </si>
  <si>
    <t>1137-0734</t>
  </si>
  <si>
    <t>1988-3056</t>
  </si>
  <si>
    <t>10.5209/HICS.62273</t>
  </si>
  <si>
    <t>WOS:000451641600017</t>
  </si>
  <si>
    <t>López, CE; Lastra, F</t>
  </si>
  <si>
    <t>Lopez, C. E.; Lastra, F.</t>
  </si>
  <si>
    <t>Stable and metastable freezing of classical correlations in qutrits</t>
  </si>
  <si>
    <t>We study the dynamics of quantum and classical correlations in a two-qutrit system coupled to independent reservoirs. In particular, we address the differences in the dynamics of Markovian and non-Markovian regimes and show that for specific initial states, classical correlations exhibit abrupt changes along the dynamics. A particular sudden change occurs when the classical correlations freeze to a certain value at a given time, revealing the apparition of a pointer-state basis. After this given time, the decoherence only affects quantum correlations. Here we identify two regimes in the decoherence dynamics: a mixed regime when both classical and quantum correlations decay and a quantum regime when only quantum correlations decay. We show that the freezing of classical correlations can be stable or metastable depending on the system-reservoir parameters. In the long-time limit, we find analytical expressions for the pointer-state basis the system settles in and consequently for classical and quantum correlations.</t>
  </si>
  <si>
    <t>López, Carlos/B-8456-2009</t>
  </si>
  <si>
    <t>DEC 11</t>
  </si>
  <si>
    <t>10.1103/PhysRevA.96.062112</t>
  </si>
  <si>
    <t>WOS:000417634800002</t>
  </si>
  <si>
    <t>Ortega, R; Orden, JCG; Cruchaga, M; García, C</t>
  </si>
  <si>
    <t>Ortega, Roberto; Garcia Orden, Juan Carlos; Cruchaga, Marcela; Garcia, Claudio</t>
  </si>
  <si>
    <t>Energy-consistent simulation of frictional contact in rigid multibody systems using implicit surfaces and penalty method</t>
  </si>
  <si>
    <t>MULTIBODY SYSTEM DYNAMICS</t>
  </si>
  <si>
    <t>We present a conservative formulation for the frictional contact forces developed in the framework of an energy-consistent method. Bilateral constrains, that is, joints and rigid links, are imposed using the augmented Lagrange technique, provided that the constraints are exactly satisfied. We propose a formulation based on a penalty method to deal with the contact problem including damping and friction. The numerical scheme guarantees that the energy is consistently preserved or unconditionally dissipated. The treatment of the contact constraint also constitutes a novel aspect of this investigation. It is based on the description of implicit surfaces given an efficient strategy for detecting and evaluating the contact. The numerical tests exhibit a good energy preservation performance. Moreover, we use the proposed formulation to analyze a mechanism including a revolute joint with frictional clearance.</t>
  </si>
  <si>
    <t>García-Herrera, Claudio/ABE-8991-2020; Ortega, Roberto/IZE-4038-2023; Ortega, Roberto/H-2046-2015; Cruchaga, Marcela/M-7522-2014; GARCIA ORDEN, JUAN CARLOS/F-2881-2017</t>
  </si>
  <si>
    <t>Ortega, Roberto/0000-0002-2218-0845; Cruchaga, Marcela/0000-0002-8708-2402; GARCIA ORDEN, JUAN CARLOS/0000-0002-9063-6584; Garcia-Herrera, Claudio/0000-0002-1283-8551</t>
  </si>
  <si>
    <t>1384-5640</t>
  </si>
  <si>
    <t>1573-272X</t>
  </si>
  <si>
    <t>10.1007/s11044-017-9565-8</t>
  </si>
  <si>
    <t>WOS:000412691100004</t>
  </si>
  <si>
    <t>Conejero, JA; Lizama, C; Rodenas, F</t>
  </si>
  <si>
    <t>Alberto Conejero, J.; Lizama, Carlos; Rodenas, Francisco</t>
  </si>
  <si>
    <t>Dynamics of the solutions of the water hammer equations</t>
  </si>
  <si>
    <t>TOPOLOGY AND ITS APPLICATIONS</t>
  </si>
  <si>
    <t>9th Iberoamerican Conference on Topology and its Applications (CITA)</t>
  </si>
  <si>
    <t>JUN 24-27, 2014</t>
  </si>
  <si>
    <t>Univ Almeria, Almeria, SPAIN</t>
  </si>
  <si>
    <t>Univ Almeria,Fundac Mediterranea,Red Espanola Topologia,Real Soc Matematica Espanola,Diputac Almeria,Junta Andalucia</t>
  </si>
  <si>
    <t>Univ Almeria</t>
  </si>
  <si>
    <t>A water hammer is a pressure wave that occurs, accidentally or intentionally, in a filled liquid pipeline when a tap is suddenly closed, or a pump starts or stops, or when a valve closes or opens. A water hammer wave propagates through pipes reflecting on features and boundaries. This phenomenon is governed by a pair of coupled quasi-linear partial differential equations of first order, that are usually solved using the method of characteristics. In this note we provide a representation of the solution using an operator theoretical approach based on the theory of C-0-semigroups and cosine operator functions, when considering this phenomenon on a compressible fluid along an infinite pipe. We provide an integro-differential equation that represents this phenomenon and it only involves the discharge. In addition, the representation of the solution in terms of a specific C-0-semigroup lets us show that hypercyclicity and the topologically mixing property can occur when considering this phenomenon on certain weighted spaces of integrable and continuous functions on the real line. (C) 2016 Elsevier B.V. All rights reserved.</t>
  </si>
  <si>
    <t>Conejero, J. Alberto/A-8589-2008; Rodenas, Francisco/L-7928-2014; Lizama, Carlos/E-5909-2011</t>
  </si>
  <si>
    <t>Rodenas, Francisco/0000-0003-4564-5171; Conejero, J. Alberto/0000-0003-3681-7533; Lizama, Carlos/0000-0002-9807-1100</t>
  </si>
  <si>
    <t>0166-8641</t>
  </si>
  <si>
    <t>1879-3207</t>
  </si>
  <si>
    <t>10.1016/j.topol.2015.12.076</t>
  </si>
  <si>
    <t>WOS:000374797700008</t>
  </si>
  <si>
    <t>Campos, E; Silva, L; Tecpan, S; Zavala, G</t>
  </si>
  <si>
    <t>Jones, DL; Ding, L; Traxler, A</t>
  </si>
  <si>
    <t>Campos, Esmeralda; Silva, Leonor; Tecpan, Silvia; Zavala, Genaro</t>
  </si>
  <si>
    <t>Argumentation during active learning strategies in a SCALE-UP environment</t>
  </si>
  <si>
    <t>2016 PHYSICS EDUCATION RESEARCH CONFERENCE</t>
  </si>
  <si>
    <t>Physics Education Research Conference</t>
  </si>
  <si>
    <t>Physics Education Research Conference (PERC)</t>
  </si>
  <si>
    <t>JUL 20-21, 2016</t>
  </si>
  <si>
    <t>Sacramento, CA</t>
  </si>
  <si>
    <t>Amer Assoc Phys Teachers</t>
  </si>
  <si>
    <t>In this study, we explore students' discussions during active learning strategies of Peer Instruction and Tutorial-like activities in a SCALE-UP environment. Discussions were recorded in one of the tables of a student-centered learning room in Mexico, and analyzed through a qualitative approach using Toulmin's argumentation pattern as a framework of reference. We found that the circular table functions as a learning community in the SCALE-UP environment, however, the dynamics of argumentation of the table are different while implementing each learning strategy. During Tutorial-like activities, students center their discussions on each small team, while during peer instruction students center their discussion around the whole table. These findings provide an insight into the kind of competencies that we mean to develop in our students by engaging them in active learning strategies in student centered learning environments.</t>
  </si>
  <si>
    <t>Tecpan-Flores, Silvia/I-9567-2018; CAMPOS, Esmeralda/B-4172-2017; ZAVALA, Genaro/P-7190-2016</t>
  </si>
  <si>
    <t>CAMPOS, Esmeralda/0000-0002-3097-3933; ZAVALA, Genaro/0000-0001-5880-1124</t>
  </si>
  <si>
    <t>2377-2379</t>
  </si>
  <si>
    <t>978-1-931024-30-3</t>
  </si>
  <si>
    <t>10.1119/perc.2016.pr.011</t>
  </si>
  <si>
    <t>WOS:000393035800014</t>
  </si>
  <si>
    <t>Oddershede, A; Donoso, J; Farias, F; Jarufe, P</t>
  </si>
  <si>
    <t>Oddershede, Astrid; Donoso, Jorge; Farias, Francia; Jarufe, Patricia</t>
  </si>
  <si>
    <t>ICT Support assessment in primary school teaching and learning through AHP</t>
  </si>
  <si>
    <t>The aim of this study is to analyse the importance of Information and Communication Technology (ICT) support at primary school. Applying the analytic hierarchy process (AHP) a decision model is proposed to reveal the effect of ICT system support in teaching and learning process performance at primary school. A case study is pursued involving private and state schools at a zone in the Metropolitan Region in Chile. First-hand data is gathered comprising different agents involved with education, primary schools and with academic experience. The outcome indicate the key aspects showing those schools who assigned priority to the ICT support had better results in the teaching and learning process. (C) 2015 Published by Elsevier B.V.</t>
  </si>
  <si>
    <t>10.1016/j.procs.2015.07.023</t>
  </si>
  <si>
    <t>WOS:000360101400016</t>
  </si>
  <si>
    <t>Chacon, M; Bello, F; Jara, J; Panerai, R</t>
  </si>
  <si>
    <t>Chacon, Max; Bello, Felipe; Jara, Jose; Panerai, Ronney</t>
  </si>
  <si>
    <t>Comparison of autoregulatory indexes on spontaneous variations with linear support vector machines</t>
  </si>
  <si>
    <t>FASEB JOURNAL</t>
  </si>
  <si>
    <t>Jara, JL/J-7254-2015</t>
  </si>
  <si>
    <t>Jara, JL/0000-0002-3348-7017</t>
  </si>
  <si>
    <t>0892-6638</t>
  </si>
  <si>
    <t>1530-6860</t>
  </si>
  <si>
    <t>WOS:000346651002384</t>
  </si>
  <si>
    <t>Mellado, C; Humanes, ML</t>
  </si>
  <si>
    <t>Mellado, Claudia; Humanes, Maria Luisa</t>
  </si>
  <si>
    <t>Modeling perceived professional autonomy in Chilean journalism</t>
  </si>
  <si>
    <t>JOURNALISM</t>
  </si>
  <si>
    <t>Based on a survey of 570 Chilean new media journalists, this article examines how they perceive autonomy in their everyday work, the importance they give to autonomy as a professional value, as well as the factors that influence their perceived editorial freedom. The results show that Chilean journalists acknowledge a high level of freedom in making news decisions, but that their conception of autonomy follows two different paths: while the importance given to autonomy is related to the profession's ideal of public service, their satisfaction with editorial freedom fits into a pragmatic context, associated with their professional and job development. The results also reveal that the factors that better predict professional autonomy are having an editorial position within the media, the assignment of a news beat, perceived political and organizational influences, and the media's political orientation and geographical location. Economic factors, meanwhile, do not have any direct effect on the journalists' perceptions.</t>
  </si>
  <si>
    <t>Humanes, María/C-2627-2013</t>
  </si>
  <si>
    <t>Mellado, Claudia/0000-0002-9281-1526</t>
  </si>
  <si>
    <t>1464-8849</t>
  </si>
  <si>
    <t>1741-3001</t>
  </si>
  <si>
    <t>10.1177/1464884912442294</t>
  </si>
  <si>
    <t>WOS:000325272900002</t>
  </si>
  <si>
    <t>Soto-Arriaza, MA; Olivares-Ortega, C; Lissi, EA</t>
  </si>
  <si>
    <t>Soto-Arriaza, M. A.; Olivares-Ortega, C.; Lissi, E. A.</t>
  </si>
  <si>
    <t>Effect of the addition of alkanols of different topology to dipalmitoyl-phosphatidylcholine vesicles in the presence of gramicidin</t>
  </si>
  <si>
    <t>In the present work, we analyze the effect of incorporation of the nonanol family (e.g., 1-Nonanol (1-N), 5-Nonanol (5-N), and 2,6-Dimethyl-4-Heptanol (2,6-DH)) into DPPC LUVs in the presence of different gramicidin concentrations. The principal aim of this work is to study the effect of alkanols solubilization on the physicochemical properties of lipid bilayers in the presence of peptide trans-membrane channels, that is, the effects of nonanol family in the interface of lipid-peptide region, considering that the study provides the analysis of a ternary system by direct excitation as well as by Fluorescence Resonance Energy Transfer. Fluorescence measurements were carried out at 20 degrees C after direct excitation of the extrinsic probe or by Fluorescence Resonance Energy Transfer (FRET) from the tryptophan group of gramicidin. Alkanol incorporation decreases with increasing gramicidin content and branching of the additives. 1-N generates most important changes in the inner part of the bilayer, where it produces an increase in bulk acyl chain mobility. Similarly, 1-N significantly modifies the properties of the hydrophilic-hydrophobic interface region sensed by Laurdan, increasing the polarity of the probe microenvironment and/or increasing the relaxation time of interfacial water molecules. On the other hand, 1-N produces a decrease in PDA fluorescence lifetime, a result that can be explained by a significant amount of water entrance to the inner part of the bilayer. The same behavior was observed when pseudo-first-order quenching rate constants by oxygen were measured. 1-N produces an increase in mobility/solubility of the oxygen in the lipid membrane, an effect that is more noticeable in the deep region of the bilayer sensed by PDA, in the absence and in the presence of 2 mol% of Gr. 1-N incorporation produces a greater reduction in GP value than 5-N and 2,6-DH when Laurdan was excited by FRET. These results show that 1-N has the greatest effect in the lipidic domains near the gramicidin channel. On the other hand, excimer-monomer ratios of PDA obtained by FRET show that 1-N reduces the lateral mobility of acyl chains near the lipid-gramicidin interface when gramicidin concentration in the lipid bilayer increases. This effect is more noticeable than that obtained by direct irradiation of the probe in the presence of 5-N and 2,6-DH. On the other hand, the addition of the three alkanols in the presence of Gr produces a noticeable increase in the water permeability, particularly for 1-N. In this context, we propose a scheme that represents the effect of 1-nonanol on the water outflow in DPPC LUVs in the absence and in the presence of Gr. (c) 2012 Elsevier Inc. All rights reserved.</t>
  </si>
  <si>
    <t>Soto-Arriaza, Marco/J-8918-2017</t>
  </si>
  <si>
    <t>Soto-Arriaza, Marco/0000-0003-4502-6960</t>
  </si>
  <si>
    <t>10.1016/j.jcis.2012.07.028</t>
  </si>
  <si>
    <t>WOS:000308511600007</t>
  </si>
  <si>
    <t>Zapata, P; Quijada, R</t>
  </si>
  <si>
    <t>Zapata, Paula; Quijada, Raul</t>
  </si>
  <si>
    <t>Polypropylene Nanocomposites Obtained by In Situ Polymerization Using Metallocene Catalyst: Influence of the Nanoparticles on the Final Polymer Morphology</t>
  </si>
  <si>
    <t>JOURNAL OF NANOMATERIALS</t>
  </si>
  <si>
    <t>Polypropylene nanocomposites containing silica nanospheres based on the sol-gel methods were produced via in situ polymerization using a rac-Et(Ind)(2)ZrCl2/methylaluminoxane (MAO) system. Two different routes were used depending on the interaction between the silica nanoparticles with the catalytic system. In route 1 the nanoparticles were added together with the catalytic system (rac-Et(Ind)(2)ZrCl2)/(MAO) directly into the reactor, and in route 2 the metallocene rac-Et(Ind)(2)ZrCl2 was supported on silica nanospheres pretreated with (MAO). SEM images show that when the nanospheres were added by both routes, they were replicated in the final polymer particle morphology; this phenomenon was more pronounced for PP obtained by route 2. The polypropylene (PP) nanocomposites obtained by both routes had a slightly higher percent crystallinities and crystallinity temperatures than pure PP. Transmission electron microscopy (TEM) images show that the nanospheres were well dispersed into the polypropylene matrix, particularly in the nanocomposites obtained by the support system (route 2).</t>
  </si>
  <si>
    <t>QUIJADA, RAUL/0000-0003-0791-6954; Zapata, Paula Andrea/0000-0003-3361-6226</t>
  </si>
  <si>
    <t>1687-4110</t>
  </si>
  <si>
    <t>1687-4129</t>
  </si>
  <si>
    <t>10.1155/2012/194543</t>
  </si>
  <si>
    <t>WOS:000304961400001</t>
  </si>
  <si>
    <t>Garrido-Ramirez, E; Ureta-Zañartu, MS; Mora, MD</t>
  </si>
  <si>
    <t>Garrido-Ramirez, Elizabeth; Soledad Ureta-Zanartu, Maria; de la Luz Mora, Maria</t>
  </si>
  <si>
    <t>Synthetic allophane nanoparticles coated with iron oxide for atrazine oxidation by heterogeneous electro-Fenton process</t>
  </si>
  <si>
    <t>241st National Meeting and Exposition of the American-Chemical-Society (ACS)</t>
  </si>
  <si>
    <t>MAR 27-31, 2011</t>
  </si>
  <si>
    <t>Anaheim, CA</t>
  </si>
  <si>
    <t>213-ENVR</t>
  </si>
  <si>
    <t>WOS:000291982804489</t>
  </si>
  <si>
    <t>Reyes, CM</t>
  </si>
  <si>
    <t>Marat Reyes, C.</t>
  </si>
  <si>
    <t>Causality and stability for Lorentz-CPT violating electrodynamics with dimension-5 operators</t>
  </si>
  <si>
    <t>Stringent limits on the Myers-Pospelov timelike parameter for photons xi &lt; 10(-15) coming from astrophysical tests suggest exploring more general preferred backgrounds, such as spacelike and lightlike. We take some steps in this direction. We allow the external four vector n characterizing the Lorentz symmetry breaking to have arbitrary directions in spacetime. We study the consistency for the effective field theories in each privileged frame by demanding causality, stability, and analyticity. When specializing to a timelike background we found runaway solutions leading to causality and unitarity violations. We show that the lightlike theory is a higher-derivative theory with more degrees of freedom and nonanalytic solutions leading to instabilities when interactions are turned on. We demonstrate by explicit calculation that both stability and analyticity are preserved for the purely spacelike case while microcausality is highly suppressed. This new anisotropic model opens the possibility to play a role in the search for Planck-scale effects.</t>
  </si>
  <si>
    <t>DEC 27</t>
  </si>
  <si>
    <t>10.1103/PhysRevD.82.125036</t>
  </si>
  <si>
    <t>WOS:000286747800005</t>
  </si>
  <si>
    <t>Górka, P; Prado, H; Reyes, EG</t>
  </si>
  <si>
    <t>Simos, TE</t>
  </si>
  <si>
    <t>Psihoyios, G; Tsitouras, C</t>
  </si>
  <si>
    <t>Gorka, P.; Prado, H.; Reyes, E. G.</t>
  </si>
  <si>
    <t>The Laplace Transform in the Study of Equations with Infinitely Many Derivatives</t>
  </si>
  <si>
    <t>NUMERICAL ANALYSIS AND APPLIED MATHEMATICS, VOLS I-III</t>
  </si>
  <si>
    <t>International Conference on Numerical Analysis and Applied Mathematics</t>
  </si>
  <si>
    <t>SEP 19-25, 2010</t>
  </si>
  <si>
    <t>European Soc Comp Methods Sci &amp; Engn</t>
  </si>
  <si>
    <t>We implement a functional calculus via Laplace transform in order to solve linear equations of the form f(partial derivative(t))phi = J(t), t &gt;= 0, in which f is an entire function. Furthermore we analyze the delicate issue of the formulation of initial value problems for nonlocal equations such as (1).</t>
  </si>
  <si>
    <t>Reyes, Enrique/AAD-1308-2019</t>
  </si>
  <si>
    <t>Gorka, Przemyslaw/0000-0002-1943-383X; Reyes, Enrique G./0000-0001-8460-444X</t>
  </si>
  <si>
    <t>978-0-7354-0834-0</t>
  </si>
  <si>
    <t>WOS:000289661500116</t>
  </si>
  <si>
    <t>Chana, P</t>
  </si>
  <si>
    <t>Chana, P.</t>
  </si>
  <si>
    <t>Advances in the medical treatment of Parkinson's disease</t>
  </si>
  <si>
    <t>PARKINSONISM &amp; RELATED DISORDERS</t>
  </si>
  <si>
    <t>1353-8020</t>
  </si>
  <si>
    <t>1873-5126</t>
  </si>
  <si>
    <t>O.024</t>
  </si>
  <si>
    <t>S7</t>
  </si>
  <si>
    <t>10.1016/S1353-8020(09)70039-2</t>
  </si>
  <si>
    <t>WOS:000576194500025</t>
  </si>
  <si>
    <t>Cortez, L; Berríos, C; Yáñez, M; Cárdenas-Jirón, GI</t>
  </si>
  <si>
    <t>Cortez, Luis; Berrios, Cristhian; Yanez, Mauricio; Cardenas-Jiron, Gloria I.</t>
  </si>
  <si>
    <t>Theoretical study of the binding nature of glassy carbon with nickel(II) phthalocyanine complexes</t>
  </si>
  <si>
    <t>CHEMICAL PHYSICS</t>
  </si>
  <si>
    <t>A theoretical study at the semiempirical RHF/PM3(tm) level (tm: transition metal) of the binding nature between a glassy carbon (GC) cluster and a nickel(II) complex (nickel(II) phthalocyanine NiPc, nickel(II) tetrasulphophthalocyanine NiTSPc) was performed. Three types of interactions for GC center dot center dot center dot NiPc (NiTSPc) were studied: (a) through an oxo (O) bridge, (b) through an hydroxo (OH) bridge, and (c) non-bridge. One layer (NiPc, NiTSPc) and two layers (NiPc center dot center dot center dot NiPc) of complex were considered. The binding energy calculated showed that in both cases NiPc and NiTSPc, the oxo structures are more stable than the hydroxo ones, and than the non-bridge systems. Charge analysis (NAO) predicted that GC gained more electrons in an oxo structure than in the analogues hydroxo. The theoretical results showed an agreement with the experimental data available, an oxo binding between GC and a nickel complex (NiPc, NiTSPc) in aqueous alkaline solutions is formed. (C) 2009 Elsevier B. V. All rights reserved.</t>
  </si>
  <si>
    <t>YANOWSKY-REYES, GUILLERMO/AAA-1311-2021; Cardenas-Jiron, Gloria/H-9508-2012</t>
  </si>
  <si>
    <t>Cardenas-Jiron, Gloria/0000-0003-4305-8088</t>
  </si>
  <si>
    <t>0301-0104</t>
  </si>
  <si>
    <t>1873-4421</t>
  </si>
  <si>
    <t>NOV 26</t>
  </si>
  <si>
    <t>10.1016/j.chemphys.2009.10.016</t>
  </si>
  <si>
    <t>WOS:000271758300008</t>
  </si>
  <si>
    <t>Acuña, G; Curilem, M</t>
  </si>
  <si>
    <t>Aguirre, AH; Borja, RM; Garcia, CAR</t>
  </si>
  <si>
    <t>Acuna, Gonzalo; Curilem, Millaray</t>
  </si>
  <si>
    <t>Comparison of Neural Networks and Support Vector Machine Dynamic Models for State Estimation in Semiautogenous Mills</t>
  </si>
  <si>
    <t>MICAI 2009: ADVANCES IN ARTIFICIAL INTELLIGENCE, PROCEEDINGS</t>
  </si>
  <si>
    <t>8th Mexican International Conference on Artificial Intelligence</t>
  </si>
  <si>
    <t>NOV 09-13, 2009</t>
  </si>
  <si>
    <t>Guanajuato, MEXICO</t>
  </si>
  <si>
    <t>Mexican Soc Artificial Intelligence,Ctr Invest Matemat</t>
  </si>
  <si>
    <t>Development of performant state estimators for industrial processes like copper extraction is a hard and relevant task because of the difficulties to directly measure those variables on-line. In this paper a comparison between a dynamic NARX-type neural network model and a support vector machine (SVM) model with external recurrences for estimating the filling level of the mill for a semiautogenous ore grinding process is performed. The results show the advantages of SVM modeling, especially concerning Model Predictive Output estimations of the state variable (MSE &lt; 1.0), which would favor its application to industrial scale processes.</t>
  </si>
  <si>
    <t>Curilem, Millaray/0000-0001-8685-221X; Acuna Leiva, Gonzalo Pedro/0000-0002-0519-7792</t>
  </si>
  <si>
    <t>978-3-642-05257-6</t>
  </si>
  <si>
    <t>WOS:000278966100042</t>
  </si>
  <si>
    <t>Alternative statistical procedures to assess the robustness using repeated measures designs</t>
  </si>
  <si>
    <t>The purpose of this investigation was assessing the robustness of a series of new procedures under the traditional ANOVA approach to analyze some data corresponding to repeated measures by means of Monte Carlo simulation. In order to study the efficacy of these procedures for the control of Type I rate of errors, four variables were handled: sample size; structure of dispersion matrixes; relationship between the group sizes and the dispersion matrices, and population distribution pattern. Results suggest that the Improved. General Approach, Proc Mixed program with the Kenward-Roger solution, Brown-Forsythe and Welch James procedures offer a very good behavior to control the Type I rate of errors both for the main effect of the measurement opportunities as well as the effect of interaction, under all the assessed conditions.</t>
  </si>
  <si>
    <t>WOS:000241903200010</t>
  </si>
  <si>
    <t>Guzmán, AM; Escobar, RA; Amon, CH</t>
  </si>
  <si>
    <t>Flow mixing enhancement from balloon pulsations in an intravenous oxygenator</t>
  </si>
  <si>
    <t>JOURNAL OF BIOMECHANICAL ENGINEERING-TRANSACTIONS OF THE ASME</t>
  </si>
  <si>
    <t>Computational investigations of flow mixing and oxygen transfer characteristics in an intravenous membrane oxygenator (IMO) are performed by v direct numerical simulations of the conservation of mass, momentum, and species equations. Three-dimensional computational models are developed to investigate flow-mixing and oxygen-transfer characteristics for stationary and pulsating balloons, using the spectral element method. For a stationary balloon, the effect of the fiber placement within the fiber bundle and the number of fiber rings is investigated. In a pulsating balloon, the flow mixing characteristics are determined and the oxygen transfer rate is evaluated. For a stationary balloon, numerical simulations show two well-defined flow patterns that depend on the region of the IMO device. Successive increases of the Reynolds number raise the longitudinal velocity without creating secondary flow. This characteristic is not affected by staggered or non-staggered fiber placement within the fiber bundle. For a pulsating balloon, the flow mixing is enhanced by generating a three-dimensional time-dependent flow characterized by oscillatory radial, pulsatile longitudinal, and both oscillatory and random tangential velocities. This three-dimensional flow increases the flow mixing due to an active time-dependent secondary flow, particularly around the fibers. Analytical models show the fiber bundle placement effect on the pressure gradient and flow pattern. The oxygen transport from the fiber surface to the mean flow is due to a dominant radial diffusion mechanism, for the stationary balloon. The oxygen transfer rate reaches an asymptotic behavior at relatively low Reynolds numbers. For a pulsating balloon, the time-dependent oxygen-concentration field resembles the oscillatory and wavy nature of the time-dependent flow. Sherwood number evaluations demonstrate that balloon pulsations enhance the oxygen transfer rate, even for smaller flow rates.</t>
  </si>
  <si>
    <t>Guzman, Amador/F-9260-2013</t>
  </si>
  <si>
    <t>0148-0731</t>
  </si>
  <si>
    <t>1528-8951</t>
  </si>
  <si>
    <t>10.1115/1.1894260</t>
  </si>
  <si>
    <t>WOS:000230050100006</t>
  </si>
  <si>
    <t>Venegas-Yazigi, DA; Cárdenas-Jirón, GI; Zagal, JH</t>
  </si>
  <si>
    <t>Theoretical study of the electron transfer reaction of hydrazine with cobalt(II) phthalocyanine and substituted cobalt(II) phthalocyanines</t>
  </si>
  <si>
    <t>A theoretical model is proposed to explain the trend in reactivity of cobalt(II) phthalocyanine (CoPc) and substituted cobalt(II) phthalocyanines for the oxidation of hydrazine. Our study suggests that the reaction occurs via a through bond charge transfer pathway and not via a through space charge transfer pathway as was shown in previous work for the oxidation of 2-mercaptoethanol by CoPc (G.I. Cardenas-Jiron and D.A. Venegas-Yazigi, J. Phys. Chem. A. 106, 11398 (2002)). We propose a mechanism for the oxidation of hydrazine based on a four-step energy profile which agrees with a mechanism proposed for the electro-oxidation of hydrazine mediated by cobalt phthalocyanines confined on a graphite electrode. We show that the step in the energy profile that involves formation of a radical of hydrazine seems to be a good starting point for the study of the transfer of the first electron in the oxidation of hydrazine mediated by different substituted cobalt(II) phthalocyanines.</t>
  </si>
  <si>
    <t>zagal, jose/L-9648-2014; Cardenas-Jiron, Gloria/H-9508-2012; Venegas-Yazigi, Diego/C-5022-2009</t>
  </si>
  <si>
    <t>10.1080/00958970310001624267</t>
  </si>
  <si>
    <t>WOS:000188356200009</t>
  </si>
  <si>
    <t>Bartholin, T; Muñoz, A; Vera-Villarroel, PE</t>
  </si>
  <si>
    <t>Relationship between sleep patterns and anxiety depression</t>
  </si>
  <si>
    <t>REVISTA ECUATORIANA DE NEUROLOGIA</t>
  </si>
  <si>
    <t>In recent years contradictory data as to relationship between the sleep patterns and psychological variables have appeared. This study analyses the relationships of depression and state-trait anxiety levels in subjects with different sleep patterns. From 583 subject sample, 25 long sleep pattern, 25 medium sleep and 25 short sleep pattern were selected. The results show that no relationships between psychological variables and sleep patterns.</t>
  </si>
  <si>
    <t>1019-8113</t>
  </si>
  <si>
    <t>WOS:000220466500004</t>
  </si>
  <si>
    <t>Gamboa, J; Vergara, L; Lepe, S</t>
  </si>
  <si>
    <t>The Foldy-Wouthuysen transformation from a functional integral approach</t>
  </si>
  <si>
    <t>The Foldy-Wouthuysen transformation is obtained from the funtional integral, Lagrangian, approach. As a toy model we used the QCD Lagrangian. This leads to a derivation of the effective Lagrangian for non-relativistic quantum chromodynamics and the heavy quarks effective field theory.</t>
  </si>
  <si>
    <t>Vergara, Lautaro/V-2736-2019; Gamboa, Jorge/R-8744-2019</t>
  </si>
  <si>
    <t>WOS:000180065500029</t>
  </si>
  <si>
    <t>Letelier, MF; Siginer, DA; Cáceres, C</t>
  </si>
  <si>
    <t>Pulsating flow of viscoelastic fluids in straight tubes of arbitrary cross-section -: Part I:: longitudinal field</t>
  </si>
  <si>
    <t>The pulsating flow of a Green-Rivlin fluid in straight tubes of arbitrary cross-section is investigated. We work with the linearly viscoelastic fluid at the first order of the perturbation of the non-linear constitutive structure defined by a series of nested integrals over semi-infinite time domains. The boundary for the base flow, linearly viscoelastic flow in a circular tube in this case, is perturbed through the application of a novel approach to the concept of domain perturbation to yield a continuous spectrum of closed cross-sectional shapes. The longitudinal component of the flow field is investigated in detail for representative cross-sectional shapes in the spectrum including the square, the triangle and the hexagone, and the velocity profiles are presented for a specific fluid. (C) 2001 Elsevier Science Ltd. All rights reserved.</t>
  </si>
  <si>
    <t>10.1016/S0020-7462(01)00046-4</t>
  </si>
  <si>
    <t>WOS:000172477400017</t>
  </si>
  <si>
    <t>Encinas, MV; Bertolotti, SG; Previtali, CM</t>
  </si>
  <si>
    <t>The interaction of ground and excited states of lumichrome with aliphatic and aromatic amines in methanol</t>
  </si>
  <si>
    <t>The reaction of the ground and excited states of lumichrome (= 7,8-dimethylalloxazine - 7,8-dimethyl-benzo[g]pteridine-2,4(1H,3H)-dione) with aliphatic and aromatic amines was investigated in MeOH. In the presence of aliphatic amines of high basicity, new bands are observed in the absorption and fluorescence spectra. These bands arise in a proton-transfer reaction from lumichrome, in the ground and in the singlet excited states, to the amine. On the other hand, amines with lower basicity such as triethanolamine (=2,2',2-nitrilotris[ethanol]) and aromatic amines are not able to deprotonate lumichrome, and hence a quenching of the fluorescent emission takes place without changes in the spectral shape. In this case, bimolecular-quenching rate constants were determined for the excited singlet and triplet states. Based on laser-flash-photolysis experiments, an electron-transfer mechanism is proposed. Aliphatic amines yield lower rate constants than the aromatic ones for the same driving force. A notable difference arises in the limiting value reached by the singlet and triplet quenching rate constants by aromatic amines. For the singlet quenching, the limit is coincident with a diffusion-controlled reaction, while those for triplet quenching reach a lower constant value, independent of the driving force. This is explained by an electron-transfer mechanism, with a lower frequency factor for the triplet-state process.</t>
  </si>
  <si>
    <t>10.1002/1522-2675(200205)85:5&lt;1427::AID-HLCA1427&gt;3.0.CO;2-A</t>
  </si>
  <si>
    <t>WOS:000176150100017</t>
  </si>
  <si>
    <t>del Campo, S; Cruz, N</t>
  </si>
  <si>
    <t>A critical-density closed universe in Brans-Dicke theory</t>
  </si>
  <si>
    <t>MONTHLY NOTICES OF THE ROYAL ASTRONOMICAL SOCIETY</t>
  </si>
  <si>
    <t>In a Brans-Dicke (BD) cosmological model, the energy density associated with some scalar field decreases as a(-2[(omega 0+1/2)/(omega 0+1)]) with the scalefactor a(t) of the universe, giving matter with an equation of state p = -(1/3) [(2 + omega(0))(1 + omega(0))]rho. In this model, the universe could be closed but still have a non-relativistic matter density corresponding to its critical value, Ohm(0) = 1. Different cosmological expressions, such as luminosity distance, angular diameter, number count and ratio of the redshift thickness-angular size, are determined in terms of the redshift for this model.</t>
  </si>
  <si>
    <t>0035-8711</t>
  </si>
  <si>
    <t>1365-2966</t>
  </si>
  <si>
    <t>10.1046/j.1365-8711.2000.03675.x</t>
  </si>
  <si>
    <t>WOS:000089857200009</t>
  </si>
  <si>
    <t>Ortíz, J; Barbato, S; Gautier, JL</t>
  </si>
  <si>
    <t>Oxigen reduction on chalcosite, pirite and galene in alkaline medium.</t>
  </si>
  <si>
    <t>Meeting of the Chilean-Chemical-Society</t>
  </si>
  <si>
    <t>JUN 14-16, 2000</t>
  </si>
  <si>
    <t>CHILE</t>
  </si>
  <si>
    <t>Chilean Chem Soc</t>
  </si>
  <si>
    <t>The oxygen reduction reaction (ORR) was studied on chalcosite, pyrite and galene by cyclic voltammetry and stationary potential measurements using a double channel electrode flow cell (DCEFC) at pH = 14. The electrode surface was characterized using thermodynamic and voltammetric data. Stationary voltammetry results show that molecular oxygen is reduced to peroxide ions, HO2-, in all cases. At experimental pH, the O-2 reduction occurs on chalcosite surface containing Cu2S film and on pyrite surface supporting Fe(OH)(3) film. In the case of galene, the formation of elemental S on generator electrode (due to surface chemical oxidation) and collector electrode of the flow cell (due to oxidation of the generated sulphide ions) hinder the electroreduction of oxygen, impeding the determination of the kinetic parameters, k(1) (direct way) and k(2) (indirect way). From the k(1)/k(2) ratio, chalcosite appears to be the best catalyst for ORR. In fact, this mineral produces less HO2 ions than galene and the oxidation of flotation collectors is reduced.</t>
  </si>
  <si>
    <t>WOS:000089763300015</t>
  </si>
  <si>
    <t>Antillanca, HB; Fuller, DA</t>
  </si>
  <si>
    <t>Refining temporal criteria to classify collaborative systems</t>
  </si>
  <si>
    <t>INTERNATIONAL JOURNAL OF HUMAN-COMPUTER STUDIES</t>
  </si>
  <si>
    <t>This paper presents a critical analysis of classification criteria for collaborative systems, and a more refined proposal for their reformulation. The analysis highlights the multiplicity of definitions and uses of the same set of classification terms which denote time relationships in collaborative systems. We observe that authors, when characterizing collaborative systems, use concepts without giving an exact definition of them, and other authors use terms in an ambiguous way, as if they were synonyms, when in fact they are not. This situation encourages the revision and reformulation of the conflictive terms. Specifically, the real-time, concurrent and synchronous concepts are analysed, and we apply them in different areas of this technology, resulting in the reformulation of the criteria. In many cases the resulting criteria are truly new due to the fact that their meanings, apart from being more precise, are different from those already used by some authors. The refining of criteria contributes to the organization and placement of the classification concepts, and helps in the formation of a useful vocabulary in order to better characterize collaborative systems. (C) 1999 Academic Press.</t>
  </si>
  <si>
    <t>1071-5819</t>
  </si>
  <si>
    <t>1095-9300</t>
  </si>
  <si>
    <t>10.1006/ijhc.1998.0233</t>
  </si>
  <si>
    <t>WOS:000078099700001</t>
  </si>
  <si>
    <t>Costamagna, J; Caruso, F; Canales, J; Ramirez, J</t>
  </si>
  <si>
    <t>Costamagna, J.; Caruso, F.; Canales, J.; Ramirez, J.</t>
  </si>
  <si>
    <t>STRUCTURAL INVESTIGATIONS ON HEXA-AZA-MACROCYCLE PRECURSORS.</t>
  </si>
  <si>
    <t>ACTA CRYSTALLOGRAPHICA A-FOUNDATION AND ADVANCES</t>
  </si>
  <si>
    <t>2053-2733</t>
  </si>
  <si>
    <t>P07.07.013</t>
  </si>
  <si>
    <t>WOS:000475706304033</t>
  </si>
  <si>
    <t>Vasquez, JA; Vega, A; Matsuhiro, B; Faundez, C</t>
  </si>
  <si>
    <t>Biomass, reproductive phenology and chemical characterization of soluble polysaccharides from Rhodymenia howeana Dawson, (Rhodymeniaceae, Rhodymeniales) in Northern Chile</t>
  </si>
  <si>
    <t>BOTANICA MARINA</t>
  </si>
  <si>
    <t>Monthly and bathymetric variation of biomass, reproductive phases and chemical characterization of soluble polysaccharides in a shallow subtidal Rhodymenia howeana population at La Herradura of Guayacan Bay, Coquimbo (Chile), has been monitored between July 1994 and August 1995. Overall productivity of the population did not change during the study period, although the wet weight increased significantly with depth. The species showed winter peaks in reproductive activity, whereas in summer the frequency of reproductive plants was near zero. Throughout the study period the tetrasporic phase predominated over gametophytic phases. The non-fibrillar polysaccharides of Rhodymenia howeana were evaluated seasonally. Samples were sequentially extracted with water, acid and alkaline solutions and the extracts analysed by total hydrolysis, gas-liquid chromatography and infrared spectroscopy. The total yield of the extracts was 5.3% in winter, while in spring and summer values were close to 30%. The highest yields were obtained in aqueous and alkaline media and correspond mainly to a polysaccharide mixture of a sulphated galactan type and neutral glucans.</t>
  </si>
  <si>
    <t>Vega, JM/M-2401-2016; faundez, carlos/ACN-8311-2022</t>
  </si>
  <si>
    <t>0006-8055</t>
  </si>
  <si>
    <t>10.1515/botm.1998.41.1-6.235</t>
  </si>
  <si>
    <t>WOS:000073994500001</t>
  </si>
  <si>
    <t>Machado, VG; Machado, C; Nascimento, MDG; Rezende, MC</t>
  </si>
  <si>
    <t>Solvatochromism and preferential solvation of aryliminomethylpyridinium iodides in binary mixtures</t>
  </si>
  <si>
    <t>Studies on the solvatochromic behaviour of N-methyl-4- and N-methyl-2-[(4-dimethylaminophenyl)iminomethyl]pyridinium iodide dyes in a variety of solvents and the preferential solvation of the former dye in binary mixtures of protic and non-protic solvents me presented and interpreted in terms of solute-solvent and solvent-solvent interactions. (C) 1997 John Wiley &amp; Sons, Ltd.</t>
  </si>
  <si>
    <t>Caroli, Marcos/H-3570-2019; Gageiro Machado, Vanderlei/C-7045-2018</t>
  </si>
  <si>
    <t>Gageiro Machado, Vanderlei/0000-0002-6995-6591</t>
  </si>
  <si>
    <t>10.1002/(SICI)1099-1395(199710)10:10&lt;731::AID-POC942&gt;3.0.CO;2-A</t>
  </si>
  <si>
    <t>WOS:A1997YG07000003</t>
  </si>
  <si>
    <t>DASILVA, L; MACHADO, C; REZENDE, MC</t>
  </si>
  <si>
    <t>ON THE SOLVATOCHROMIC REVERSAL OF MEROCYANINE DYES .1. THE UV-VIS SPECTROSCOPIC BEHAVIOR OF VINYLOGOUS GAMMA-PYRIDONES</t>
  </si>
  <si>
    <t>A theoretical approach is described to rationalize and predict the solvatochromic behaviour of vinylogous gamma-pyridones. The theoretical curves obtained are shown to reproduce the experimental UV-VIS spectroscopic behaviour of dyes 1, 2. 3 and 5. The model reconciles previous conflicting reports on the solvatochromism of these and related dyes.</t>
  </si>
  <si>
    <t>Caroli, Marcos/H-3570-2019; DA SILVA, LUCIANO/P-8743-2018</t>
  </si>
  <si>
    <t>Rezende, Marcos/0000-0003-2040-9009; DA SILVA, LUCIANO/0000-0002-1591-963X</t>
  </si>
  <si>
    <t>0300-9580</t>
  </si>
  <si>
    <t>10.1039/p29950000483</t>
  </si>
  <si>
    <t>WOS:A1995QL87000012</t>
  </si>
  <si>
    <t>SARTORI, R; GUERRERO, J; PASTENE, R; SCHMIDT, R; SARIEGO, R; MOYA, SA</t>
  </si>
  <si>
    <t>[REBR(CO)3(L)] COMPLEXES WITH L=3,3'-DIMETHYLENE AND 3,3'-TRIMETHYLENE-2,2'-BIQUINOLINE - PREPARATION AND CHARACTERIZATION</t>
  </si>
  <si>
    <t>Complexes of BrRe(CO)3L (where L corresponds to the 3,3'-methylene-2,2'-biquinoline (2,2N) and 3,3'-trimethylene-2,2'-biquinoline (3,2N)) type were synthesized and characterized by Ir, UV-Vis and H-1-NMR spectroscopy and by cyclic voltammetry. The results permit to evaluate the stereochemistry of the molecules.</t>
  </si>
  <si>
    <t>WOS:A1992KH70700010</t>
  </si>
  <si>
    <t>SCHRODINGER-EQUATIONS WITH UNIQUE POSITIVE ISOLATED SINGULARITIES</t>
  </si>
  <si>
    <t>MANUSCRIPTA MATHEMATICA</t>
  </si>
  <si>
    <t>0025-2611</t>
  </si>
  <si>
    <t>10.1007/BF02568427</t>
  </si>
  <si>
    <t>WOS:A1990CW31700003</t>
  </si>
  <si>
    <t>Silva, C; Vásquez-Martínez, Y; Leal-Carmona, C; Cho, Y; Carrasco-Bozo, M; Sandoval-Altamirano, C; Morales, J; Gunther, G</t>
  </si>
  <si>
    <t>Silva, C.; Vasquez-Martinez, Y.; Leal-Carmona, C.; Cho, Y. H.; Carrasco-Bozo, M.; Sandoval-Altamirano, C.; Morales, J.; Gunther, G.</t>
  </si>
  <si>
    <t>aPDT activity of new water soluble phenalenone derivatives with shifted UV-Vis absorption</t>
  </si>
  <si>
    <t>Antibacterial therapy is one of the most important medical developments of the 20th century, but several decades of antibiotic misuse and abuse have created a health emergency. Antibiotics resistance and ineffectiveness have spread through the community, threatening the enormous gains made by the availability of therapies. The emergence of drug-resistant infections has encouraged research community to develop new mechanisms against bacterial infections, mainly focused on multi-target strategies like Antibacterial Photodynamic Therapy (aPDT), where singlet oxygen (an excited state of oxygen) is able to oxidize a wide range of biomolecules including proteins, lipids and nucleic acids, leading to bacterial death. Singlet oxygen oxidative damage in aqueous media is restricted by its short diffusion range, around 150 nm. It is crucial to increase photosensitizer solubility in aqueous media keeping the capability of partition in apolar media (like membranes). We have previously demonstrated that an alkoxy substitution in position 6 of phenalenone scaffold (6-alkoxyPNF) promotes a bathochromic shift of UV-Vis absorption when compared to clean phenalenone, (with maximum absorption wavelength centered at around 430-450 nm depending on the solvent). Their quantum yields of singlet oxygen generation remained high, in most media. To take advantage of the photo-physical properties of 6-alkoxy-PNF framework, increase solubility in water and promote attractive electrostatic interaction on the bacterial surface, a trimethylammonium group was introduced in the molecule. Moreover, depending on the length of methylene chain included, hydrophilic lipophilic balance of molecules can be tuned. This substitution through a methylene linker would maintain distance from the 6-alkoxy-PNF, keeps almost unchanged their visible absorption bands (displaced to the red) and their singlet oxygen generation capacity. Their ability to generate singlet oxygen and hence inactivate bacteria was tested. Our results show that the behavior of this family of compounds is dependent on the length of the alkyl chain, particularly in microheterogeneous systems. Synergic effect can be attributed to 12C surfactant associated with antimicrobial surfactant ability and singlet oxygen generation.</t>
  </si>
  <si>
    <t>10.1016/j.jphotobiol.2025.113152</t>
  </si>
  <si>
    <t>WOS:001463260700001</t>
  </si>
  <si>
    <t>Vega, D; Seriani, S; Pena, A; Minatogawa, V; Aprigliano, V; Arredondo, B; Bastías, I; Rodriguez-Rodriguez, F; Muñoz, C; Soto, R</t>
  </si>
  <si>
    <t>Vega, Daniel; Seriani, Sebastian; Pena, Alvaro; Minatogawa, Vinicius; Aprigliano, Vicente; Arredondo, Bernardo; Bastias, Ivan; Rodriguez-Rodriguez, Fernando; Munoz, Cristian; Soto, Rodrigo</t>
  </si>
  <si>
    <t>Accessibility Dilemma in Metro Stations: An Experimental Pilot Study Based on Passengers' Emotional Experiences</t>
  </si>
  <si>
    <t>This study explores the passengers' accessibility dilemma in Valpara &amp; iacute;so, Chile, through field observations and laboratory experiments. The aim is to investigate the accessibility in metro stations based on the users' emotional experience. Perceptions were reported through the emotions of passengers according to a circumplex psychological model and an accessibility ranking. Passengers reported their emotions (e.g., stress, sadness, relaxation, and happiness) during different trip moments. Results indicate that rearranging train seats parallel to movement creates a more spacious aisle, enhancing mobility and evoking positive emotions such as happiness. However, an unexpected rise in sadness suggests that social dynamics may influence emotional responses, warranting further investigation. Overcrowding increases stress and sadness, emphasizing the need for capacity management to improve passengers' emotional experiences. Field observations reveal that early journey stages, such as walking to the station or waiting on the platform, are associated with unpleasant experiences due to poor infrastructure and accessibility barriers. In contrast, train rides foster more positive emotions, credited to better accessibility onboard. Passenger dissatisfaction arises from issues such as elevator malfunctions, inconsistent train schedules, and inadequate station accessibility. This study could help to understand passenger behavior when the accessibility conditions of metro stations and their surroundings are changed. Further studies will expand the concept of emotions by considering social and psychological factors and explore different types of stations and their surroundings considering a larger sample size in laboratory experiments and field studies.</t>
  </si>
  <si>
    <t>Minatogawa, Vinicius/R-2587-2018; Fernandes, Vicente/J-5057-2014</t>
  </si>
  <si>
    <t>Pena Fritz, Alvaro/0000-0003-2018-1972</t>
  </si>
  <si>
    <t>MAR 30</t>
  </si>
  <si>
    <t>10.3390/su17073064</t>
  </si>
  <si>
    <t>WOS:001465725300001</t>
  </si>
  <si>
    <t>Moreno, X; Moreno, F</t>
  </si>
  <si>
    <t>Moreno, Ximena; Moreno, Francisco</t>
  </si>
  <si>
    <t>Factor structure and measurement invariance of the Patient Health Questionnaire-4 among the Chilean population</t>
  </si>
  <si>
    <t>Background The PHQ-4 is an ultrabrief screening test for depression and anxiety symptoms. The psychometric properties of this test among the population in Chile are unknown. This study was aimed to determine the factor structure of the PHQ-4 in the adult population in Chile, and to assess its measurement invariance across different groups. Methods The study considered a nationally representative sample of 10921 people aged 18 and above, in Chile in 2021. Exploratory and confirmatory factor analysis were conducted, and configural, metric, scalar, and strict measurement invariance were assessed. Results The two-factor structure of the PHQ-4 supported the two underlying constructs of depression and anxiety. This model explained 67% of the variance and had excellent fit (CFI: 0.9999; TLI: 0.9994; RMSEA: 0.0107; SRMR: 0.0022). Strict measurement invariance held across gender, age, area of residence, household income quintile, immigrant or host population, and indigenous or non-indigenous population (Delta CFI&lt;0.01). Conclusion The PHQ-4 can be used to assess depressive and anxiety symptoms in population studies, and as a screening test for depression and anxiety in public mental health programs in Chile.</t>
  </si>
  <si>
    <t>Moreno, Ximena/0000-0002-0586-4364; Moreno, Francisco/0000-0001-9637-0919</t>
  </si>
  <si>
    <t>e0304623</t>
  </si>
  <si>
    <t>10.1371/journal.pone.0304623</t>
  </si>
  <si>
    <t>WOS:001237119600172</t>
  </si>
  <si>
    <t>Cid-Jofre, V; Bahamondes, T; Correa, AZ; Arias, IA; Reyes-Parada, M; Renard, GM</t>
  </si>
  <si>
    <t>Cid-Jofre, Valeska; Bahamondes, Tamara; Zuniga Correa, Agustina; Ahumada Arias, Ivalu; Reyes-Parada, Miguel; Renard, Georgina M.</t>
  </si>
  <si>
    <t>Psychostimulants and social behaviors</t>
  </si>
  <si>
    <t>Mounting evidence from animal models and human studies indicates that psychostimulants can significantly affect social behaviors. This is not surprising considering that the neural circuits underlying the regulation and expression of social behaviors are highly overlapped with those targeted by psychostimulants, which in most cases have strong rewarding and, consequently, addictive properties. In the present work, we provide an overview regarding the effects of illicit and prescription psychostimulants, such as cocaine, amphetamine-type stimulants, methylphenidate or modafinil, upon social behaviors such as social play, maternal behavior, aggression, pair bonding and social cognition and how psychostimulants in both animals and humans alter them. Finally, we discuss why these effects can vary depending on numerous variables such as the type of drug considered, acute versus long-term use, clinical versus recreational consumption, or the presence or absence of concomitant risk factors.</t>
  </si>
  <si>
    <t>Cid-Jofré, Valeska/ABE-3761-2021</t>
  </si>
  <si>
    <t>Renard, Georgina Maria/0000-0002-5439-7547</t>
  </si>
  <si>
    <t>APR 25</t>
  </si>
  <si>
    <t>10.3389/fphar.2024.1364630</t>
  </si>
  <si>
    <t>WOS:001215866300001</t>
  </si>
  <si>
    <t>Antileo, EL; Araya, BV; Fernández-Silva, S</t>
  </si>
  <si>
    <t>Antileo, Elisa Loncon; Araya, Belen Villena; Fernandez-Silva, Sabela</t>
  </si>
  <si>
    <t>Chumleafel chi Anultuzugu Chile Mapu mew: The Role of Mapuzugun in the Chilean Constituent Process (2019-2022)</t>
  </si>
  <si>
    <t>REVISTA SIGNOS</t>
  </si>
  <si>
    <t>This article examines the role played by mapuzugun in the first Chilean constituent process. Specifically, it describes how mapuzugun expanded to new contexts of use in three stages of this process-the social outbreak, the Constitutional Convention, and the drafting of the new Constitutional proposal-and assesses this phenomenon regarding the normalization process of this indigenous language. To that end, a single case study was carried out in order to characterize the new discourse practices where mapuzugun is employed, to identify the social functions performed, and to evaluate the way the language has changed to accommodate to these new communicative uses. The analysis shows that mapuzugun increased its presence in a specialized legislative context and changed its status, because it was recognized as official language of the Constitutional Convention, a political body of the Chilean State. These advances are crucial for the process of mapuzugun normalization. However, they were carried out in an unplanned manner, so there is a high risk that these new discourse spaces might get lost and do not consolidate among speakers. For that reason, it is necessary that indigenous languages are granted legal recognition and that material conditions are guaranteed to enable speakers to use their languages in these new spaces.</t>
  </si>
  <si>
    <t>Fernández-Silva, Sabela/GRO-3749-2022; Fernandez-Silva, Sabela/H-8139-2015</t>
  </si>
  <si>
    <t>Fernandez-Silva, Sabela/0000-0002-6607-5772</t>
  </si>
  <si>
    <t>0718-0934</t>
  </si>
  <si>
    <t>10.4067/S0718-09342023000300582</t>
  </si>
  <si>
    <t>WOS:001144759600004</t>
  </si>
  <si>
    <t>Torres-Olivares, S; González-Rodrigo, B; Saavedra-Flores, EI; Mosquera-Feijoo, JC</t>
  </si>
  <si>
    <t>Torres-Olivares, Sebastian; Gonzalez-Rodrigo, Beatriz; Saavedra-Flores, Erick I.; Mosquera-Feijoo, Juan Carlos</t>
  </si>
  <si>
    <t>Seismic behaviour of reinforced-masonry aggregate under different types of interaction between adjacent dwellings</t>
  </si>
  <si>
    <t>BULLETIN OF EARTHQUAKE ENGINEERING</t>
  </si>
  <si>
    <t>Assessing the seismic vulnerability of existing buildings is an essential task for the management of earthquake disasters. For this purpose, the seismic behaviour of buildings is usually determined under the assumption of isolated conditions, although aggregate structures are one of the most common typologies found in urban centres. This study aims to investigate the nonlinear static behaviour of aggregate dwellings consisting of grouted reinforced concrete block configurations commonly observed in San Jose, Costa Rica. This research investigates the use of several strategies to model connections between adjacent buildings which are typically found in modern building practises in this country. The methodology used here to analyse the seismic behaviour of isolated and row-aggregated dwellings reveals significant differences in their response under seismic loads, especially when acting perpendicular to the aggregate. The study reveals that the type of interaction considered between adjacent buildings has a very important impact on the seismic capacity and failure mechanisms of the aggregated structures. This procedure can also be applied to the vulnerability assessment and retrofit of existing aggregates.</t>
  </si>
  <si>
    <t>Mosquera Feijóo, Juan/I-2893-2015; Gonzalez Rodrigo, Beatriz/N-2918-2014</t>
  </si>
  <si>
    <t>Gonzalez Rodrigo, Beatriz/0000-0003-1038-7459</t>
  </si>
  <si>
    <t>1570-761X</t>
  </si>
  <si>
    <t>1573-1456</t>
  </si>
  <si>
    <t>10.1007/s10518-023-01782-z</t>
  </si>
  <si>
    <t>WOS:001087711900002</t>
  </si>
  <si>
    <t>Martinez-Sade, E; Martinez-Rojas, F; Ramos, D; Aguirre, MJ; Armijo, F</t>
  </si>
  <si>
    <t>Martinez-Sade, Erika; Martinez-Rojas, Francisco; Ramos, Danilo; Aguirre, Maria Jesus; Armijo, Francisco</t>
  </si>
  <si>
    <t>Formation of a Conducting Polymer by Different Electrochemical Techniques and Their Effect on Obtaining an Immunosensor for Immunoglobulin G</t>
  </si>
  <si>
    <t>In this work, a conducting polymer (CP) was obtained through three electrochemical procedures to study its effect on the development of an electrochemical immunosensor for the detection of immunoglobulin G (IgG-Ag) by square wave voltammetry (SWV). The glassy carbon electrode modified with poly indol-6-carboxylic acid (6-PICA) applied the cyclic voltammetry technique presented a more homogeneous size distribution of nanowires with greater adherence allowing the direct immobilization of the antibodies (IgG-Ab) to detect the biomarker IgG-Ag. Additionally, 6-PICA presents the most stable and reproducible electrochemical response used as an analytical signal for developing a label-free electrochemical immunosensor. The different steps in obtaining the electrochemical immunosensor were characterized by FESEM, FTIR, cyclic voltammetry, electrochemical impedance spectroscopy, and SWV. Optimal conditions to improve performance, stability, and reproducibility in the immunosensing platform were achieved. The prepared immunosensor has a linear detection range of 2.0-16.0 ng center dot mL(-1) with a low detection limit of 0.8 ng center dot mL(-1). The immunosensing platform performance depends on the orientation of the IgG-Ab, favoring the formation of the immuno-complex with an affinity constant (Ka) of 4.32 x 10(9) M-1, which has great potential to be used as point of care testing (POCT) device for the rapid detection of biomarkers.</t>
  </si>
  <si>
    <t>Aguirre, Maria/A-3935-2013; Martinez, Francisco/ABE-7092-2020; Armijo, Francisco/G-3391-2013</t>
  </si>
  <si>
    <t>Aguirre, Maria/0000-0003-1134-4469; Martinez-Rojas, Francisco/0000-0001-9701-0528; Armijo, Francisco/0000-0002-2479-6280; Ramos Balbontin, Danilo Francisco/0000-0001-9949-6058</t>
  </si>
  <si>
    <t>10.3390/polym15051168</t>
  </si>
  <si>
    <t>WOS:000948233200001</t>
  </si>
  <si>
    <t>Díaz-Leiva, MM; Malfitano, APS</t>
  </si>
  <si>
    <t>Diaz-Leiva, Monica Matilde; Malfitano, Ana Paula Serrata</t>
  </si>
  <si>
    <t>Controversies and debates around occupational therapy: an analysis of bibliographic productions in South America (2010-2018)</t>
  </si>
  <si>
    <t>Considering that occupational therapy practices act in spaces of daily life where there is a plurality of existences, it is imperative to build heterogeneous practices from the historical-social contexts that produce them. In South America, debates have emerged that challenge the prevailing north-Eurocentric and Anglocentric discourse due to its claim to universality, objectivity, and neutrality, bringing with its positivist scientific reasoning and dualistic logic. This article aims to present seven debates identified in some of the written productions of Brazil, Argentina, Colombia, and Chile between 2010-2018, both in older occupational therapy journals in the region and in books of collective authorships that discuss occupational therapy. A mapping of controversies is carried out through a documentary review and analysis of 133 journal articles and 53 book chapters. The issues they discuss are related to occupational therapy practices around the social; communities and territories; human rights; knowledge and knowledge production; the critical; gender and feminisms; and Latin America and the global south. It is possible to conclude that each debate condenses different historical moments, from which plural and unfinished forms of occupational therapy are produced that make visible controversial issues that have given them richness and heterogeneity, allowing to stress the asymmetries of power and give political relevance to the practices that are produced from South America for the local-global context.</t>
  </si>
  <si>
    <t>Díaz Leiva, Mónica/JQX-0229-2023; Malfitano, Ana/G-1637-2012</t>
  </si>
  <si>
    <t>Malfitano, Ana/0000-0002-0502-3194; Diaz Leiva, Monica/0000-0001-7235-8077</t>
  </si>
  <si>
    <t>e3344</t>
  </si>
  <si>
    <t>10.1590/2526-8910.ctoAO256433443</t>
  </si>
  <si>
    <t>WOS:000992736400006</t>
  </si>
  <si>
    <t>Bravo, J; Lizama, C</t>
  </si>
  <si>
    <t>Bravo, Jennifer; Lizama, Carlos</t>
  </si>
  <si>
    <t>The Abstract Cauchy Problem with Caputo-Fabrizio Fractional Derivative</t>
  </si>
  <si>
    <t>MATHEMATICS</t>
  </si>
  <si>
    <t>Given an injective closed linear operator A defined in a Banach space X, and writing c(F)D(t)(alpha) the Caputo-Fabrizio fractional derivative of order alpha is an element of (0,1), we show that the unique solution of the abstract Cauchy problem (*) (CF)D(t)(alpha)u(t) = Au(t) + f(t), t &gt;= 0, where f is continuously differentiable, is given by the unique solution of the first order abstract Cauchy problem u'(t) = B(alpha)u(t) + F-alpha(t), t &gt;= 0; u(0) = - A(-1) f(0), where the family of bounded linear operators B-alpha constitutes a Yosida approximation of A and F-alpha(t) -&gt; f t) as alpha -&gt; 1. Moreover, if 1/1-alpha is an element of rho(A) and the spectrum of A is contained outside the closed disk of center and radius equal to 1/2(1-alpha) then the solution of (*) converges to zero as t -&gt; infinity, in the norm of X, provided f and f' have exponential decay. Finally, assuming a Lipchitz-type condition on f = f (t, x) (and its time-derivative) that depends on alpha, we prove the existence and uniqueness of mild solutions for the respective semilinear problem, for all initial conditions in the set S := {x is an element of D(A) : x = A(-1 )f(0, x)}.</t>
  </si>
  <si>
    <t>2227-7390</t>
  </si>
  <si>
    <t>10.3390/math10193540</t>
  </si>
  <si>
    <t>WOS:000867128800001</t>
  </si>
  <si>
    <t>González, A; Cabrales, RC; Castillo, E</t>
  </si>
  <si>
    <t>Gonzalez, A.; Cabrales, R. C.; Castillo, E.</t>
  </si>
  <si>
    <t>Numerical study of the use of residual- and non-residual-based stabilized VMS formulations for incompressible power-law fluids</t>
  </si>
  <si>
    <t>COMPUTER METHODS IN APPLIED MECHANICS AND ENGINEERING</t>
  </si>
  <si>
    <t>In this study, two stabilized, variational-multiscale-type finite element methods were assessed for the numerical approxima-tion of incompressible fluids using anisotropic space-time discretizations. The first method has a classical residual structure, whereas the second has a non-residual term-by-term structure. In both cases, the computational benefits of using dynamic sub-scales are evaluated. A comparison between the two methods is made concerning (i) a numerical study of the influence of solvers (direct and iterative) in the approximation of power-law fluid flows using anisotropic space-time discretizations, (ii) their ability and performance to approximate dynamic and convective flows, and (iii) a sensitivity analysis of the formulations for the use of Lumped or L-2 projections to define the orthogonal structure of the sub-scales. The problem employed to perform the numerical tests is the two-dimensional flow over an unconfined cylinder using Lagrangian P-1 and P-2 finite elements. The analyzed flows are characterized by Reynolds' numbers 100 and 1,000 for power-law fluids. In addition, the study is extended to a three-dimensional problem using tetrahedral linear elements. (C) 2022 Elsevier B.V. All rights reserved.</t>
  </si>
  <si>
    <t>; Castillo, Ernesto/D-1612-2015</t>
  </si>
  <si>
    <t>Gonzalez, Amaru/0000-0003-4403-2154; Castillo, Ernesto/0000-0001-7013-6008; Cabrales, Roberto Carlos/0000-0003-4090-5413</t>
  </si>
  <si>
    <t>0045-7825</t>
  </si>
  <si>
    <t>1879-2138</t>
  </si>
  <si>
    <t>10.1016/j.cma.2022.115586</t>
  </si>
  <si>
    <t>WOS:000861490000002</t>
  </si>
  <si>
    <t>Letelier, M; Stockle, J</t>
  </si>
  <si>
    <t>Letelier, M.; Stockle, J.</t>
  </si>
  <si>
    <t>Some applications of extended calculus to non-Newtonian flow in pipes</t>
  </si>
  <si>
    <t>JOURNAL OF THE BRAZILIAN SOCIETY OF MECHANICAL SCIENCES AND ENGINEERING</t>
  </si>
  <si>
    <t>Fractional and non-Newtonian calculus are an extension of classical calculus, usually known for providing new mathematical tools useful in science, developed from alternative approaches. Among fractional calculus, Riemann-Liouville and Caputo fractional derivatives have been the most popular operators employed in spite of their complexity. In this work, two novel and compact methods are presented as an alternative to the fractional calculation options. To test the feasibility of proposed methods, three classical fluid mechanic problems are studied: the flow through circular pipe, parallel plates and annulus, by modifying the constitutive equations into their fractional equivalent. On the other hand, a new weighted non-Newtonian derivative is proposed to extend the possibilities to model fluid viscosity based on the influence of nonadjacent layers, using the pipe flow as an example. Results show that proposed fractional models can describe shear-thinning and shear-thickening behaviors depending on the fractional order of the derivative, while the weighted derivative allows to expand the way viscosity is modeled, demonstrating the suitability of these approaches to describe physical problems.</t>
  </si>
  <si>
    <t>Stockle, Juan/0000-0003-4940-4535</t>
  </si>
  <si>
    <t>1678-5878</t>
  </si>
  <si>
    <t>1806-3691</t>
  </si>
  <si>
    <t>JAN 16</t>
  </si>
  <si>
    <t>10.1007/s40430-021-02802-2</t>
  </si>
  <si>
    <t>WOS:000609434300001</t>
  </si>
  <si>
    <t>Parraga-Alava, J; Alcivar-Cevallos, R; Vaca-Cardenas, L; Meza, J</t>
  </si>
  <si>
    <t>Parraga-Alava, Jorge; Alcivar-Cevallos, Roberth; Vaca-Cardenas, Leticia; Meza, Jaime</t>
  </si>
  <si>
    <t>UrbangEnCy: An emergency events dataset based on citizen sensors for monitoring urban scenarios in Ecuador</t>
  </si>
  <si>
    <t>DATA IN BRIEF</t>
  </si>
  <si>
    <t>Recently, the use of the citizen-sensors (people generating and sharing real data by social media) for detecting and disseminating emergency events in real-time have shown a considerable increase because people at the place of the event, as well as elsewhere, can quickly post relevant information on this type of alerts. Here, we present an emergency events dataset called UrbangEnCy. The dataset contains over 25500 texts in Spanish posted on Twitter from January 19th to August 19th, 2020, with emergencies and non-emergencies related content in Ecuador. We obtained, cleaned and, filtered these tweets and, then we selected the location and temporal data as well as tweet content. Besides, the data set includes annotations regarding the type of tweet (emergency / non-emergency) as well as additional nomenclature used to describe emergencies in the Center for immediate response service to emergencies (ECU 911) of Ecuador and international emergency services agencies (ESAs). UrbangEnCy dataset facilitates evaluating data science performance, machine learning, and natural language processing algorithms used with supervised and unsupervised problems re-related to text mining and pattern recognition. The dataset is freely and publicly available at https://doi.org/10.17632/4x37zz82k8. (c) 2021 The Authors. Published by Elsevier Inc. This is an open access article under the CC BY license (http://creativecommons.org/licenses/by/4.0/)</t>
  </si>
  <si>
    <t>Párraga-Alava, Jorge/GZA-8759-2022; Vaca-Cardenas, Leticia/L-6207-2017</t>
  </si>
  <si>
    <t>Vaca-Cardenas, Leticia/0000-0002-5297-6676; Parraga-Alava, Jorge/0000-0001-8558-9122</t>
  </si>
  <si>
    <t>2352-3409</t>
  </si>
  <si>
    <t>10.1016/j.dib.2020.106693</t>
  </si>
  <si>
    <t>WOS:000617525400079</t>
  </si>
  <si>
    <t>Proaño-Ríos, V; González-Ibáñez, R</t>
  </si>
  <si>
    <t>Proano-Rios, Veronica; Gonzalez-Ibanez, Roberto</t>
  </si>
  <si>
    <t>Dataset of Search Results Organized as Learning Paths Recommended by Experts to Support Search as Learning</t>
  </si>
  <si>
    <t>DATA</t>
  </si>
  <si>
    <t>In this article, we introduce a dataset of curated learning paths (LPs) to support search as learning. LPs were obtained through an online survey delivered to experts in different domains. Data were then analyzed and described in terms of a set of variables. The resulting dataset comprised 83 LPs, each containing three web pages, for an overall collection consisting of 249 documents. The dataset is intended to provide information scientists, education researchers, and industry professionals, who provide information services in educational contexts, a valuable resource to (i) investigate patterns in the order of LPs, (ii) improve ranking models and/or re-ranking methods, (iii) explain the structure of the recommended LPs, and (iv) investigate alternative approaches to display search results based on the features of LPs. Dataset: The dataset is available on the Mendeley Data repository. Doi: http://dx.doi.org/10.17632/nvk6p4xp5c.1. Dataset License: The license under which the dataset is made available is CC-BY 4.0.</t>
  </si>
  <si>
    <t>Proano-Rios, Veronica/0000-0001-8993-7489</t>
  </si>
  <si>
    <t>2306-5729</t>
  </si>
  <si>
    <t>10.3390/data5040092</t>
  </si>
  <si>
    <t>WOS:000601538700001</t>
  </si>
  <si>
    <t>Gambera, LR; Lizama, C; Prokopczyk, A</t>
  </si>
  <si>
    <t>Gambera, Laura R.; Lizama, Carlos; Prokopczyk, Andrea</t>
  </si>
  <si>
    <t>Well-posedness for the abstract Blackstock-Crighton-Westervelt equation</t>
  </si>
  <si>
    <t>In this paper, an abstract degenerate hyperbolic equation is considered that includes the semilinear Blackstock-Crighton-Westervelt equation. By proposing a new approach based on strongly continuous semigroups and resolvent families of operators, we prove an explicit representation of the strong and mild solutions for the linearized model by means of a kind of variation of parameters formula. Moreover, we show that under nonlocal initial conditions, the existence of a mild solution of the semilinear equation can be established.</t>
  </si>
  <si>
    <t>Arita, Andréa/U-9223-2017; Lizama, Carlos/E-5909-2011</t>
  </si>
  <si>
    <t>Lizama, Carlos/0000-0002-9807-1100; Prokopczyk Arita, Andrea Cristina/0000-0001-5112-6234</t>
  </si>
  <si>
    <t>1424-3202</t>
  </si>
  <si>
    <t>10.1007/s00028-020-00580-3</t>
  </si>
  <si>
    <t>MAY 2020</t>
  </si>
  <si>
    <t>WOS:000531743000001</t>
  </si>
  <si>
    <t>Pino-Cortés, E; Montalvo, S; Huiliñir, C; Cubillos, F; Gacitúa, J</t>
  </si>
  <si>
    <t>Pino-Cortes, Ernesto; Montalvo, Silvio; Huilinir, Cesar; Cubillos, Francisco; Gacitua, Juan</t>
  </si>
  <si>
    <t>Characteristics and Treatment of Wastewater from the Mercaptan Oxidation Process: A Comprehensive Review</t>
  </si>
  <si>
    <t>Sulfur compounds are removed from petroleum by the addition of sodium hydroxide at a very high concentration. As a result, a residue called spent soda or spent caustic is generated, being extremely aggressive to the environment. In this work, the chemical properties of this residue are described in detail. The sodium hydroxide remains that have not reacted, sulfur compounds, and organic matter are the primary pollutants reported. Additionally, the main characteristics of the methods of treatment used to reduce them are described. This review comes from comprehensive and updated research and bibliographic analysis about the investigation on the topic. The advantages and disadvantages of the different treatment methods are highlighted. We established some criteria to set out when assessing the application of each one of these treatments is considered.</t>
  </si>
  <si>
    <t>Huilinir, Cesar/IYS-6899-2023; Cortés, Ernesto/Z-2777-2019</t>
  </si>
  <si>
    <t>Huilinir, Cesar/0000-0002-3487-684X; Pino-Cortes, Ernesto/0000-0001-5133-2812</t>
  </si>
  <si>
    <t>10.3390/pr8040425</t>
  </si>
  <si>
    <t>WOS:000536891900004</t>
  </si>
  <si>
    <t>Guerrero, C; Aburto, C; Súarez, S; Vera, C; Illanes, A</t>
  </si>
  <si>
    <t>Guerrero, Cecilia; Aburto, Carla; Suarez, Sebastian; Vera, Carlos; Illanes, Andres</t>
  </si>
  <si>
    <t>Improvements in the production of Aspergillus oryzae β-galactosidase crosslinked aggregates and their use in repeated-batch synthesis of lactulose</t>
  </si>
  <si>
    <t>Aspergillus oryzae beta-galactosidase was immobilized by aggregation and crosslinking, obtaining catalysts (CLAGs) well-endowed for lactulose synthesis. Type and concentration of the precipitating agent were determinants of immobilization yield, specific activity and thermal stability. CLAGs with specific activities of 64,007, 48,374 and 44,560 IUH g(-1) were obtained using 50% v/v methanol, ethanol and propanol as precipitating agents respectively, with immobilization yields over 90%. Lactulose synthesis was conducted at 50 degrees C, pH 4.5, 50% w/w total sugars, 200 IUH g(-1) of enzyme and fructose/lactose molar ratio of 8 in batch and repeated-batch operation. Lactulose yields were 0.19 g g(-1) and 0.24 g g(-1) for fructose to lactose molar ratios of 4 mol mol(-1) and 8 mol mol(-1) while selectivities were 3.3 mol mol(-1) and 6.6 mol mol(-1) respectively for CLAGs obtained by ethanol and propanol precipitation. Based on these results, both CLAGs were selected for the synthesis in repeated-batch mode. The cumulative mass of lactulose in repeated-batch was higher with CLAGs produced by ethanol and propanol precipitation than with the free enzyme. 86 and 93 repeated-batches could have been respectively performed with those CLAGs considering a catalyst replacement criterion of 50% of residual activity, as determined by simulation. (C) 2019 Elsevier B.V. All rights reserved.</t>
  </si>
  <si>
    <t>vera, Carlos/G-5240-2019; Suárez, Sebastián/GWC-8885-2022; aburto, carla/AAY-8727-2020</t>
  </si>
  <si>
    <t>ABURTO GAJARDO, CARLA/0000-0002-8886-8642; Guerrero, Cecilia/0000-0002-4701-3525; Vera Vera, Carlos Felipe/0000-0003-2179-9467</t>
  </si>
  <si>
    <t>10.1016/j.ijbiomac.2019.09.117</t>
  </si>
  <si>
    <t>WOS:000510955500043</t>
  </si>
  <si>
    <t>Jirón, I; Soto, S; Marín, S; Acosta, M; Soto, I</t>
  </si>
  <si>
    <t>Jiron, Ivan; Soto, Susana; Marin, Sabrina; Acosta, Mauricio; Soto, Ismael</t>
  </si>
  <si>
    <t>A new DNA-based model for finite field arithmetic</t>
  </si>
  <si>
    <t>HELIYON</t>
  </si>
  <si>
    <t>A Galois field GF(p(n)) with p &gt;= 2 a prime number and n &gt;= 1 is a mathematical structure widely used in Cryptography and Error Correcting Codes Theory. In this paper, we propose a novel DNA-based model for arithmetic over GF(p(n)). Our model has three main advantages over other previously described models. First, it has a flexible implementation in the laboratory that allows the realization arithmetic calculations in parallel for p &gt;= 2, while the tile assembly and the sticker models are limited to p = 2. Second, the proposed model is less prone to error, because it is grounded on conventional Polymerase Chain Reaction (PCR) amplification and gel electrophoresis techniques. Hence, the problems associated to models such as tile-assembly and stickers, that arise when using more complex molecular techniques, such as hybridization and denaturation, are avoided. Third, it is simple to implement and requires 50 ng/mu L per DNA double fragment used to develop the calculations, since the only feature of interest is the size of the DNA double strand fragments. The efficiency of our model has execution times of order O(1) and O(n), for the addition and multiplication over GF(p(n)), respectively. Furthermore, this paper provides one of the few experimental evidences of arithmetic calculations for molecular computing and validates the technical applicability of the proposed model to perform arithmetic operations over GF(p(n)).</t>
  </si>
  <si>
    <t>JIRON, IVAN/AAG-7462-2019; MARIN, SABRINA/AAF-3736-2019; Grinok, Mauricio/AAH-7715-2021; Sánchez, Susana/HII-3113-2022</t>
  </si>
  <si>
    <t>Acosta Grinok, Mauricio/0000-0002-3091-1986; Soto, Ismael/0000-0002-5501-5651</t>
  </si>
  <si>
    <t>2405-8440</t>
  </si>
  <si>
    <t>e02901</t>
  </si>
  <si>
    <t>10.1016/j.heliyon.2019.e02901</t>
  </si>
  <si>
    <t>WOS:000504401100034</t>
  </si>
  <si>
    <t>Paucar-Caceres, A; Jerardino-Wiesenborn, B</t>
  </si>
  <si>
    <t>Paucar-Caceres, Alberto; Jerardino-Wiesenborn, Bruno</t>
  </si>
  <si>
    <t>A bridge for two views: Checkland's soft systems methodology and Maturana's ontology of the observer</t>
  </si>
  <si>
    <t>JOURNAL OF THE OPERATIONAL RESEARCH SOCIETY</t>
  </si>
  <si>
    <t>Checkland and Maturana's work aim to understand and to improve problematic situations in organisations and in our everyday life. Maturana's phenomenological onto-epistemology (we are immersed in the praxis of living in an ontological multi-universe) seems to resonate with Soft Systems Methodology (SSM) interpretivist epistemology. We argue that this concurrence makes it possible to reflect and explore some of Maturana's ideas (structural determinism/structural coupling/organisational closure) when they are grafted into the phases of the Checkland's SSM seven-step process. This article aims to complement SSM by proposing a framework in which some key concepts from Maturana's Ontology of the Observer (OoO) might enhance and expand the understanding of the SSM application process. An enriched and enhanced SSM process could have significant consequences in the Management Science/Operational Research (MS/OR) and Systems community practice. The framework proposed can have major social repercussions since it will incorporate the well-known influential OoO ideas into MS/OR practice.</t>
  </si>
  <si>
    <t>Jerardino-Wiesenborn, Bruno/AAW-6653-2020; Paucar-Cáceres, Alberto/AAA-9550-2019</t>
  </si>
  <si>
    <t>Jerardino-Wiesenborn, Bruno/0000-0001-5532-1221; Paucar-Caceres, Alberto/0000-0002-4690-561X</t>
  </si>
  <si>
    <t>0160-5682</t>
  </si>
  <si>
    <t>1476-9360</t>
  </si>
  <si>
    <t>APR 2</t>
  </si>
  <si>
    <t>10.1080/01605682.2019.1578629</t>
  </si>
  <si>
    <t>MAR 2019</t>
  </si>
  <si>
    <t>WOS:000465727800001</t>
  </si>
  <si>
    <t>Seco, GV; García, MPF; Rojas, PEL; Herrero, ET</t>
  </si>
  <si>
    <t>Vallejo Seco, Guillermo; Fernandez Garcia, Maria Paula; Livacic Rojas, Pablo Esteban; Tuero Herrero, Ellian</t>
  </si>
  <si>
    <t>Data analysis of incomplete repeated measures using a multivariate extension of the Brown-Forsythe procedure</t>
  </si>
  <si>
    <t>Background: A multivariate extension of the Brown-Forsythe (MBF) procedure can be used for the analysis of partially repeated measure designs (PRMD) when the covariance matrices are arbitrary. However, the MBF procedure requires complete data over time for each subject, which is a significant limitation of this procedure. This article provides the rules for pooling the results obtained after applying the same MBF analysis to each of the imputed datasets of a PRMD. Method: Montecarlo methods are used to evaluate the proposed solution (MI-MBF), in terms of control of Type I and Type II errors. For comparative purposes, the MBF analysis based on the complete original dataset (OD-MBF) and the covariance pattern model based on an unstructured matrix (CPM-UN) were studied. Results: Robustness and power results showed that the MI-MBF method performed slightly worse than tests based on CPM-UN when the homogeneity assumption was met, but slightly better when that assumption was not met. We also note that without assuming equality of covariance matrices, little power was sacrificed by using the MI-MBF method in place of the OD-MBF method. Conclusions: The results of this study suggest that the MI-MBF method performs well and could be of practical use.</t>
  </si>
  <si>
    <t>Herrero, Ellián/AAA-4397-2019; Vallejo, Guillermo/B-8233-2011; Fernandez, Paula/I-1881-2015</t>
  </si>
  <si>
    <t>10.7334/psicothema2018.192</t>
  </si>
  <si>
    <t>WOS:000447955000013</t>
  </si>
  <si>
    <t>Gertner, P; Huiliñir, C; Pinto-Villegas, P; Castillo, A; Montalvo, S; Guerrero, L</t>
  </si>
  <si>
    <t>Gertner, Pablo; Huilinir, Cesar; Pinto-Villegas, Paula; Castillo, Alejandra; Montalvo, Silvio; Guerrero, Lorna</t>
  </si>
  <si>
    <t>A new model for including the effect of fly ash on biochemical methane potential</t>
  </si>
  <si>
    <t>WASTE MANAGEMENT</t>
  </si>
  <si>
    <t>The modelling of the effect of trace elements on anaerobic digestion, and specifically the effect of fly ash, has been scarcely studied. Thus, the present work was aimed at the development of a new function that allows accumulated methane models to predict the effect of FA on the volume of methane accumulation. For this, purpose five fly ash concentrations (10, 25, 50, 250 and 500 mg/L) using raw and pre-treated sewage sludge were used to calibrate the new function, while three fly ash concentrations were used (40, 150 and 350 mg/L) for validation. Three models for accumulated methane volume (the modified Gompertz equation, the logistic function, and the transfer function) were evaluated. The results showed that methane production increased in the presence of FA when the sewage sludge was not pre-treated, while with pretreated sludge there is inhibition of methane production at FA concentrations higher than 50 mg/L. In the calibration of the proposed function, it fits well with the experimental data under all the conditions, including the inhibition and stimulating zones, with the values of the parameters of the methane production models falling in the range of those reported in the literature. For validation experiments, the model succeeded in representing the behavior of new experiments in both the stimulating and inhibiting zones, with NRMSE and R-2 ranging from 0.3577 to 0.03714 and 0.2209 to 0.9911, respectively. Thus, the proposed model is robust and valid for the studied conditions. (C) 2017 Elsevier Ltd. All rights reserved.</t>
  </si>
  <si>
    <t>0956-053X</t>
  </si>
  <si>
    <t>10.1016/j.wasman.2017.07.005</t>
  </si>
  <si>
    <t>WOS:000413126300025</t>
  </si>
  <si>
    <t>Guerrero, C; Vera, C; Serna, N; Illanes, A</t>
  </si>
  <si>
    <t>Guerrero, Cecilia; Vera, Carlos; Serna, Nestor; Illanes, Andres</t>
  </si>
  <si>
    <t>Immobilization of Aspergillus oryzae β-galactosidase in an agarose matrix functionalized by four different methods and application to the synthesis of lactulose</t>
  </si>
  <si>
    <t>Aspergillus oryzae beta-galactosidase was immobilized in monofunctional glyoxyl-agarose and heterofunctional supports (amino-glyoxyl, carboxy-glyoxyl and chelate-glyoxyl agarose), for obtaining highly active and stable catalysts for lactulose synthesis. Specific activities of the amino-glyoxyl agarose, carboxy-glyoxyl agarose and chelate-glyoxyl agarose derivatives were 3676, 430 and 454 IU/g biocatalyst with half-life values at 50 degrees C of 247, 100 and 100 h respectively. Specific activities of 3490, 2559 and 1060 IU/g were obtained for fine, standard and macro agarose respectively. High immobilization yield (39.4%) and specific activity of 7700 IU/g was obtained with amino-glyoxyl-agarose as support. The highest yields of lactulose synthesis were obtained with monofunctional glyoxyl-agarose. Selectivity of lactulose synthesis was influenced by the support functionalization: glyoxyl-agarose and amino-glyoxyl-agarose derivatives retained the selectivity of the free enzyme, while selectivity with the carboxy-glyoxyl-agarose and chelate-glyoxyl-agarose derivatives was reduced, favoring the synthesis of transgalactosylated oligosaccharides over lactulose. (C) 2017 Elsevier Ltd. All rights reserved.</t>
  </si>
  <si>
    <t>Serna, Nestor/KMX-0953-2024; vera, Carlos/G-5240-2019</t>
  </si>
  <si>
    <t>Serna-Cardona, Nestor/0000-0003-1182-0170; Vera Vera, Carlos Felipe/0000-0003-2179-9467; Guerrero, Cecilia/0000-0002-4701-3525</t>
  </si>
  <si>
    <t>10.1016/j.biortech.2017.02.003</t>
  </si>
  <si>
    <t>WOS:000400867100007</t>
  </si>
  <si>
    <t>Varas, M; Fariña, A; Díaz-Pascual, F; Ortíz-Severín, J; Marcoleta, AE; Allende, ML; Santiviago, CA; Chávez, FP</t>
  </si>
  <si>
    <t>Varas, Macarena; Farina, Alonso; Diaz-Pascual, Francisco; Ortiz-Severin, Javiera; Marcoleta, Andres E.; Allende, Miguel L.; Santiviago, Carlos A.; Chavez, Francisco P.</t>
  </si>
  <si>
    <t>Live-cell imaging of Salmonella Typhimurium interaction with zebrafish larvae after injection and immersion delivery methods</t>
  </si>
  <si>
    <t>JOURNAL OF MICROBIOLOGICAL METHODS</t>
  </si>
  <si>
    <t>The zebrafish model has been used to determine the role of vertebrate innate immunity during bacterial infections. Here, we compare the in vivo immune response induced by GFP-tagged Salmonella Typhimurium inoculated by immersion and microinjection in transgenic zebrafish larvae. Our novel infection protocols in zebrafish allow live-cell imaging of Salmonella colonization. (C) 2017 Elsevier B.V. All rights reserved.</t>
  </si>
  <si>
    <t>Allende, Miguel/C-5167-2008; Caldera, Andrés/AFN-3162-2022; Chavez, Francisco/G-6264-2010; Santiviago, Carlos/N-9991-2018</t>
  </si>
  <si>
    <t>Marcoleta Caldera, Andres Esteban/0000-0003-2950-7510; Diaz-Pascual, Francisco/0000-0001-8947-682X; Chavez, Francisco/0000-0002-6838-208X; Allende, Miguel/0000-0002-2783-2152; Santiviago, Carlos/0000-0002-7043-7908</t>
  </si>
  <si>
    <t>0167-7012</t>
  </si>
  <si>
    <t>1872-8359</t>
  </si>
  <si>
    <t>10.1016/j.mimet.2017.01.020</t>
  </si>
  <si>
    <t>WOS:000397547600005</t>
  </si>
  <si>
    <t>Adasme, P; Leung, J; Soto, I</t>
  </si>
  <si>
    <t>Liberatore, F; Parlier, GH; Demange, M</t>
  </si>
  <si>
    <t>Adasme, Pablo; Leung, Janny; Soto, Ismael</t>
  </si>
  <si>
    <t>Progressive Hedging and Sample Average Approximation for the Two-stage Stochastic Traveling Salesman Problem</t>
  </si>
  <si>
    <t>PROCEEDINGS OF THE 6TH INTERNATIONAL CONFERENCE ON OPERATIONS RESEARCH AND ENTERPRISE SYSTEMS (ICORES)</t>
  </si>
  <si>
    <t>6th International Conference on Operations Research and Enterprise Systems (ICORES)</t>
  </si>
  <si>
    <t>FEB 23-25, 2017</t>
  </si>
  <si>
    <t>Porto, PORTUGAL</t>
  </si>
  <si>
    <t>In this paper, we propose an adapted version of the progressive hedging algorithm (PHA) (Rockafellar and Wets, 1991; Lokketangen and Woodruff, 1996; Watson and Woodruff, 2011) for the two-stage stochastic traveling salesman problem (STSP) introduced in (Adasme et al., 2016). Thus, we compute feasible solutions for small, medium and large size instances of the problem. Additionally, we compare the PHA method with the sample average approximation (SAA) method for all the randomly generated instances and compute statistical lower and upper bounds. For this purpose, we use the compact polynomial formulation extended from (Miller et al., 1960) in (Adasme et al., 2016) as it is the one that allows us to solve large size instances of the problem in short CPU time with CPLEX. Our preliminary numerical results show that the results obtained with the PHA algorithm are tight when compared to the optimal solutions of small and medium size instances. Moreover, we obtain significantly better feasible solutions than CPLEX for large size instances with up to 100 nodes and 10 scenarios in significantly low CPU time. Finally, the bounds obtained with SAA method provide an average reference interval for the stochastic problem.</t>
  </si>
  <si>
    <t>Adasme, Pablo/U-1735-2019; LEUNG, Janny/GMX-4666-2022; Leung, Janny/F-6838-2011</t>
  </si>
  <si>
    <t>Leung, Janny/0000-0002-9086-6056; Soto, Ismael/0000-0002-5501-5651; Adasme, Pablo/0000-0003-2500-3294</t>
  </si>
  <si>
    <t>978-989-758-218-9</t>
  </si>
  <si>
    <t>10.5220/0006241304400446</t>
  </si>
  <si>
    <t>WOS:000413254200049</t>
  </si>
  <si>
    <t>Araya, A; Jirón, I; Soto, I</t>
  </si>
  <si>
    <t>Araya, Angelo; Jiron, Ivan; Soto, Ismael</t>
  </si>
  <si>
    <t>A new key exchange algorithm over a VLC indoor channel</t>
  </si>
  <si>
    <t>2017 FIRST SOUTH AMERICAN COLLOQUIUM ON VISIBLE LIGHT COMMUNICATIONS (SACVLC)</t>
  </si>
  <si>
    <t>1st South American Colloquium on Visible Light Communications (IEEE SACVLC)</t>
  </si>
  <si>
    <t>NOV 13, 2017</t>
  </si>
  <si>
    <t>IEEE Chile Sect,Univ Santiago Chile,Telefonica Fundac,Movistar</t>
  </si>
  <si>
    <t>This paper proposes a new cryptosystem that combines Diffie-Hellman protocol implemented with hyperelliptic curves over a Galois field GF (2(n)) with Tree Parity Machine synchronization for a Visible Light Communication indoor channel. The proposed cryptosystem security focuses on overcoming a weakness of neuronal synchronization; specifically, the stimulus vector that is public, which allows an attacker to try to synchronize with one of the participants of the synchronization. Real data receptions of the Visible Light Communication channel are included. In addition, there is an improvement of 115% over a range of 100 &lt;= t(sync) &lt;= 400 of the average synchronization time t_sync, compared to the classic Tree Parity Machine synchronization.</t>
  </si>
  <si>
    <t>JIRON, IVAN/AAG-7462-2019</t>
  </si>
  <si>
    <t>978-1-5386-1782-3</t>
  </si>
  <si>
    <t>WOS:000428142700004</t>
  </si>
  <si>
    <t>Attractivity for functional Volterra integral equations of convolution type</t>
  </si>
  <si>
    <t>JOURNAL OF COMPUTATIONAL AND APPLIED MATHEMATICS</t>
  </si>
  <si>
    <t>In this paper we investigate the existence of attractive and uniformly locally attractive solutions for a functional nonlinear integral equation with a general kernel. We use methods and techniques of fixed point theorems and properties of measure of noncompactness. We extend and generalize results obtained by other authors in the context of fractional functional differential equations. (C) 2016 Elsevier B.V. All rights reserved.</t>
  </si>
  <si>
    <t>0377-0427</t>
  </si>
  <si>
    <t>1879-1778</t>
  </si>
  <si>
    <t>10.1016/j.cam.2016.01.048</t>
  </si>
  <si>
    <t>WOS:000372687400018</t>
  </si>
  <si>
    <t>Carlsson, M; Prado, H; Reyes, EG</t>
  </si>
  <si>
    <t>Carlsson, Marcus; Prado, Humberto; Reyes, Enrique G.</t>
  </si>
  <si>
    <t>Differential Equations with Infinitely Many Derivatives and the Borel Transform</t>
  </si>
  <si>
    <t>ANNALES HENRI POINCARE</t>
  </si>
  <si>
    <t>Differential equations with infinitely many derivatives, sometimes also referred to as nonlocal differential equations, appear frequently in branches of modern physics such as string theory, gravitation and cosmology. We properly interpret and solve linear equations in this class with a special focus on a solution method based on the Borel transform. This method is a far-reaching generalization of previous studies of nonlocal equations via Laplace and Fourier transforms, see for instance (Barnaby and Kamran, J High Energy Phys 02:40, 2008; Grka et al., Class Quantum Gravity 29:065017, 2012; Grka et al., Ann Henri Poincar, 14:947-966, 2013). We reconsider generalized initial value problems within the present approach and we disprove various conjectures found in modern physics literature. We illustrate various analytic phenomena that can occur with concrete examples, and we also treat efficient implementations of the theory.</t>
  </si>
  <si>
    <t>Reyes, Enrique G./0000-0001-8460-444X</t>
  </si>
  <si>
    <t>1424-0637</t>
  </si>
  <si>
    <t>1424-0661</t>
  </si>
  <si>
    <t>10.1007/s00023-015-0447-4</t>
  </si>
  <si>
    <t>WOS:000379847700004</t>
  </si>
  <si>
    <t>Uplink scheduling for joint wireless orthogonal frequency and time division multiple access networks</t>
  </si>
  <si>
    <t>6th Multidisciplinary International Scheduling Conference on Theory and Applications (MISTA)</t>
  </si>
  <si>
    <t>AUG 27-30, 2013</t>
  </si>
  <si>
    <t>Ghent, BELGIUM</t>
  </si>
  <si>
    <t>In this paper, we present a deterministic resource allocation model for a hybrid uplink wireless orthogonal frequency and time division multiple access network. Since the input data of the model may be affected by uncertainty, we further consider a stochastic formulation of the problem which we transform into an equivalent deterministic binary second-order conic program (SOCP). Subsequently, we use this binary SOCP to derive an equivalent integer linear programming formulation. The proposed models are aimed at maximizing the total bandwidth channel capacity subject to user power and sub-carrier assignment constraints while simultaneously scheduling users in time. As such, the models are best suited for non-real-time applications where sub-channel multiuser diversity can be further exploited simultaneously in frequency and time domains. Finally, in view of the large execution times required by CPLEX to solve the proposed models, we propose a variable neighborhood search metaheuristic procedure. Our numerical results show tight bounds and near optimal solutions for most of the instances when compared to the optimal solution of the problem. Moreover, we obtain better feasible solutions than CPLEX in the stochastic case. Finally, these bounds are obtained at a very low computational cost.</t>
  </si>
  <si>
    <t>10.1007/s10951-015-0442-0</t>
  </si>
  <si>
    <t>WOS:000377606100011</t>
  </si>
  <si>
    <t>Contreras, RC; Conteras, MS</t>
  </si>
  <si>
    <t>Camarero, H; Loyola, M</t>
  </si>
  <si>
    <t>Chavarria Contreras, Rafael; Sepulveda Conteras, Manuel</t>
  </si>
  <si>
    <t>Of the work cultural to the political culture during the Government of the Popular Unit (1970-1973): Historical background of the cultural management in Chile</t>
  </si>
  <si>
    <t>POLITICA Y CULTURA EN LOS SECTORES POPULARES Y DE LAS IZQUIERDAS LATINOAMERICANAS EN EL SIGLO XX</t>
  </si>
  <si>
    <t>4th International Conference in Science, Technologies and Culture</t>
  </si>
  <si>
    <t>OCT 09-12, 2015</t>
  </si>
  <si>
    <t>Univ Santiago</t>
  </si>
  <si>
    <t>978-956-8416-42-3</t>
  </si>
  <si>
    <t>WOS:000382300000007</t>
  </si>
  <si>
    <t>Molina, AGG</t>
  </si>
  <si>
    <t>Gordo Molina, Angel G.</t>
  </si>
  <si>
    <t>THE LEONESE AND CASTILIAN CHURCH IN THE REIGN OF ALFONSO VII. THE RELATIONSHIPS WITH THE CENTERS OF ECCLESIASTICAL POWER IN THE PENINSULA: SANTIAGO DE COMPOSTELA AND TOLEDO</t>
  </si>
  <si>
    <t>Huge were the political and diplomatic efforts that Emperor Alfonso VII had to deploy in order to improve relations with the episcopal hierarchy in the kingdom of Leon and Castile. The presence of Rome was established by its servants in the Iberian Peninsula, and through them the emperor's prerogatives were present in the papal city. Traditional and new elements converged in the relations between Leon and the See of St. Peter.</t>
  </si>
  <si>
    <t>WOS:000382272300010</t>
  </si>
  <si>
    <t>Miret, JM; Pujolàs, J; Thériault, N</t>
  </si>
  <si>
    <t>Miret, Josep M.; Pujolas, Jordi; Theriault, Nicolas</t>
  </si>
  <si>
    <t>Bisection for genus 2 curves with a real model</t>
  </si>
  <si>
    <t>BULLETIN OF THE BELGIAN MATHEMATICAL SOCIETY-SIMON STEVIN</t>
  </si>
  <si>
    <t>Integer multiplication in facobians of genus 2 curves over a finite field F-q is a fundamental operation for hyperelliptic curve cryptography. Algorithmically, the result of this operation is given by the very well known algorithms of Cantor. One method to reverse duplication in these cases consists in associating, to every preimage of the desired doubled divisor defined over F-q, a root in F-q of the so called bisection polynomial. We generalize this approach to genus 2 curves with two points at infinity, both in even and odd characteristics. We attach a bisection polynomial to each possible type of Mumford coordinate, we show the factorization of these in terms of Galois orbits in the set of bisections, and we compare the efficiency of our approach versus brute-force adaptations of the existing methods to our setting.</t>
  </si>
  <si>
    <t>Theriault, Nicolas/W-7831-2019; Miret, Josep/K-9274-2017; Pujolàs, Jordi/T-1264-2019; Pujolas, Jordi/E-8688-2011</t>
  </si>
  <si>
    <t>Pujolas, Jordi/0000-0002-1192-8192</t>
  </si>
  <si>
    <t>1370-1444</t>
  </si>
  <si>
    <t>2034-1970</t>
  </si>
  <si>
    <t>10.36045/bbms/1447856061</t>
  </si>
  <si>
    <t>WOS:000367703100005</t>
  </si>
  <si>
    <t>Eugenin, J; Beltrán-Castillo, S; Llona, I; Zúñiga, G; von Bernhardi, R</t>
  </si>
  <si>
    <t>Eugenin, J.; Beltran-Castillo, S.; Llona, I.; Zuniga, G.; von Bernhardi, R.</t>
  </si>
  <si>
    <t>D-serine acting on raphe nucleus and ventral respiratory column can mediate respiratory responses induced by hypercapnia in neonatal mice</t>
  </si>
  <si>
    <t>GLIA</t>
  </si>
  <si>
    <t>12th European Meeting on Glial Cell Function in Health and Disease</t>
  </si>
  <si>
    <t>JUL 15-18, 2015</t>
  </si>
  <si>
    <t>Bilbao, SPAIN</t>
  </si>
  <si>
    <t>von Bernhardi, Rommy/IAO-3764-2023; Beltran Castillo, Sebastian/AAT-2028-2021</t>
  </si>
  <si>
    <t>0894-1491</t>
  </si>
  <si>
    <t>1098-1136</t>
  </si>
  <si>
    <t>T08-06A</t>
  </si>
  <si>
    <t>E204</t>
  </si>
  <si>
    <t>E205</t>
  </si>
  <si>
    <t>WOS:000356386700352</t>
  </si>
  <si>
    <t>Matsuhiro, B; Barahona, T; Encinas, MV; Mansilla, A; Ortiz, JA</t>
  </si>
  <si>
    <t>Matsuhiro, Betty; Barahona, Tamara; Encinas, Maria V.; Mansilla, Andres; Ortiz, Jonathan A.</t>
  </si>
  <si>
    <t>Sulfation of agarose from subantarctic Ahnfeltia plicata (Ahnfeltiales, Rhodophyta): studies of its antioxidant and anticoagulant properties in vitro and its copolymerization with acrylamide</t>
  </si>
  <si>
    <t>JOURNAL OF APPLIED PHYCOLOGY</t>
  </si>
  <si>
    <t>Aqueous extraction of Ahnfeltia plicata collected in the Magellan ecoregion afforded agarose devoid of sulfate groups. This neutral agarose was subjected to sulfation with SO3-pyridine complex, giving an aqueous soluble derivative with 35.5 % sulfate groups. Analysis by Fourier transform infrared spectroscopy (FT-IR) and by H-1 and C-13 NMR spectroscopy indicated that this derivative was sulfated at positions C-6 of the beta-galactopyranosyl residue and C-2 of the alpha-3,6-anhydrogalactopyranosyl residue and partially sulfated at position C-2 of the beta residue. The antioxidant capacity of sulfated agarose was evaluated by the oxygen radical absorbance capacity (ORAC) method, ABTS radical cation, hydroxyl radicals, and chelating assays. This capacity of sulfated agarose toward peroxyl radicals was higher than that of commercial lambda-carrageenan, while native agarose presented good activity, with an ORAC value similar to that of commercial kappa-carrageenan. Sulfated agarose presented good antioxidant capacity toward other radicals. Copolymerization of sulfated agarose with acrylamide was achieved using ceric ammonium nitrate as initiator. NMR spectroscopy indicated grafting of polyacrylamide at position C-4 of beta-galactopyranosyl residues.</t>
  </si>
  <si>
    <t>Ortiz, J. Andrés/R-4060-2019; Encinas, Maria/L-9686-2014</t>
  </si>
  <si>
    <t>Mansilla, Andres/0000-0003-3505-7018; Ortiz, J. Andres/0000-0002-3142-9470</t>
  </si>
  <si>
    <t>0921-8971</t>
  </si>
  <si>
    <t>1573-5176</t>
  </si>
  <si>
    <t>10.1007/s10811-014-0297-3</t>
  </si>
  <si>
    <t>WOS:000343998400009</t>
  </si>
  <si>
    <t>Araya, R</t>
  </si>
  <si>
    <t>Guerrero, MA; Marquez-Ramirez, M</t>
  </si>
  <si>
    <t>Araya, Rodrigo</t>
  </si>
  <si>
    <t>The Global Notion of Journalism: A Hindrance to the Democratization of the Public Space in Chile</t>
  </si>
  <si>
    <t>MEDIA SYSTEMS AND COMMUNICATION POLICIES IN LATIN AMERICA</t>
  </si>
  <si>
    <t>Palgrave Global Media Policy and Business</t>
  </si>
  <si>
    <t>978-1-137-40905-8; 978-1-137-40904-1</t>
  </si>
  <si>
    <t>10.1057/9781137409058</t>
  </si>
  <si>
    <t>WOS:000346496300016</t>
  </si>
  <si>
    <t>Quintero, RI; Rodriguez, F; Bruna, J; Guarda, A; Galotto, MJ</t>
  </si>
  <si>
    <t>Itzela Quintero, Rosa; Rodriguez, Francisco; Bruna, Julio; Guarda, Abel; Jose Galotto, Maria</t>
  </si>
  <si>
    <t>Cellulose Acetate Butyrate Nanocomposites with Antimicrobial Properties for Food Packaging</t>
  </si>
  <si>
    <t>PACKAGING TECHNOLOGY AND SCIENCE</t>
  </si>
  <si>
    <t>The cellulose acetate butyrate/modified motmorillonite (Cloisite20A and Cloisite30B) nanocomposites were prepared by two different solvent casting methods. All antimicrobial nanofillers were characterized using X-Ray Diffraction (XRD), Fourier Transform Infrared Spectroscopy (FTIR) and antimicrobial components (carvacrol and cinnamaldehyde) included in the nanofillers were determined by gas and HPLC chromatography. These analyses confirmed the inclusion of antimicrobial agents in organoclay. The nanocomposite films were characterized by XRD, TGA, Differential Scanning Calorimetry (DSC), Oxygen and Water Vapor Permeability, mechanical properties and antimicrobial behavior against E coli, L.innocua, S. cerevisiae. All films presented a reduction of at least 2.0 log cfu/mL when applied film nanocomposites procedure in which antimicrobial components are included in the last stage of the process and they are not previously included in the organoclay. Copyright (c) 2012 John Wiley &amp; Sons, Ltd.</t>
  </si>
  <si>
    <t>Rodríguez, Francisco/I-5283-2018; bruna, julio/AAM-6867-2021</t>
  </si>
  <si>
    <t>Bruna, Julio E./0000-0001-9656-6022; Rodriguez-Mercado, Francisco/0000-0002-0530-6653; Quintero Montenegro, Rosa/0000-0002-1342-932X</t>
  </si>
  <si>
    <t>0894-3214</t>
  </si>
  <si>
    <t>10.1002/pts.1981</t>
  </si>
  <si>
    <t>WOS:000323539400001</t>
  </si>
  <si>
    <t>Cruz, N; Palma, G; Zambrano, D; Avelino, A</t>
  </si>
  <si>
    <t>Cruz, Norman; Palma, Guillermo; Zambrano, David; Avelino, Arturo</t>
  </si>
  <si>
    <t>Interacting warm dark matter</t>
  </si>
  <si>
    <t>JOURNAL OF COSMOLOGY AND ASTROPARTICLE PHYSICS</t>
  </si>
  <si>
    <t>We explore a cosmological model composed by a dark matter fluid interacting with a dark energy fluid. The interaction term has the non-linear lambda rho(alpha)(m)rho(beta)(e) form, where rho(m) and rho(e) are the energy densities of the dark matter and dark energy, respectively. The parameters alpha and beta are in principle not constrained to take any particular values, and were estimated from observations. We perform an analytical study of the evolution equations, finding the fixed points and their stability properties in order to characterize suitable physical regions in the phase space of the dark matter and dark energy densities. The constants (lambda, alpha, beta) as well as omega(m) and omega(e) of the EoS of dark matter and dark energy respectively, were estimated using the cosmological observations of the type Ia supernovae and the Hubble expansion rate H(z) data sets. We find that the best estimated values for the free parameters of the model correspond to a warm dark matter interacting with a phantom dark energy component, with a well goodness-of-fit to data. However, using the Bayesian Information Criterion (BIC) we find that this model is overcame by a warm dark matter - phantom dark energy model without interaction, as well as by the Lambda CDM model. We find also a large dispersion on the best estimated values of the (lambda, alpha, beta) parameters, so even if we are not able to set strong constraints on their values, given the goodness-of-fit to data of the model, we find that a large variety of theirs values are well compatible with the observational data used.</t>
  </si>
  <si>
    <t>Zambrano, David/AHA-0029-2022</t>
  </si>
  <si>
    <t>Zambrano, David/0000-0003-2772-1169</t>
  </si>
  <si>
    <t>1475-7516</t>
  </si>
  <si>
    <t>10.1088/1475-7516/2013/05/034</t>
  </si>
  <si>
    <t>WOS:000320161400036</t>
  </si>
  <si>
    <t>Soto, GE; Vergara, PM; Hahn, IJ; Pérez-Hernández, CG; Lizama, ME; Baumeister, J; Pizarro, J</t>
  </si>
  <si>
    <t>Soto, Gerardo E.; Vergara, Pablo M.; Hahn, Ingo J.; Perez-Hernandez, Christian G.; Lizama, Marlene E.; Baumeister, Julia; Pizarro, Jaime</t>
  </si>
  <si>
    <t>First description of the micro-habitat selection pattern of the island endemic Juan Fernandez Tit-tyrant</t>
  </si>
  <si>
    <t>GAYANA</t>
  </si>
  <si>
    <t>The level of specialization of endemic island birds to their native habitats could contribute importantly to increase their extinction risk. We used abundance obtained from mist-netting and radio telemetry data from one individual to determine the micro-habitat use pattern of Juan Fernandez Tit-tyrants (Anairetes fernandezianus) within native forest. The tracked male tit-tyrant established its home range exclusively in core native forest areas. Regression models of abundance and Resource Utilization Functions showed strong micro-habitat preferences of tit-tyrants. The abundance and utilization probabilities of tit-tyrants declined with distance to exotic shrub and increased with distance to human created gaps. Natural heterogeneity in micro-habitat conditions also affected the micro-habitat selection pattern, with use probabilities and abundance increasing with proximity to the humid sites dominated by Gunnera peltata. These findings demonstrate that tit-tyrants do not use native forest sites at random. Therefore, the conservation and recovery of the declining tit-tyrant population could be improved by incorporating such micro-habitat preferences in habitat management programs.</t>
  </si>
  <si>
    <t>Soto, Gerardo/JAX-4165-2023; Vergara, Pablo/F-2519-2010</t>
  </si>
  <si>
    <t>0717-6538</t>
  </si>
  <si>
    <t>10.4067/S0717-65382013000100001</t>
  </si>
  <si>
    <t>WOS:000326002500001</t>
  </si>
  <si>
    <t>Vildósola, X; Pastene, R</t>
  </si>
  <si>
    <t>Vildosola, X.; Pastene, R.</t>
  </si>
  <si>
    <t>EXPLORING FIRST YEAR UNIVERSITY STUDENTS' ATTITUDE ABOUT SCIENCE, TECHNOLOGY AND SOCIETY RELATION. A CASE TWO PUBLIC CHILEAN UNIVERSITIES</t>
  </si>
  <si>
    <t>EDULEARN13: 5TH INTERNATIONAL CONFERENCE ON EDUCATION AND NEW LEARNING TECHNOLOGIES</t>
  </si>
  <si>
    <t>EDULEARN Proceedings</t>
  </si>
  <si>
    <t>5th International Conference on Education and New Learning Technologies (EDULEARN)</t>
  </si>
  <si>
    <t>JUL 01-03, 2013</t>
  </si>
  <si>
    <t>At the XXI century science and technology (S&amp;T) have substantial contributions to development of society. This study it's centered in determine first year university students' attitude about science, technology and society relation. With qualitative approach with open question about social responsibility as students' of S&amp;T analyzed attitude of 221 first year students' of science and technologies careers from two public Chilean universities. About the results, in qualitative analysis the students' responses emphasized in trend of S&amp;T social responsibility focused in personal and country development. First year university students' attitude showed an ambiguous attitudes reinforce with a large anthropocentric view based on naive attitudes. They considered S&amp;T but without relation and with a low sense of social responsability notion visualized in point of view based on career. A lower number of students had a social vision of science and technology contributed of first year preservice science teachers about both universities.</t>
  </si>
  <si>
    <t>2340-1117</t>
  </si>
  <si>
    <t>978-84-616-3822-2</t>
  </si>
  <si>
    <t>WOS:000346798301014</t>
  </si>
  <si>
    <t>Godoy, F; Segarra, C; Poyatos, M; Peris, E</t>
  </si>
  <si>
    <t>Godoy, Fernando; Segarra, Candela; Poyatos, Macarena; Peris, Eduardo</t>
  </si>
  <si>
    <t>Palladium Catalysts with Sulfonate-Functionalized-NHC Ligands for Suzuki-Miyaura Cross-Coupling Reactions in Water</t>
  </si>
  <si>
    <t>ORGANOMETALLICS</t>
  </si>
  <si>
    <t>Four new Pd(II) complexes containing sulfonate-functionalized N-heterocyclic carbene ligands have been synthesized. All new complexes are palladium bis-NHCs, in which the ligands adopt a monodentate, bis-chelating, and pincer coordination form, so that a good comparison between their catalytic activities can be performed. The complexes have been used in the Suzuki-Miyaura crosscoupling reaction between aryl halides and phenylboronic acid in water and in (i)PrOH/water. The bis-NHC-palladium complex 1, in which the two NHC ligands are in a relative cis configuration, affords the best catalytic outcomes, with high TON values of 10(5) for 4-bromoacetophenone and 3.7 x 10(4) for 4-chloroacetophenone.</t>
  </si>
  <si>
    <t>Peris, Eduardo/C-8608-2013; Poyatos, Macarena/K-2005-2017</t>
  </si>
  <si>
    <t>Peris, Eduardo/0000-0001-9022-2392; Poyatos, Macarena/0000-0003-2000-5231; Segarra, Candela/0000-0002-0888-9233; Godoy, Fernando/0000-0002-3916-4753</t>
  </si>
  <si>
    <t>0276-7333</t>
  </si>
  <si>
    <t>10.1021/om100960t</t>
  </si>
  <si>
    <t>WOS:000287546600006</t>
  </si>
  <si>
    <t>Aránguiz, R; Chana-Cuevas, P; Alburquerque, D; León, M</t>
  </si>
  <si>
    <t>Aranguiz, R.; Chana-Cuevas, P.; Alburquerque, D.; Leon, M.</t>
  </si>
  <si>
    <t>Focal dystonia in musicians</t>
  </si>
  <si>
    <t>NEUROLOGIA</t>
  </si>
  <si>
    <t>Introduction: A special group of focal dystonia is that known as occupational, which include dystonic disorders triggered by repetitive motor activity, closely associated with the professional activity of a specific task that the affected person performs. In this sense, musicians are a population particularly vulnerable to this disorder, which is presented during the execution of highly trained movements. Objective: This article reviews the pathophysiology of focal dystonia and its therapeutic implications. Development: The pathophysiological basis of focal dystonia in the musician is still not well established. However, due to the contribution of neurophysiological studies and functional neuroimaging, there is growing evidence of anomalies in the processing of sensory information, sensory-motor integration, cortical and subcortical inhibitory processes, which underline this disease. Clinically, it is characterised by the appearance of involuntary muscle contractions, and is associated with loss of motor control while practicing music. It is a gradual appearance and sometimes there may be a history of musculoskeletal injuries or non-physiological postures preceding the appearance of the symptoms. The neurological examination is usually normal, although subtle dystonic postures can develop spontaneously or with movements that involve the affected segments. The dystonia remains focal and is not generalised. Conclussions: Treatment is based on using multiple strategies for the management of the dystonia, with variable results. Although a specific therapy has not been defined, there are general principles that are combined in each situation looking for results. This includes, among others, pharmacological interventions, management with botulinum toxin, and sensory re-training techniques. (C) 2010 Sociedad Espanola de Neurologia. Published by Elsevier Espana, S.L. All rights reserved.</t>
  </si>
  <si>
    <t>Chana-Cuevas, Pedro/AAM-8215-2020</t>
  </si>
  <si>
    <t>0213-4853</t>
  </si>
  <si>
    <t>1578-1968</t>
  </si>
  <si>
    <t>10.1016/j.nrl.2010.09.019</t>
  </si>
  <si>
    <t>WOS:000288842900008</t>
  </si>
  <si>
    <t>PHILOSOPHY OF (FOR) THE CONQUEST. EUROCENTRISM AND COLONIALISM IN THE DISPUTE FOR THE NEW WORLD</t>
  </si>
  <si>
    <t>This paper aims to demonstrate that the discussion about the Conquest of America -known as the Philosophy of the Conquest- as well as the reflections of the most famous thinkers who participated in the debate -Juan Gilles de Sepulveda, Francisco de Vitoria and Bartolome de las Casas- can be characterized as being eurocentric and colonialist. This is the reason why it would be preferable to speak of a philosophy for the conquest instead of a philosophy of or about the conquest.</t>
  </si>
  <si>
    <t>WOS:000295347000009</t>
  </si>
  <si>
    <t>Cordova, FM; Leyton, G</t>
  </si>
  <si>
    <t>Cordova, F. M.; Leyton, G.</t>
  </si>
  <si>
    <t>A Fuzzy Control Heuristic Applied to Non-linear Dynamic System Using a Fuzzy Knowledge Representation</t>
  </si>
  <si>
    <t>INTERNATIONAL JOURNAL OF COMPUTERS COMMUNICATIONS &amp; CONTROL</t>
  </si>
  <si>
    <t>This paper presents the design of a fuzzy control heuristic that can be applied for modeling nonlinear dynamic systems using a fuzzy knowledge representation. Nonlinear dynamic systems have been modeled traditionally on the basis of connections between the subsystems that compose it. Nevertheless, this model design does not consider some of the following problems: existing dynamics between the subsystems; order and priority of the connection between subsystems; degrees of influence or causality between subsystems; particular state of each subsystem and state of the system on the basis of the combination of the diverse states of the subsystems; positive or negative influences between subsystems. In this context, the main objective of this proposal is to manage the whole system state by managing the state combination of the subsystems involved. In the proposed design the diverse states of subsystems at different levels are represented by a knowledge base matrix of fuzzy intervals (KBMFI). This type of structure is a fuzzy hypercube that provides facilities operations like: insert, delete, and switching. It also allows Boolean operations between different KBMFI and inferences. Each subsystem in a specific level and its connectors are characterized by factors with fuzzy attributes represented by membership functions. Existing measures the degree of influence among the different levels are obtained (negatives, positives). In addition, the system state is determined based on the combination of the statements of the subsystems (stable, oscillatory, attractor, chaos). It allows introducing the dynamic effects in the calculation of each output level. The control and search of knowledge patterns are made by means of a fuzzy control heuristic. Finally, an application to the co-ordination of the activities among different levels of the operation of an underground mine is developed and discussed.</t>
  </si>
  <si>
    <t>CORDOVA, FELISA/S-1093-2019</t>
  </si>
  <si>
    <t>1841-9836</t>
  </si>
  <si>
    <t>10.15837/ijccc.2010.5.2222</t>
  </si>
  <si>
    <t>WOS:000283908700007</t>
  </si>
  <si>
    <t>Vallejo, G; Fernández, MP; Tuero, E; Livacic-Rojas, PE</t>
  </si>
  <si>
    <t>Vallejo, Guillermo; Paula Fernandez, M.; Tuero, Ellian; Livacic-Rojas, Pablo E.</t>
  </si>
  <si>
    <t>Analyzing repeated measures using resampling methods.</t>
  </si>
  <si>
    <t>ANALES DE PSICOLOGIA</t>
  </si>
  <si>
    <t>This article evaluated the robustness of several approaches for analyzing repeated measures designs when the assumptions of normality and multisample sphericity are violated separately and jointly. Specifically, the authors' work compares the performance of two resampling methods, bootstrapping and permutation tests, with the performance of the usual analysis of variance (ANOVA) model and the mixed linear model procedure adjusted by the Kenward-Roger solution available in SAS PROC MIXED. The authors found that the permutation test outperformed the other three methods when normality and sphericity assumptions did not hold. In contrast, when normality and multisample sphericity assumptions were violated the results clearly revealed that the Bootstrap-F test provided generally better control of Type I error rates than the permutation test and mixed linear model approach. The execution of ANOVA approach was considerably influenced by the presence of heterogeneity and lack of sphericity but scarcely affected by the absence of normality.</t>
  </si>
  <si>
    <t>Fernandez, Paula/0000-0003-0140-7702; Vallejo, Guillermo/0000-0002-8010-6854</t>
  </si>
  <si>
    <t>0212-9728</t>
  </si>
  <si>
    <t>1695-2294</t>
  </si>
  <si>
    <t>WOS:000279157700025</t>
  </si>
  <si>
    <t>Dela Bianca, AC; Wandalsen, GF; Miyagi, K; Camargo, L; Cezarin, D; Mallol, J; Solé, D</t>
  </si>
  <si>
    <t>Dela Bianca, A. C.; Wandalsen, G. F.; Miyagi, K.; Camargo, L.; Cezarin, D.; Mallol, J.; Sole, D.</t>
  </si>
  <si>
    <t>International Study of Wheezing in Infants (EISL): Validation of Written Questionnaire for Children Aged Below 3 Years</t>
  </si>
  <si>
    <t>Background: The multicenter International Study of Wheezing in Infants (EISL) was developed to study the prevalence of recurrent wheezing and related risk factors in infants during the first year of life using a written questionnaire (EISL-WQ). Objectives. To constructively validate a modified, shortened version of the EISL-WQ in children up to 36 months of age in Sao Paulo, Brazil, and to verify its usefulness in diagnosing probable asthma in these children. Methods: The parents of 170 infants aged 12 to 36 months answered the shortened EISL-WQ in an emergency room and were asked if their child was currently wheezing before a diagnosis was made by a physician. The consistency between parent perception and the physician's diagnosis was then evaluated. A second group (n = 55) participated in the validation of the short-term repeatability of the shortened questionnaire by completing it twice (mean interval, 23 days). Results: There was good agreement between parent perception of wheezing and the physician's diagnosis following auscultation (Kappa statistic=0.7; odds ratio = 38.33; 95% confidence interval, 15.8 to 92.8; P&lt;.001),- sensitivity (82.8%), specificity (85.0%), positive predictive value (81.5%), and negative predictive value (86.0%) were all high. The short-term repeatability of the shortened version of the EISL-WQ was also high (kappa&gt;0.75). Questions added to the shortened EISL-WQ improved the internal consistency of the original questionnaire (Cronbach alpha = 0.823, P&lt;.001) and a high Youden index was found for patients defined as probable asthmatics. Conclusions: The shortened version of the EISL-WQ translated into Portuguese has high internal consistency, and is a valid, reliable, and reproducible instrument for obtaining data on wheezing in children below 36 months of age and for identifying those with probable asthma.</t>
  </si>
  <si>
    <t>Solé, Dirceu/JAO-0340-2023; Wandalsen, Gustavo/D-8412-2013</t>
  </si>
  <si>
    <t>WOS:000263743200006</t>
  </si>
  <si>
    <t>Dantas, LMF; dos Reis, AP; Tanaka, SMCN; Zagal, JH; Chen, YY; Tanaka, AA</t>
  </si>
  <si>
    <t>Dantas, Luiza M. F.; dos Reis, Alaecio P.; Tanaka, Sonia Maria C. N.; Zagal, Jose H.; Chen, Yo-Ying; Tanaka, Auro A.</t>
  </si>
  <si>
    <t>Electrocatalytic oxidation of hydrazine in alkaline media promoted by iron tetrapyridinoporphyrazine adsorbed on graphite surface</t>
  </si>
  <si>
    <t>16th Brazillian Symposium of Electrochemistry and Electroanalytical Chemistry</t>
  </si>
  <si>
    <t>APR 15-19, 2007</t>
  </si>
  <si>
    <t>Aguas de Lindoia, BRAZIL</t>
  </si>
  <si>
    <t>The electrocatalytic oxidation of hydrazine was studied using an ordinary pyrolytic graphite electrode modified with iron tetrapyridinoporphyrazine complex (FeTPyPz), employing cyclic voltammetry and rotating disk electrode techniques. Analyses of the voltammograms recorded at different potential scan rates and the polarization curves at different electrode rotation rates showed that the reaction of electrooxidation of hydrazine on FeTPyPz occurs via 4-electrons with the formation of N-2 as main product. The kinetic parameters suggest that the second electron transfer step is rate controlling. The activity of FeTPyPz depends on its Fe(II)/Fe(I) formal potential and fits well in a volcano plot that includes several iron phthalocyanines, indicating that such formal potential is a good reactivity index for these complexes.</t>
  </si>
  <si>
    <t>zagal, jose/L-9648-2014; Dantas, Luiza/AAK-1006-2021; Tanaka, Auro/G-5365-2016</t>
  </si>
  <si>
    <t>Dantas, Luiza/0000-0002-2805-9253; Tanaka, Auro/0000-0003-4386-4071</t>
  </si>
  <si>
    <t>10.1590/S0103-50532008000400016</t>
  </si>
  <si>
    <t>WOS:000256957100015</t>
  </si>
  <si>
    <t>Horvathy, PA; Plyushchay, MS; Valenzuela, M</t>
  </si>
  <si>
    <t>Bosonized supersymmetry from the Majorana-Dirac-Staunton theory and massive higher-spin fields</t>
  </si>
  <si>
    <t>We propose a (3+1)D linear set of covariant vector equations, which unify the spin-0 new Dirac equation with its spin-1/2 counterpart, proposed by Staunton. Our equations describe a spin-(0,1/2) supermultiplet with different numbers of degrees of freedom in the bosonic and fermionic sectors. The translation-invariant spin degrees of freedom are carried by two copies of the Heisenberg algebra. This allows us to realize space-time supersymmetry in a bosonized form. The grading structure is provided by an internal reflection operator. Then the construction is generalized by means of the Majorana equation to a supersymmetric theory of massive higher-spin particles. The resulting theory is characterized by a nonlinear symmetry superalgebra, that, in the large-spin limit, reduces to the super-Poincare algebra with or without tensorial central charge.</t>
  </si>
  <si>
    <t>10.1103/PhysRevD.77.025017</t>
  </si>
  <si>
    <t>WOS:000252864000117</t>
  </si>
  <si>
    <t>León-Huerta, A; Martinez, A; Rayas, JA; Cordero, R</t>
  </si>
  <si>
    <t>Schmit, J; Creath, K; Towers, CE</t>
  </si>
  <si>
    <t>Leon-Huerta, Andrea; Martinez, Amalia; Rayas, Juan Antonio; Cordero, Raul</t>
  </si>
  <si>
    <t>Dynamic measurement of strain in test specimen by fringe projection</t>
  </si>
  <si>
    <t>INTERFEROMETRY XIV: TECHNIQUES AND ANALYSIS</t>
  </si>
  <si>
    <t>Conference on Interferometry XIV - Techiques and Analysis</t>
  </si>
  <si>
    <t>AUG 11-13, 2008</t>
  </si>
  <si>
    <t>We use the projected fringes technique to follow the changes induced in the topography of metallic sample sheets subjected to uniaxial tensile tests. Since in-plane strains are associated with out-of-plane deformations, the monitoring of thickness variation of the tensile specimens can be used to detect necking and shear band formation. A sequence of images of the fringe pattern was captured and processed by means of the Fourier transform technique. We measured the material behavior in the elastic and plastic zones during its elongation until fracture took place. We present experimental results for stainless and hot rolled steel sheets.</t>
  </si>
  <si>
    <t>Cordero, Raul/M-7979-2017; Rayas, Juan/CAG-8266-2022</t>
  </si>
  <si>
    <t>Rayas, Juan Antonio/0000-0001-6809-2368</t>
  </si>
  <si>
    <t>978-0-8194-7283-0</t>
  </si>
  <si>
    <t>70631E</t>
  </si>
  <si>
    <t>10.1117/12.798278</t>
  </si>
  <si>
    <t>WOS:000262082100049</t>
  </si>
  <si>
    <t>Fernández, P; Livacic-Rojas, P; Vallejo, G</t>
  </si>
  <si>
    <t>Fernandez, Paula; Livacic-Rojas, Pablo; Vallejo, Guillermo</t>
  </si>
  <si>
    <t>How to elect the best statistical analysis for to analyze a repeated measures design</t>
  </si>
  <si>
    <t>INTERNATIONAL JOURNAL OF CLINICAL AND HEALTH PSYCHOLOGY</t>
  </si>
  <si>
    <t>The power and robustness of the statistical procedures for the analysis of the repeated measures designs' effects are sensitive to the not satisfaction of the analysis assumptions, especially, the assumption of sphericity and homogeneity of the covariance matrices. Unfortunately, the violation of these assumptions is habitual in the data of the educational and psychological applied research. In this theoretical study we examined the performance of the several statistics procedures with regard to the Type I error and the power obtained for several authors through Monte Carlo methods. As well a Monte Carlo investigation was conduced ad hoc for exemplify the quantity of the Type I error in the within-subject effects in a split-plot repeated measures design. Examinee all previous we advise that different methods of analysis are appropriate in different situations and we conclude bringing recommendations for the analysis of these designs in order of the violation or not of the derivational assumptions.</t>
  </si>
  <si>
    <t>Guillermo, Vallejo/0000-0001-6569-9279; Vallejo, Guillermo/0000-0002-8010-6854; Fernandez, Paula/0000-0003-0140-7702</t>
  </si>
  <si>
    <t>1697-2600</t>
  </si>
  <si>
    <t>1576-7329</t>
  </si>
  <si>
    <t>WOS:000243484100011</t>
  </si>
  <si>
    <t>On drawbody shapes: From Bergmark-Roos to kinematic models</t>
  </si>
  <si>
    <t>The geometrical locus defined by the initial location of the fragments that are recovered from an extraction point in underground mining, after a given operation, is commonly named drawbody. A brief review of drawbody shapes in flat-bottomed hoppers is proposed. The Bergmark-Roos hypothesis is discussed and it is shown that when the continuity equation is considered, particle density increases with time and when moving toward the hopper aperture. Drawbody shapes are calculated for flows predicted from a plasticity approach, as well as from a kinematic model. Applications to complex configurations in which the flow is produced by two drawpoints, either in simultaneous or sequential extractions, are discussed in some detail. In particular, the extracted zone is calculated exactly and its dependence on distance between drawpoints is investigated. The knowledge of such locus should prove valuable when optimizing ore recovery in mining processes. (c) 2006 Published by Elsevier Ltd.</t>
  </si>
  <si>
    <t>10.1016/j.ijrmms.2006.04.010</t>
  </si>
  <si>
    <t>WOS:000242318400005</t>
  </si>
  <si>
    <t>Labarca, R; Moreira, CG</t>
  </si>
  <si>
    <t>Labarca, Rafael; Moreira, Carlos Gustavo</t>
  </si>
  <si>
    <t>Essential Dynamics for Lorenz maps on the real line and the Lexicographical World</t>
  </si>
  <si>
    <t>ANNALES DE L INSTITUT HENRI POINCARE-ANALYSE NON LINEAIRE</t>
  </si>
  <si>
    <t>In this paper we describe some topological and geometric properties of the set of sequences LW = {(a, b) is an element of Sigma(0) x Sigma(1) a &lt;= sigma(n) (a) &lt;= b, a &lt;= sigma(n) (b) &lt;= b, for all n is an element of N}, which essentially represents all the allowed dynamics for piecewise continuous increasing maps with one discontinuity. In particular, we describe the first main bifurcations in LW which generate non-trivial dynamics, and we study (fractal) geometric properties of LW and of the phase spaces Sigma(a,b) associated to it. (c) 2005 Elsevier SAS. All rights reserved.</t>
  </si>
  <si>
    <t>0294-1449</t>
  </si>
  <si>
    <t>10.1016/j.anihpc.2005.09.001</t>
  </si>
  <si>
    <t>WOS:000241131100005</t>
  </si>
  <si>
    <t>Navarro, P; Vargas, C; Alonso, M; Alguacil, FJ</t>
  </si>
  <si>
    <t>Navarro, P.; Vargas, C.; Alonso, M.; Alguacil, F. J.</t>
  </si>
  <si>
    <t>The adsorption of gold on activated carbon from thiosulfate-ammoniacal solutions</t>
  </si>
  <si>
    <t>GOLD BULLETIN</t>
  </si>
  <si>
    <t>The adsorption of gold on activated carbon in ammoniacal thiosulfate solution was studied. The variables affecting the adsorption of gold on the carbon included, among others, temperature, concentrations of ammonium hydroxide and thiosulfate, and those of accompanying cations and anions. The apparent activation energy for the adsorption process was estimated to be 19.4 kJ/mol, and this value indicates that the gold adsorption is film diffusion-controlled. It was also found that the rate of initial adsorption rate was fast, when compared to that of the overall adsorption process.</t>
  </si>
  <si>
    <t>Vargas, Cristian/0000-0002-7360-6201; alguacil, francisco jose/0000-0002-0247-3384</t>
  </si>
  <si>
    <t>0017-1557</t>
  </si>
  <si>
    <t>10.1007/BF03215535</t>
  </si>
  <si>
    <t>WOS:000241086600002</t>
  </si>
  <si>
    <t>Olmos, C; Morales, B; Zeise, M; Pancetti, F</t>
  </si>
  <si>
    <t>Sub-acute exposure to dichlorvos favors long-term potentiation trhough a mechanism that involves ▭7 nicotinic receptors and acyleptide hydrolase inhibition</t>
  </si>
  <si>
    <t>Pancetti, Floria/A-2491-2013</t>
  </si>
  <si>
    <t>A32</t>
  </si>
  <si>
    <t>WOS:000233996200106</t>
  </si>
  <si>
    <t>Mery, D; Chacón, M; González, L; Muñoz, L</t>
  </si>
  <si>
    <t>Automated testing of aluminum castings using classifier fusion strategies</t>
  </si>
  <si>
    <t>MATERIALS EVALUATION</t>
  </si>
  <si>
    <t>Generally, discontinuity detection in automated visual testing consists of two steps: identification of potential discontinuities using image processing techniques and classification of potential discontinuities into discontinuities and regular structures (false alarms) using a pattern recognition methodology. In the second step, since several features cyan be extracted from the potential discontinuities, a feature selection must be performed. In this paper, several known classifiers are studied in automated visual testing: threshold, euclidean, mahalanobis, polynomial, support vector machine and neural network classifiers. First, the performance of the classifiers is assessed individually. Second, the classifiers are combined in order to improve their performance. Seven fusion strategies in the combination were tested: and, or, majority vote, product, sum, maximum and median. The proposed methodology was tested on real data acquired from 50 noisy radiographic images of aluminum wheels, where 23 000 potential discontinuities (with only 60 real discontinuities) were segmented and 405 features were extracted for each potential discontinuity. Using fusion of classifiers, a very good performance was achieved, yielding a sensitivity of 100% and specificity of 99.97%.</t>
  </si>
  <si>
    <t>Mery, Domingo/D-1385-2014</t>
  </si>
  <si>
    <t>0025-5327</t>
  </si>
  <si>
    <t>WOS:000226762100005</t>
  </si>
  <si>
    <t>Cruchaga, M; Celentano, D; Tezduyar, T</t>
  </si>
  <si>
    <t>Computation of mould filling processes with a moving Lagrangian interface technique</t>
  </si>
  <si>
    <t>COMMUNICATIONS IN NUMERICAL METHODS IN ENGINEERING</t>
  </si>
  <si>
    <t>Computation of non-isothermal flow problems involving moving interfaces is presented. A Lagrangian interface technique, defined in the context of a fixed-mesh finite element formulation for incompressible flows, is employed to update the interface position. A global mass-corrector algorithm is used to accurately enforce the global mass conservation. The Navier-Stokes equations are solved with an improved sub-element integration technique to more accurately account for sudden changes in the fluid properties across the interface. The method described is applied to two mould filling problems. Copyright (C) 2002 John Wiley Sons, Ltd.</t>
  </si>
  <si>
    <t>Celentano, Diego/JQW-5027-2023; Cruchaga, Marcela/M-7522-2014; Tezduyar, Tayfun/F-6134-2012</t>
  </si>
  <si>
    <t>Cruchaga, Marcela/0000-0002-8708-2402; Tezduyar, Tayfun/0000-0001-8707-3162</t>
  </si>
  <si>
    <t>1069-8299</t>
  </si>
  <si>
    <t>10.1002/cnm.506</t>
  </si>
  <si>
    <t>WOS:000177032800003</t>
  </si>
  <si>
    <t>Edwards, AM; Ruiz, M; Silva, E; Lissi, E</t>
  </si>
  <si>
    <t>Lysozyme modification by the Fenton reaction and gamma radiation</t>
  </si>
  <si>
    <t>FREE RADICAL RESEARCH</t>
  </si>
  <si>
    <t>A comparative study was performed on lysozyme modification after exposure to Fenton reagent (Fe(E)/H2O2) or hydroxyl radicals produced by gamma radiation. The conditions were adjusted to obtain, with both systems, a 50% loss of activity of the modified ensemble. gamma radiation modified almost all types of amino acid residues in the enzyme, with little specificity. The modification order was Tyr &gt;Met = Cys &gt; Lys &gt; Ile + Leu &gt; Gly &gt; Pro = Phe &gt; Thr + Ala &gt; Trp = Ser &gt; Arg &gt; Asp + Glu, with 42 mol of modified residues per initial mole of native enzyme. In contrast, when the enzyme was exposed to the Fenton reaction, only some types of amino acids were modified. Furthermore, a smaller number of residues (13.5) were damaged per initial mole of enzyme. The order of the modified residues was Tyr &gt; Cys &gt; Trp &gt; Met &gt; His &gt; Ile + Leu &gt; Val &gt; Arg. These results demonstrate that the modifications elicited by these two free radical sources follow different mechanisms. An intramolecular free radical chain reaction is proposed to play a dominant role in the oxidative modification of the protein promoted by gamma radiation.</t>
  </si>
  <si>
    <t>Edwards-Mujica, Ana M./0000-0002-4637-1013</t>
  </si>
  <si>
    <t>1071-5762</t>
  </si>
  <si>
    <t>10.1080/10715760290019291</t>
  </si>
  <si>
    <t>WOS:000174725300006</t>
  </si>
  <si>
    <t>Morales, B; Barrera, N; Villalón, M</t>
  </si>
  <si>
    <t>Synergism on ciliary activity induced by ATP and adenosine depends on a reciprocal modulation of their transduction pathways</t>
  </si>
  <si>
    <t>BIOPHYSICAL JOURNAL</t>
  </si>
  <si>
    <t>0006-3495</t>
  </si>
  <si>
    <t>221A</t>
  </si>
  <si>
    <t>222A</t>
  </si>
  <si>
    <t>WOS:000173252701089</t>
  </si>
  <si>
    <t>Karsulovic, JT; León, LA; Gaete, L</t>
  </si>
  <si>
    <t>Ultrasonic detection of knots and annual ring orientation in Pinus radiata lumber</t>
  </si>
  <si>
    <t>WOOD AND FIBER SCIENCE</t>
  </si>
  <si>
    <t>An ultrasonic defect detection system for radiata pine lumber based on 0.5 Mhz sound transmission through wood was tested. The feasibility of detecting knots, grain deviation, and growth ring angle with this system was investigated as well. The knot material, area of knot influence, and growth ring angle were significantly correlated to wave velocity. The ultrasonic scanning showed good agreement with visual prediction.</t>
  </si>
  <si>
    <t>0735-6161</t>
  </si>
  <si>
    <t>WOS:000088163900003</t>
  </si>
  <si>
    <t>Castro, M; Kramer, K; Lorena, L; Ortiz, S; Benavente, J; Castillo, A</t>
  </si>
  <si>
    <t>A new double-stranded RNA mycovirus from Botrytis cinerea</t>
  </si>
  <si>
    <t>FEMS MICROBIOLOGY LETTERS</t>
  </si>
  <si>
    <t>A simple double-stranded RNA mycovirus was detected in a wild-type Botrytis cinerea 55k strain. The virus was located in the fungus cytoplasm as free particles of approximately 28 nm in diameter. The mycovirus possesses a single double-stranded genome segment of 1.8 kilobase pairs (kbp) encapsidated within an isometric protein coat whose main structural component is a polypeptide of 68 kDa. Cells infected with this virus showed an important degree of cellular degeneration. (C) 1999 Federation of European Microbiological Societies. Published by Elsevier Science B.V. All rights reserved.</t>
  </si>
  <si>
    <t>Castillo, Antonio/AAE-6832-2020; Benavente, Javier/N-6475-2016</t>
  </si>
  <si>
    <t>Benavente, Javier/0000-0003-4857-0312</t>
  </si>
  <si>
    <t>0378-1097</t>
  </si>
  <si>
    <t>10.1016/S0378-1097(99)00177-9</t>
  </si>
  <si>
    <t>WOS:000080730700012</t>
  </si>
  <si>
    <t>Herde, O; Pena-Cortes, H; Willmitzer, L; Fisahn, J</t>
  </si>
  <si>
    <t>Time-resolved analysis of signals involved in systemic induction of Pin2 gene expression</t>
  </si>
  <si>
    <t>BOTANICA ACTA</t>
  </si>
  <si>
    <t>The systemic induction of proteinase inhibitor genes in tomato plants is mediated either by electrical signals, hydraulic signals or chemical messengers. In the present study we analyzed the effects of mechanical wounding; heat treatment and electrical current application on wild-type tomato plants (Lycopersicon esculentum Mill. cv Moneymaker) and ABA-deficient mutants of tomato (sitiens). Kinetic studies revealed that systemic Pin2 gene expression could be slightly induced by the fast transient membrane potential change which left the damaged leaf within 30-60s after wounding. Moreover, a signal leaving the damaged tissue between 2 and 4 minutes after wounding was responsible for a significant amplification of Pin2 gene expression. This signal could either be a decrease in turgor pressure, which occurred 3-4 min after treatment, or a slow electrical transient. In addition, mechanical wounding and electrical current seem to involve ABA to induce changes in membrane potential and to promote Pin2 gene expression. In contrast. heat triggers fast and slow electrical transients leading to an induction of Pin2 gene expression within the plant independently of ABA. Turgor pressure, in turn, is presumably adjusted in relation to ionic movements across the membrane, elucidated by membrane potential recordings. In conclusion, wound-induced changes in membrane potential seem to be dependent on the endogenous level of ABA. These shifts in membrane potentials, in turn, are involved in regulation of turgor pressure within the plant.</t>
  </si>
  <si>
    <t>Peña-Cortes, Hugo/A-2758-2012; Willmitzer, Lothar/F-7377-2011</t>
  </si>
  <si>
    <t>0932-8629</t>
  </si>
  <si>
    <t>10.1111/j.1438-8677.1998.tb00723.x</t>
  </si>
  <si>
    <t>WOS:000076560600006</t>
  </si>
  <si>
    <t>QUINA, F; ABUIN, E; LISSI, E</t>
  </si>
  <si>
    <t>EFFECT OF PYRENE CHAIN END LABELING ON THE INTERACTION OF POLY(ETHYLENE OXIDE) WITH SODIUM DODECYL-SULFATE IN AQUEOUS-SOLUTION</t>
  </si>
  <si>
    <t>DEC 10</t>
  </si>
  <si>
    <t>10.1021/ma00227a001</t>
  </si>
  <si>
    <t>WOS:A1990EM33500001</t>
  </si>
  <si>
    <t>ARANDA, M; ALLIENDE, MA; MONICHI, E; NUNEZ, R</t>
  </si>
  <si>
    <t>MARKERS OF TRANSFORMATION IN PRIMARY GASTRIC-CANCER</t>
  </si>
  <si>
    <t>R277</t>
  </si>
  <si>
    <t>WOS:A1988R048700050</t>
  </si>
  <si>
    <t>HOJMAN, S; NUNEZ, L; PATINO, A; RAGO, H</t>
  </si>
  <si>
    <t>SYMMETRIES AND CONSERVED QUANTITIES IN GEODESIC MOTION</t>
  </si>
  <si>
    <t>Nunez, Luis/D-3404-2013; Hojman, Sergio/F-5801-2010</t>
  </si>
  <si>
    <t>Nunez, Luis/0000-0003-4575-5899; Hojman, Sergio/0000-0001-6281-9861</t>
  </si>
  <si>
    <t>10.1063/1.527375</t>
  </si>
  <si>
    <t>WOS:A1986AWQ7900039</t>
  </si>
  <si>
    <t>LETELIER, MF; LEUTHEUSSER, HJ</t>
  </si>
  <si>
    <t>LAMINAR-FLOW IN CONDUITS OF UNCONVENTIONAL SHAPE</t>
  </si>
  <si>
    <t>JOURNAL OF ENGINEERING MECHANICS-ASCE</t>
  </si>
  <si>
    <t>0733-9399</t>
  </si>
  <si>
    <t>WOS:A1985AJS6000004</t>
  </si>
  <si>
    <t>PALOMINOS, MA; SANTOS, JG; VEGA, JC; MARTINEZ, MA</t>
  </si>
  <si>
    <t>PYROTHIOCARBONATES .3. SYNTHESIS OF S-(ALKOXYCARBONYL) O-ALKYLDITHIOCARBONATES</t>
  </si>
  <si>
    <t>PHOSPHORUS SULFUR AND SILICON AND THE RELATED ELEMENTS</t>
  </si>
  <si>
    <t>0308-664X</t>
  </si>
  <si>
    <t>10.1080/03086648508074262</t>
  </si>
  <si>
    <t>WOS:A1985ASC8100013</t>
  </si>
  <si>
    <t>LETELIER, MF; LEUTHEUSSER, HJ; ROSAS, C</t>
  </si>
  <si>
    <t>REFINED MATHEMATICAL-ANALYSIS OF THE CAPILLARY PENETRATION PROBLEM</t>
  </si>
  <si>
    <t>10.1016/0021-9797(79)90347-3</t>
  </si>
  <si>
    <t>WOS:A1979HV13600008</t>
  </si>
  <si>
    <t>FAINI, F; CASTILLO, M; TORRES, R</t>
  </si>
  <si>
    <t>NEW BETA-CARBOLINE ALKALOID FROM VESTIA-LYCIOIDES</t>
  </si>
  <si>
    <t>PHYTOCHEMISTRY</t>
  </si>
  <si>
    <t>0031-9422</t>
  </si>
  <si>
    <t>10.1016/S0031-9422(00)94190-6</t>
  </si>
  <si>
    <t>WOS:A1978EK58600045</t>
  </si>
  <si>
    <t>Galvez-Rodriguez, C; Valenzuela-Reyes, P; Fuentealba-Sepúlveda, S; Farias-Valenzuela, C; Salinas, AE</t>
  </si>
  <si>
    <t>Galvez-Rodriguez, Cristian; Valenzuela-Reyes, Pedro; Fuentealba-Sepulveda, Soledad; Farias-Valenzuela, Claudio; Salinas, Alexis Espinoza</t>
  </si>
  <si>
    <t>Cold Water Immersion, Heart Rate Variability and Post-Exercise Recovery: A Systematic Review</t>
  </si>
  <si>
    <t>PHYSIOTHERAPY RESEARCH INTERNATIONAL</t>
  </si>
  <si>
    <t>Introduction: Physiological and psychological recovery, i.e., the balance between fatigue/stress and recovery and evaluated through heart rate variability (HRV), is essential for the good performance of athletes in all their activities. Cold water immersion (CWI) has been shown to reduce the negative effects of fatigue/stress by inducing physiological and biochemical changes that promote faster recovery. This study aims to analyze the scientific literature on the effects of CWI on post-exercise recovery, as measured by HRV in athletes. Methods: A systematic review of randomized clinical trials (RCTs) was conducted following PRISMA guidelines. Databases such as Scopus, Web of Science, and MEDLINE were included it. The risk of bias of each study selected was assessed using Cochrane's guidelines for RCT. Results: Twelve articles were included. All studies reported parasympathetic reactivation with CWI after physical exertion. Six studies demonstrated statistically significant results (p &lt; 0.05) compared to a passive recovery, while eight studies reported moderate to large effect sizes. Conclusion: The results of this study indicate that CWI after exercise may have a positive acute effect on parasympathetic reactivation, as measured by HRV.</t>
  </si>
  <si>
    <t>Espinoza-Salinas, Alexis/0000-0001-9709-2850</t>
  </si>
  <si>
    <t>1358-2267</t>
  </si>
  <si>
    <t>1471-2865</t>
  </si>
  <si>
    <t>e70033</t>
  </si>
  <si>
    <t>10.1002/pri.70033</t>
  </si>
  <si>
    <t>WOS:001415943900001</t>
  </si>
  <si>
    <t>Acuña-Saavedra, L; Méndez-Torres, AM; Cárdenas-Jirón, G; Oñate, R; Sánchez-Allende, B; Venegas, R; Bernal, R; Melo, F; Imbarack, E; Zagal, JH; Ponce, I</t>
  </si>
  <si>
    <t>Acuna-Saavedra, Luis; Mendez-Torres, Ana Maria; Cardenas-Jiron, Gloria; Onate, Ruben; Sanchez-Allende, Benjamin; Venegas, Ricardo; Bernal, Roberto; Melo, Francisco; Imbarack, Elizabeth; Zagal, Jose H.; Ponce, Ingrid</t>
  </si>
  <si>
    <t>The On/Off pH-Dependent Electrocatalytic Activity of the Perfluorinated Iron Phthalocyanine for the Oxygen Reduction Reaction and Electrochemical Hardness as a Reactivity Descriptor: Experimental and Theoretical Study</t>
  </si>
  <si>
    <t>ACS CATALYSIS</t>
  </si>
  <si>
    <t>Perfluorinated iron phthalocyanine 16(F)FePc is probably the most active MN4 molecular catalyst reported to promote the oxygen reduction reaction (ORR) in alkaline media. Its high activity is attributed to the electron-withdrawing properties of the fluoro substituents, which promote a hard-iron active site to interact with a hard-O2 molecule. However, its activity has been explored shallowly. Here, we modified an edge plane-pyrolytic graphite surface (EPG) with 16(F)FePc to promote ORR in different pH media to build a Pourbaix diagram as an electrocatalytic roadmap for 16(F)FePc. Furthermore, the recently proposed reactivity descriptor for ORR, known as the electrochemical hardness (Delta E h ), was determined in the EPG/16(F)FePc system at different pH. It was found that the catalyst's reactivity is inversely proportional to the Delta E h values, so small values conduct to high activity. The same behavior was obtained for the oxidation-reduction hardness (eta ox-red) parameter, which was theoretically determined in this work by DFT calculations. The theoretical eta ox-red suggests a decrease of the Fe(II) reactivity with the increase of nitrogen atom protonation in the 16(F)FePc, supporting the pH-dependent Delta E h values. Moreover, a pH-dependent locked/unlocked mechanical switch behavior for the 16(F)FePc was determined, attributed to the iron center motion above the N4-plane without a demetalation process. We observed this phenomenon in an acid media using electrochemical techniques coupled with Surface-Enhanced Raman Spectroscopy (EC-SERS), monitoring the Fe(II)/(I), Fe(III)/(II) redox potentials, and the in situ ORR process. The scanning tunneling microscopy-based break junction technique (STM-BJ) revealed this mechanical switch at the single-molecule level. Conversely, the mechanical switch is locked in alkaline media, and the 16(F)FePc is in an on-catalytic state for ORR. Therefore, the unlocked mechanical switch could explain the low ORR catalytic activity of the 16(F)FePc in acidic media (off-catalytic state). These findings are crucial for understanding the catalytic behavior of 16(F)FePc, especially in acid media.</t>
  </si>
  <si>
    <t>Venegas, Ricardo/U-6376-2019; zagal, jose/L-9648-2014; cardenas-jiron, gloria/H-9508-2012; Bernal, Roberto/E-5275-2011; Ponce, Ingrid/L-9679-2014</t>
  </si>
  <si>
    <t>Zagal, Jose/0000-0002-5276-1042; Imbarack, Elizabeth/0000-0003-3501-9388</t>
  </si>
  <si>
    <t>2155-5435</t>
  </si>
  <si>
    <t>DEC 24</t>
  </si>
  <si>
    <t>10.1021/acscatal.4c06957</t>
  </si>
  <si>
    <t>WOS:001382615700001</t>
  </si>
  <si>
    <t>Faria, LFD; Silva, JC; Ubilla, P</t>
  </si>
  <si>
    <t>Faria, Luiz Fernando de Oliveira; Silva, Jeferson Camilo; Ubilla, Pedro</t>
  </si>
  <si>
    <t>The effect of a perturbation on Brezis-Nirenberg's problem</t>
  </si>
  <si>
    <t>PROCEEDINGS OF THE ROYAL SOCIETY OF EDINBURGH SECTION A-MATHEMATICS</t>
  </si>
  <si>
    <t>In this article, we consider some critical Brezis-Nirenberg problems in dimension N &gt;= 3 that do not have a solution. We prove that a supercritical perturbation can lead to the existence of a positive solution. More precisely, we consider the equation: { -Delta u = lambda(q-1)(u)+u(2*)+r(alpha)-1 in B, u &gt; 0 in B, u = 0 on partial derivative B, where B subset of R-N is a unit ball centred at the origin, N &gt;= 3, r=|x|, alpha is an element of (0,min{N/2, N-2}), lambda is a fixed real parameter and q is an element of [2, 2*]. This class of problems can be interpreted as a perturbation of the classical Brezis-Nirenberg problem by the term r(alpha) at the exponent, making the problem supercritical when r is an element of (0, 1). More specifically, we study the effect of this supercritical perturbation on the existence of solutions. In particular, when N = 3, an interesting and unexpected phenomenon occurs. We obtain the existence of solutions for lambda in a range where the Brezis-Nirenberg problem has no solution.</t>
  </si>
  <si>
    <t>Camilo Silva, Jeferson/0009-0000-0045-7121; de Oliveira Faria, Luiz Fernando/0000-0001-8579-6738</t>
  </si>
  <si>
    <t>0308-2105</t>
  </si>
  <si>
    <t>1473-7124</t>
  </si>
  <si>
    <t>2024 NOV 25</t>
  </si>
  <si>
    <t>10.1017/prm.2024.85</t>
  </si>
  <si>
    <t>NOV 2024</t>
  </si>
  <si>
    <t>WOS:001363359700001</t>
  </si>
  <si>
    <t>Essayists in Latin America: Ana Pizarro</t>
  </si>
  <si>
    <t>e65427</t>
  </si>
  <si>
    <t>10.22409/gragoata.v29i65.65427.en</t>
  </si>
  <si>
    <t>WOS:001383080200006</t>
  </si>
  <si>
    <t>Ricaldi-Morales, A; Travieso-Torres, JC; Véliz-Tejo, A; Leiva-Silva, F</t>
  </si>
  <si>
    <t>Ricaldi-Morales, Abdiel; Travieso-Torres, Juan Carlos; Veliz-Tejo, Adolfo; Leiva-Silva, Felipe</t>
  </si>
  <si>
    <t>Taylor series and adaptive passivity-based control for conical tanks level regulation</t>
  </si>
  <si>
    <t>NONLINEAR DYNAMICS</t>
  </si>
  <si>
    <t>This manuscript proposes using a finite Taylor series (TS) and normalized adaptive passivity-based control (NAPBC) for nonlinear systems encompassing the level regulation of conical tanks. TS-NAPBC is as effective and robust as the traditional proportional integer control, and NAPBC. However, these latest techniques assume the existence of the input-output dynamical model obtained after computing a coordinates transformation of the original state-space representation, which takes time and is problematic. In contrast, the proposed TS-NAPNC exceeds them by having a faster and more straightforward design and commissioning, avoiding an input-output transformation, and not needing to know the plant parameters value. The TS-NAPBC deals with the unknown parameters and control direction of the TS. Moreover, it has adaptive law modifications due to the presence of a time-varying parameter associated with the TS rest term. The second Lyapunov stability method and Barbalat Lemma theoretically validate the proposition. Comparative experimental results show the effectiveness of TS-NAPBC and its robustness in front of plant parameter variations.</t>
  </si>
  <si>
    <t>Travieso Torres, Juan carlos/N-6437-2019</t>
  </si>
  <si>
    <t>Travieso Torres, Juan carlos/0000-0002-9246-4827; Ricaldi Morales, Abdiel Josadac/0009-0007-8354-3009</t>
  </si>
  <si>
    <t>0924-090X</t>
  </si>
  <si>
    <t>1573-269X</t>
  </si>
  <si>
    <t>10.1007/s11071-024-09596-7</t>
  </si>
  <si>
    <t>WOS:001208244000002</t>
  </si>
  <si>
    <t>Duran-Riquelme, A; Flores-Fernández, C; Riquelme-Ríos, J</t>
  </si>
  <si>
    <t>Duran-Riquelme, Alex; Flores-Fernandez, Cherie; Riquelme-Rios, Judith</t>
  </si>
  <si>
    <t>Core competencies in the professional practice of the library and information science programme</t>
  </si>
  <si>
    <t>EDUCATION FOR INFORMATION</t>
  </si>
  <si>
    <t>A professional practice is a type of internship, a practicum, that encompasses a supervised hands-on training experience for students to develop and identify the core and enabling competencies required in a professional environment. It also allows them to identify the developed and underdeveloped skills that are important in the labour environment while still undergoing an academic training. Therefore, the purpose of this research is to determine the core and enabling competencies required and developed by the students coursing the Library and Information Science Programme at Universidad Tecnologica Metropolitana during their professional practices carried out from 2019 through 2021. To this end, a questionnaire with open and closed-ended questions was used as data collection instrument. It was applied to a sample of 64 graduates from this Programme, out of a universe of 70 students in addition to a focus group to delve deeper into the answers obtained. The results established that both core and enabling competencies had been relevant in their professional practice. The most relevant core competencies were those related to information and knowledge services; information analysis and data retrieval; and organisation of data, information and knowledge assets meanwhile the most relevant enabling competencies were communication, teamwork and adaptability.</t>
  </si>
  <si>
    <t>Flores, Cherie/AAC-6868-2020</t>
  </si>
  <si>
    <t>Duran Riquelme, Alex/0000-0001-7934-0291</t>
  </si>
  <si>
    <t>0167-8329</t>
  </si>
  <si>
    <t>1875-8649</t>
  </si>
  <si>
    <t>10.3233/EFI-230157</t>
  </si>
  <si>
    <t>WOS:001315110800003</t>
  </si>
  <si>
    <t>Fediakova, E; Kahn, LA</t>
  </si>
  <si>
    <t>Fediakova, Evguenia; Kahn, Luis Aranguiz</t>
  </si>
  <si>
    <t>First you have to ask God: Party militancy, divine will and evangelical faith in Chile 2019-2023</t>
  </si>
  <si>
    <t>ESTUDOS IBERO-AMERICANOS</t>
  </si>
  <si>
    <t>During the last decades it has been a fact that religious beliefs have taken part in public and political scenarios, which has led to several studies that explain the role of the actors and ideologies involved. However, despite the contribution of these studies from a macro point of view, in comparison there has been less analysis from a micro point of view. This research aims to explore the relationship between religion and politics taking the case of the party militancy of evangelicals in Chile, from a lived religion perspective. This research wants to understand the nuances, tensions and questions of the Evangelicals believers involved in political activity at an individual level.</t>
  </si>
  <si>
    <t>0101-4064</t>
  </si>
  <si>
    <t>1980-864X</t>
  </si>
  <si>
    <t>JAN-DEC</t>
  </si>
  <si>
    <t>e46058</t>
  </si>
  <si>
    <t>10.15448/1980-864X.2024.1.46058</t>
  </si>
  <si>
    <t>WOS:001369015800006</t>
  </si>
  <si>
    <t>Gómez, DD; Villavicencio, JK</t>
  </si>
  <si>
    <t>Gomez, Daniel Domingo; Villavicencio, Jan Koplow</t>
  </si>
  <si>
    <t>ACROBATS, MINSTRELS AND ANIMALS: PRESENCE, RECEPTION AND IMPACT OF AMERICAN POPULAR CULTURE IN CHILE DURING THE SECOND HALF OF THE 19TH CENTURY</t>
  </si>
  <si>
    <t>The following work examines the presence of American popular culture in Chile during the second half of the 19th century and the reception and impact that said presence had upon Chilean society. The methodology consisted of a qualitative historical study of press and documentary sources between 1850 and 1900, together with a bibliographic review of literature that addresses the cultural phenomena of both Chile and the United States, as well as performing arts and variety shows from the nineteenth century. As a result, it was possible to observe a mutual influence between the North American ensembles and Chilean society since both parties reinterpreted their roles and practices as a consequence of exposure to new shows and the criticism of these.</t>
  </si>
  <si>
    <t>Domingo, Daniel/KEI-4460-2024</t>
  </si>
  <si>
    <t>WOS:001408726000006</t>
  </si>
  <si>
    <t>Vergara, I</t>
  </si>
  <si>
    <t>Vergara, Ignacio</t>
  </si>
  <si>
    <t>Hyperbolicity and uniformly Lipschitz affine actions on subspaces of L1$L∧1$</t>
  </si>
  <si>
    <t>BULLETIN OF THE LONDON MATHEMATICAL SOCIETY</t>
  </si>
  <si>
    <t>We show that every hyperbolic group has a proper uniformly Lipschitz affine action on a subspace of an L-1 space. We also prove that every acylindrically hyperbolic group has a uniformly Lipschitz affine action on such a space with unbounded orbits. Our main tools are the Q-bicombings on hyperbolic groups constructed by Mineyev and the characterisation of acylindrical hyperbolicity in terms of actions on quasi-trees by Balasubramanya.</t>
  </si>
  <si>
    <t>Vergara, Ignacio/ABC-6218-2021</t>
  </si>
  <si>
    <t>0024-6093</t>
  </si>
  <si>
    <t>1469-2120</t>
  </si>
  <si>
    <t>10.1112/blms.12873</t>
  </si>
  <si>
    <t>WOS:001003320900001</t>
  </si>
  <si>
    <t>Agudelo-Hernández, F; Rojas-Andrade, R</t>
  </si>
  <si>
    <t>Agudelo-Hernandez, Felipe; Rojas-Andrade, Rodrigo</t>
  </si>
  <si>
    <t>Mental Health Services in Colombia: A National Implementation Study</t>
  </si>
  <si>
    <t>INTERNATIONAL JOURNAL OF SOCIAL DETERMINANTS OF HEALTH AND HEALTH SERVICES</t>
  </si>
  <si>
    <t>Laws in Latin American countries are based on scientific evidence that calls for mental health services to move to the community. These care modalities have implementation problems. The objective of this article is to describe the implementation of the services proposed in Law 1616 of 2013 of Colombia (Mental Health Law): emergencies, hospitalization, community-based rehabilitation, pre-hospital care, day hospital for children and adults, Drug Addiction Care Center, groups support and mutual aid, telemedicine, and home and outpatient care. We used a mixed study, with a cross-sectional descriptive quantitative component, where an instrument was used to determine the level of implementation of these services, consisting of a scale that established the availability and use of these services, in addition to the climate of implementation of the services and community mental health strategies, in addition to a qualitative determination of barriers and facilitators of implementation. We found a low availability of all services in departments such as Amazonas, Vaupes, Putumayo, and Meta and an implementation of services in Bogota and Caldas. The least implemented services are the community ones, and those with the greatest presence at the territorial level are emergencies and hospitalization. We conclude that low- and middle-income countries have few community models and invest a large part of their technical and economic effort in emergencies and hospitalization. There are difficulties in the implementation of most of the services proposed by Colombian legislation related to mental health.</t>
  </si>
  <si>
    <t>Hernandez, Andres/KVA-7010-2024</t>
  </si>
  <si>
    <t>AGUDELO HERNANDEZ, ANDRES FELIPE/0000-0002-8356-8878</t>
  </si>
  <si>
    <t>2755-1938</t>
  </si>
  <si>
    <t>2755-1946</t>
  </si>
  <si>
    <t>10.1177/27551938231156023</t>
  </si>
  <si>
    <t>WOS:000945029700001</t>
  </si>
  <si>
    <t>Javier, RA; Matías, R; Alonso, F; Renato, C; Gloria, L</t>
  </si>
  <si>
    <t>Javier, Rivera-Araya; Matias, Riveros; Alonso, Ferrer; Renato, Chavez; Gloria, Levican</t>
  </si>
  <si>
    <t>A novel gene from the acidophilic bacterium Leptospirillum sp. CF-1 and its role in oxidative stress and chromate tolerance</t>
  </si>
  <si>
    <t>Background Acidophilic microorganisms like Leptospirillum sp. CF-1 thrive in environments with extremely low pH and high concentrations of dissolved heavy metals that can induce the generation of reactive oxygen species (ROS). Several hypothetical genes and proteins from Leptospirillum sp. CF-1 are known to be up-regulated under oxidative stress conditions. Results In the present work, the function of hypothetical gene ABH19_09590 from Leptospirillum sp. CF-1 was studied. Heterologous expression of this gene in Escherichia coli led to an increase in the ability to grow under oxidant conditions with 5 mM K2CrO4 or 5 mM H2O2. Similarly, a significant reduction in ROS production in E. coli transformed with a plasmid carrying ABH19_09590 was observed after exposure to these oxidative stress elicitors for 30 min, compared to a strain complemented with the empty vector. A co-transcriptional study using RT-PCR showed that ABH19_09590 is contained in an operon, here named the och operon, that also contains ABH19_09585, ABH19_09595 and ABH19_09600 genes. The expression of the och operon was significantly up-regulated in Leptospirillum sp. CF-1 exposed to 5 mM K2CrO4 for 15 and 30 min. Genes of this operon potentially encode a NADH:ubiquinone oxidoreductase, a CXXC motif-containing protein likely involved in thiol/disulfide exchange, a hypothetical protein, and a di-hydroxy-acid dehydratase. A comparative genomic analysis revealed that the och operon is a characteristic genetic determinant of the Leptospirillum genus that is not present in other acidophiles. Conclusions Altogether, these results suggest that the och operon plays a protective role against chromate and hydrogen peroxide and is an important mechanism required to face polyextremophilic conditions in acid environments.</t>
  </si>
  <si>
    <t>Levican, Gloria/R-5191-2019</t>
  </si>
  <si>
    <t>Levican, Gloria/0000-0002-1275-7399</t>
  </si>
  <si>
    <t>10.1186/s40659-022-00388-0</t>
  </si>
  <si>
    <t>WOS:000791917900001</t>
  </si>
  <si>
    <t>Chavez, A; Prado, H; Reyes, EG</t>
  </si>
  <si>
    <t>Chavez, Alan; Prado, Humberto; Reyes, Enrique G.</t>
  </si>
  <si>
    <t>The Borel transform and line, nonlocal equations: applications to zeta-nonlocal field models</t>
  </si>
  <si>
    <t>We define rigorously operators of the form f(partial derivative(t)), in which f is an anal tic function on a simply connected domain. Our formalism is based on the Bore! trimsform en entire functions of exponential type. We study existence itild remMuity of real vahted solutions for the nonlocal in time equation f(partial derivative(t))phi = J(t), t is an element of R, and we find its more general solution as a restriction to R of an entire function of exponential type. As an important special case, we solve explicitly the linear nonlocal zeta held equation zeta(partial derivative(2)(t) + h)phi = J9t), in which h is a real parameter, zeta is the Riemamn zeta function, and J is an entire function cif exponential type. We also analyse the case in which J is a more general analytic inaction (subject to some weak technical assmnptions). This latter case turns out to be rather delicate: WC need to re-interpret the symbol zeta(partial derivative(2)(t) + h). We prove that in this case the zeta-nonlocal equation above admits an analytic solution on a simply connected domain determined by J. The linear zeta field mutation is a linear version of a field model depending on the Riemann zeta function arising in p-adic string theory Dragovich, Zeta-nonlocal scalar fields, Theoret. Math, Phys., 157 (2008), 1671 1077].</t>
  </si>
  <si>
    <t>WOS:001353369500003</t>
  </si>
  <si>
    <t>Calfío, C; Donoso, F; Huidobro-Toro, JP</t>
  </si>
  <si>
    <t>Calfio, Camila; Donoso, Francisca; Huidobro-Toro, J. Pablo</t>
  </si>
  <si>
    <t>Anthocyanins Activate Membrane Estrogen Receptors With Nanomolar Potencies to Elicit a Nongenomic Vascular Response Via NO Production</t>
  </si>
  <si>
    <t>JOURNAL OF THE AMERICAN HEART ASSOCIATION</t>
  </si>
  <si>
    <t>BACKGROUND: The vascular pharmacodynamics of anthocyanins is only partially understood. To examine whether the anthocyanin-induced vasorelaxation is related to membrane estrogen receptor activity, the role of ER alpha or GPER antagonism was ascertained on anthocyanins or 17-beta estradiol-(E2) induced vasodilatations and NO production. METHODS AND RESULTS: The rat arterial mesenteric bed was perfused with either anthocyanins or corresponding 3-O-glycosides, or E2, to examine rapid concentration-dependent vasorelaxations. The luminally accessible fraction of NO in mesenteric perfusates before and after anthocyanins or E2 administration was quantified. Likewise, NO-DAF signal detected NO production in primary endothelial cells cultures incubated with anthocyanins or E2 in the absence and presence of ER alpha (ICI 182,780) or GPER (G-36) selective antagonists. Anthocyanins or corresponding glycosides elicited, within minutes, vasodilation with nanomolar potencies; half maximal anthocyanin response reached 50% to 60% efficacy, in contrast to acetylcholine. The vasorelaxation is of rapid onset and exclusively endothelium-dependent; NOS inhibition annulled the vasorelaxation. The delphinidin vascular response was not modified by 100 nmol/L atropine but significantly attenuated by joint application of ICI plus G-36 (52 +/- 4.6 versus 8.5 +/- 1.5%), revealing the role of membrane estrogen receptors. Moreover, the anthocyanin or E2-induced NO production was antagonized up to 70% by these antagonists. NO-DAF signal elicited by anthocyanins was annulled by NOS inhibition or by ICI plus G-36 addition. CONCLUSIONS: The biomedical effect of anthocyanins or 3-O-glycosylates derivatives contained in naturally purple-colored foods or berries is due to increased NO production, and not to the phytochemical's antioxidant potential, highlighting the nutraceutical role of natural products in cardiovascular diseases.</t>
  </si>
  <si>
    <t>Calfio, Camila/0000-0002-8220-9849</t>
  </si>
  <si>
    <t>2047-9980</t>
  </si>
  <si>
    <t>e020498</t>
  </si>
  <si>
    <t>10.1161/JAHA.119.020498</t>
  </si>
  <si>
    <t>WOS:000685396200027</t>
  </si>
  <si>
    <t>Lopez-Polo, J; Monasterio, A; Cantero-López, P; Osorio, FA</t>
  </si>
  <si>
    <t>Lopez-Polo, Johana; Monasterio, Angela; Cantero-Lopez, Plinio; Osorio, Fernando A.</t>
  </si>
  <si>
    <t>Combining edible coatings technology and nanoencapsulation for food application: A brief review with an emphasis on nanoliposomes</t>
  </si>
  <si>
    <t>The use of bioactive compounds within the biopolymer-based Edible Coatings (EC) matrices has certain limitations for their application at the food industry level. Encapsulation has been considered as a strategy that enables protecting and improving the physical and chemical characteristics of the compounds; as a result, it extends the shelf life of coated foods. This review discusses recent progress in combining edible coatings with nanoencapsulation technology. We also described and discussed various works, in which nanoliposomes are used as encapsulation systems to prepare, and subsequently apply the edible coatings in plant products and meat products. The use of nanoliposomes for the encapsulation of phenolic compounds and essential oils provides an improvement in the antioxidant and antimicrobial properties of coatings by extending the shelf life of food matrices. However, when liposomes are stored for a long period of time, they may present some degree of instability manifested by an increase in size, polydispersity index, and zeta potential. This is reflected in an aggregation, fusion, and rupture of the vesicles. This investigation can help researchers and industries to select an appropriate and efficient biopolymer to form EC containing nanoencapsulated active compounds. This work also addresses the use of nanoliposomes to create EC extending markedly the shelf life of fruit, reducing the weight loss, and deterioration due to the action of microorganisms.</t>
  </si>
  <si>
    <t>osorio, fernando/0000-0001-7206-0924; Monasterio, Angela/0000-0001-7309-0746</t>
  </si>
  <si>
    <t>10.1016/j.foodres.2021.110402</t>
  </si>
  <si>
    <t>MAY 2021</t>
  </si>
  <si>
    <t>WOS:000663748900002</t>
  </si>
  <si>
    <t>Berroeta, H; de Carvalho, LP; Castillo-Sepúlveda, J</t>
  </si>
  <si>
    <t>Raymond, CM; Manzo, LC; Williams, DR; DiMasso, A; vonWirth, T</t>
  </si>
  <si>
    <t>Berroeta, Hector; Pinto de Carvalho, Lais; Castillo-Sepulveda, Jorge</t>
  </si>
  <si>
    <t>The Place-Subjectivity Continuum after a Disaster Enquiring into the Production of Sense of Place as an Assemblage</t>
  </si>
  <si>
    <t>CHANGING SENSES OF PLACE: Navigating Global Challenges</t>
  </si>
  <si>
    <t>Pinto de Carvalho, Laís/AAX-4736-2020</t>
  </si>
  <si>
    <t>978-1-108-76947-1; 978-1-108-47726-0</t>
  </si>
  <si>
    <t>10.1017/9781108769471</t>
  </si>
  <si>
    <t>WOS:001096275100007</t>
  </si>
  <si>
    <t>Corral, FV; Soto, I; Azócar, J</t>
  </si>
  <si>
    <t>Corral, Fabian, V; Soto, Ismael; Azocar, Jose</t>
  </si>
  <si>
    <t>Simulation of optical frequency comb sources using electro optical modulators</t>
  </si>
  <si>
    <t>The theoretical basis of Optical Frequency Comb Sources (OFCS) using optical modulators is presented. The different classes of OFCSs and their main characteristics are shown. Experimental measurements and simulation results using Photo Design software are also presented, demonstrating the feasibility of generating optical frequency combs using phase modulators, with modulating frequencies in the order of GHz.</t>
  </si>
  <si>
    <t>10.1109/CHILECON54041.2021.9703000</t>
  </si>
  <si>
    <t>WOS:000788072700042</t>
  </si>
  <si>
    <t>Salinas, SC; Pavelic, MR</t>
  </si>
  <si>
    <t>Contreras Salinas, Sylvia; Ramirez Pavelic, Monica</t>
  </si>
  <si>
    <t>Microlanguages: One Way to Contribute to an Educational Relationship with Children and Youth in a Pedagogies of the South Framework</t>
  </si>
  <si>
    <t>Contributing to the reality of children and youngsters within the pedagogies of the South is a complex and contradictory endeavor. It is for this reason, that this essay seeks to contribute to the daily efforts involved in pedagogical practices. Thus, pedagogies that are critical of the south, emerge as an expression that accounts for a field of knowledge considered to be an alternative to hegemonic educational approaches and establishing itself as a teaching alternative in lieu of questioning experience and perceived as a practical social policy. The resulting prerogative is that adults are the dominant group over children and youngsters, many times pushing them to a culture of silence, particularly in school settings and undoubtedly, a pending item, yet to be addressed in Latin America. This article addresses the figures of speech that arise in our daily life experience, particularly tropes or sayings, which help us mold our objectivity and subjectivity. This is exemplified by tropes used in Spanish slang used by youngsters in Chile, namely, Are you still alive? (ser vivo) and Are you a gallery? (ser galeria). It can be concluded that although tropes have not undone colonial linkages, they help access values by exploring power relationships. For that reason, pedagogical language should contemplate these power struggles and instill in children and youngsters, linguistic skills to prevent them from turning into zombies and live their lives solely on their outlook towards the future.</t>
  </si>
  <si>
    <t>10.15517/revedu.v44i2.39964</t>
  </si>
  <si>
    <t>WOS:000546442400036</t>
  </si>
  <si>
    <t>Tasca, F; Antiochia, R</t>
  </si>
  <si>
    <t>Tasca, Federico; Antiochia, Riccarda</t>
  </si>
  <si>
    <t>Biocide Activity of Green Quercetin-Mediated Synthesized Silver Nanoparticles</t>
  </si>
  <si>
    <t>The development of new nanomaterials is gaining increasing attention due to their extensive applications in fields ranging from medicine to food and cultural heritage. Green nanoparticles provide advantages compared to conventional nanoparticles as their synthesis is environmentally-friendly and does not require the use of high temperatures, pressure, or toxic chemicals. In this paper, green silver nanoparticles (AgNPs) have been synthesized according to a new method using quercetin as a reducing agent at room temperature. The synthesized AgNPs were characterized using UV-Vis spectroscopy, transmission electron microscopy (TEM), energy dispersive spectroscopy (EDS), and dynamic light scattering (DLS) techniques and successively tested for biocide activity by studying their effects in the inhibition of bacterial growth. The results demonstrated that the smaller the AgNPs size, the greater their biocide activity. In particular, AgNPs with a diameter of 8 nm showed a minimum inhibitory concentration (MIC) value of 1.0 mu g/mL against Streptococcus sp., Escherichia coli and Candida sp. microorganisms, while AgNPs with a larger diameter of about 20 nm were able to inhibit microbial of all selected pathogens at a higher MIC value of 2.5 mu g/mL.</t>
  </si>
  <si>
    <t>Tasca, Federico/J-4134-2015</t>
  </si>
  <si>
    <t>Tasca, Federico/0000-0002-4111-4624; ANTIOCHIA, RICCARDA/0000-0001-8990-8506</t>
  </si>
  <si>
    <t>10.3390/nano10050909</t>
  </si>
  <si>
    <t>WOS:000540781800092</t>
  </si>
  <si>
    <t>Cáceres, S; Rojas, F; Barbosa, K; De la Cuadra, T; Diaz, M; Gatica, G</t>
  </si>
  <si>
    <t>Caceres, Skarlett; Rojas, Felix; Barbosa, Karina; De la Cuadra, Tomas; Diaz, Matias; Gatica, Gustavo</t>
  </si>
  <si>
    <t>Fault Detection in Triple Star Bridge Cell Modular Multilevel Converter using Sliding Mode Observer</t>
  </si>
  <si>
    <t>2020 IEEE INTERNATIONAL CONFERENCE ON INDUSTRIAL TECHNOLOGY (ICIT)</t>
  </si>
  <si>
    <t>IEEE International Conference on Industrial Technology</t>
  </si>
  <si>
    <t>IEEE International Conference on Industrial Technology (ICIT)</t>
  </si>
  <si>
    <t>FEB 26-28, 2020</t>
  </si>
  <si>
    <t>The family of modular multilevel converter is characterized for using several cells to properly face Medium and High voltage range. This high number of semiconductors reduces its reliability. In this paper, a sliding mode observer (SMO) is implemented to continually estimate the current of clusters and voltage of each cell capacitor and directly detect a faulty cell by an open circuit of the semiconductor. A Triple Star Bridge Cell Modular Multilevel Converter (TSBC-MMC) with three cell per cluster for direct conversion of AC to AC voltage have been implemented in PLECs software. Simulation results show the feasibility and an excellent performance of the proposed SMO, which effectively can discriminate the faulty cell among the 27 different cells of the converter without using additional measuring devices.</t>
  </si>
  <si>
    <t>Rojas, Felix/U-3305-2019; gatica, gustavo/KXR-7308-2024; Diaz, Matias/R-7570-2018</t>
  </si>
  <si>
    <t>2643-2978</t>
  </si>
  <si>
    <t>978-1-7281-5754-2</t>
  </si>
  <si>
    <t>10.1109/ICIT45562.2020.9067190</t>
  </si>
  <si>
    <t>WOS:000560681600126</t>
  </si>
  <si>
    <t>San Juan, E; Valenzuela, D; Adasme, P; Soto, I; Cañete, L; Firoozabadi, AD</t>
  </si>
  <si>
    <t>San Juan, Enrique; Valenzuela, David; Adasme, Pablo; Soto, Ismael; Canete, Lucio; Firoozabadi, Ali Dehghan</t>
  </si>
  <si>
    <t>Multi Resolution Analysis compared Savitzky - Golay and Moving Average Filter by Noise Reduction</t>
  </si>
  <si>
    <t>The aim of this paper is to offer an alternative signal analysis using Multiresolution Analysis (MRA), with the practical purpose of analyzing its performance in reducing the noise components. In a first part, a brief theoretical basis is shown for the Wavelets theory for signal analysis. Subsequently, simulations are carried out to reduce the noise through the multiresolution analysis of the Discrete Wavelet Transform and the they are compared with the results obtained through typical filters, such as SavitzkyGolay and Moving Average Filter.</t>
  </si>
  <si>
    <t>Arratia, Lucio/AAV-6112-2020; Adasme, Pablo/U-1735-2019; Dehghan Firoozabadi, Ali/AAD-4858-2019</t>
  </si>
  <si>
    <t>Canete Arratia, Lucio/0000-0002-1191-8728</t>
  </si>
  <si>
    <t>10.1109/sacvlc50805.2020.9129866</t>
  </si>
  <si>
    <t>WOS:000856038700012</t>
  </si>
  <si>
    <t>Rivas, BL; Espinosa, C; Sánchez, J</t>
  </si>
  <si>
    <t>Rivas, Bernabe L.; Espinosa, Carolina; Sanchez, Julio</t>
  </si>
  <si>
    <t>Application of the liquid-phase polymer-based retention technique to the sorption of molybdenum(VI) and vanadium(V)</t>
  </si>
  <si>
    <t>This research is focused on molybdate and vanadate removal from aqueous solutions by the liquid-phase polymer-based retention (LPR) technique. In this technique, a cationic water-soluble polymer based on the ammonium quaternary group poly(diallyldimethylammonium chloride), PDDA, was used as a polymeric sorbent, and a regenerated cellulose ultrafiltration membrane was used as a filter. The removal of molybdenum and vanadium using the LPR technique was analyzed by both the washing and enrichment methods. The removal experiments using the washing method were conducted by varying the pH, polymer/metal molar ratio, concentration of metal ions, pressure and presence of interfering ions. In addition, the enrichment method was used to determine the maximum retention capacity of PDDA. The obtained results showed the highest retention capacity of molybdate (100%, using 30mg/L in the feed) for PDDA at pH 3 and 9. The optimum molar ratio was 20:1 polymer/Mo(VI). The efficient vanadate retention (approximately 90%) was obtained at pH 6 with 10:1 polymer/V(V) molar ratio. The effect of metal concentration on the retention showed a higher retention of Mo(VI) independent of its concentrations. In the case of V(V), the maximum retention was reached when 60mg/L of vanadium was used in the feed. The enrichment method showed the maximum retention capacities of 370mg Mo(VI)/g PDDA and 520mgV(V)/g PDDA. The presence of interfering ions did not affect the retention capacity of PDDA. These results showed that the combination of PDDA with ultrafiltration membranes could represent an alternative method for the removal of molybdate and vanadate from water.</t>
  </si>
  <si>
    <t>Rivas, Bernabé/D-9945-2015; Isaza, Carolina/M-5990-2016; Sanchez, Julio/AEO-4360-2022</t>
  </si>
  <si>
    <t>10.1007/s00289-018-2397-8</t>
  </si>
  <si>
    <t>WOS:000457419700002</t>
  </si>
  <si>
    <t>Mishonov, TM; Varonov, AM</t>
  </si>
  <si>
    <t>The Laplace Transform and Nonlocal Field Equations</t>
  </si>
  <si>
    <t>10TH JUBILEE CONFERENCE OF THE BALKAN PHYSICAL UNION</t>
  </si>
  <si>
    <t>10th Jubilee Conference of the Balkan-Physical-Union (BPU)</t>
  </si>
  <si>
    <t>AUG 26-30, 2018</t>
  </si>
  <si>
    <t>Sofia, BULGARIA</t>
  </si>
  <si>
    <t>Balkan Phys Union,European Phys Soc,Minist Educ &amp; Sci Bulgaria,Bulgarian Nucl Regulatory Agcy,Univ Sofia St Clement Ohrid,Kozloduy Nucl Power Plant,Bulgarian Air Traff Serv Author</t>
  </si>
  <si>
    <t>We use the Laplace transform as a correspondence between appropriate L-P and Hardy spaces in order to interpret operators of the form f(partial derivative(t)) in which the symbol f is an analytic function. This framework allows us to find the most general solution to the equation f(partial derivative(t))phi = J(t) t &gt;= 0, in a convenient class of functions, and to define and solve initial value problems. We state conditions under which the solution phi is of class C-k, k &gt;= 0, and we observe that if some a priori information is specified, then the initial value problem is well-posed and it can be solved using a finite number of local initial data. The present approach is motivated by recent work on field theory in which the (analytic continuation of the) Riemann zeta function is used as a symbol.</t>
  </si>
  <si>
    <t>Reyes, Enrique G./0000-0001-8460-444X; Chavez Obregon, Alan Jhonatan/0000-0001-5120-0705</t>
  </si>
  <si>
    <t>978-0-7354-1803-5</t>
  </si>
  <si>
    <t>10.1063/1.5091241</t>
  </si>
  <si>
    <t>WOS:000472653800124</t>
  </si>
  <si>
    <t>Duran, A; Diaz, M; Ibaceta, E; Rojas, F; Wheeler, P</t>
  </si>
  <si>
    <t>Duran, Alberto; Diaz, Matias; Ibaceta, Efran; Rojas, Felix; Wheeler, Pat</t>
  </si>
  <si>
    <t>Direct Power Control of Modular Multilevel Matrix Converter for Flexible AC Transmission System Applications</t>
  </si>
  <si>
    <t>The Modular Multilevel Matrix Converter ((MC)-C-3) has been proposed as an appropriate alternative for high-power machines due to characteristics such as modularity, medium voltage operation, high power quality and reliability. However, complex control systems are needed when its ports operate at equal frequencies, and the application of the (MC)-C-3 in equal frequencies applications, such as Flexible AC Transmission System (FACTS), can be restricted. Therefore, this paper presents a direct power control of an (MC)-C-3 for FACTS applications, including an enhanced control system to regulate the floating capacitor voltages, whereas the converter provides functions of FACTS. The effectiveness of the proposed control system is validated through simulations implemented in PLECS software.</t>
  </si>
  <si>
    <t>Rojas, Felix/U-3305-2019; Diaz, Matias/R-7570-2018</t>
  </si>
  <si>
    <t>10.1109/chilecon47746.2019.8988098</t>
  </si>
  <si>
    <t>WOS:000542919100199</t>
  </si>
  <si>
    <t>Pereira, A; Escrig, J; Palma, JL; de Dicastillo, CL; Patiño, C; Galotto, MJ</t>
  </si>
  <si>
    <t>Pereira, Alejandro; Escrig, Juan; Luis Palma, Juan; Lopez de Dicastillo, Carol; Patino, Cristian; Jose Galotto, Maria</t>
  </si>
  <si>
    <t>Magnetic nanotubes obtained from atomic layer deposition coated electrospun nanofibers</t>
  </si>
  <si>
    <t>JOURNAL OF VACUUM SCIENCE &amp; TECHNOLOGY B</t>
  </si>
  <si>
    <t>High-aspect ratio Al2O3/Ni/Al2O3 core-shell hollow nanotubes were prepared by combining electrospinning, atomic layer deposition, and a subsequent chemical reduction process. Electrospun poly(vinyl alcohol) (PVOH) nanofibers were obtained by electrospinning. Then, these fibers were coated with atomic layer deposition to obtain PVOH/Al2O3/NiO/Al2O3 core-shell nanowires. Since the NiO must be deposited at 200 degrees C, the PVOH nanofibers must first be coated with Al2O3 at 80 degrees C, which act as a protective layer of the fibers so that they can withstand higher temperatures. Once PVOH/Al2O3/NiO/Al2O3 core-shell nanowires are obtained, they are subjected to a chemical reduction process that generates Al2O3/Ni/Al2O3 core-shell hollow nanotubes. Their morphologies were studied by scanning and transmission electron microscopies, the thickness was determined by ellipsometry, and all magnetic measurements were performed in an alternating-gradient force magnetometer. Finally, assuming that the nanostructures exhibit a curling reversal process, the authors have analytically calculated the coercivity of the nanotubes. Published by the AVS.</t>
  </si>
  <si>
    <t>Patiño Vidal, Cristian Javier/JDM-7961-2023; Palma, Juan/IAP-4554-2023; Pereira, Alejandro/X-7172-2018; Lopez-de-Dicastillo, Carol/C-6347-2019; Escrig, Juan/N-4304-2015</t>
  </si>
  <si>
    <t>Pereira Abarca, Alejandro/0000-0002-4473-0852; Lopez-de-Dicastillo, Carol/0000-0003-0067-9765; Patino Vidal, Cristian Javier/0000-0002-5633-6908; Escrig, Juan/0000-0002-3958-8185; Palma, JuanLuis/0000-0003-2068-174X</t>
  </si>
  <si>
    <t>2166-2746</t>
  </si>
  <si>
    <t>10.1116/1.5058706</t>
  </si>
  <si>
    <t>WOS:000452439100047</t>
  </si>
  <si>
    <t>Heidari, S; Bachelet, VC</t>
  </si>
  <si>
    <t>Heidari, Shirin; Bachelet, Vivienne C.</t>
  </si>
  <si>
    <t>Sex and gender analysis for better science and health equity</t>
  </si>
  <si>
    <t>LANCET</t>
  </si>
  <si>
    <t>Bachelet, Vivienne C./0000-0002-5715-9755; Heidari, Shirin/0000-0002-6837-491X</t>
  </si>
  <si>
    <t>0140-6736</t>
  </si>
  <si>
    <t>1474-547X</t>
  </si>
  <si>
    <t>10.1016/S0140-6736(18)32619-9</t>
  </si>
  <si>
    <t>WOS:000448414700011</t>
  </si>
  <si>
    <t>Cerda, P; Souto, MA; Ubilla, P</t>
  </si>
  <si>
    <t>Cerda, Patricio; Souto, Marco Aurelio; Ubilla, Pedro</t>
  </si>
  <si>
    <t>Elliptic Systems with Some Superlinear Assumption Only Around the Origin</t>
  </si>
  <si>
    <t>In this paper, using a priori bound techniques we study existence of positive solutions of the elliptic system: - div(| x| a1. u) = | x| ss 1f(| x|, u, v) x. B, - div(| x| a2. v) = | x| ss 2g(| x|, u, v) x. B, u( x) = 0 = v( x), x.. B. where B is the unitary ball centered at the origin. Assuming that f, g are nonnegative nonlinearities and that f(| x|, u, v)+ g(| x|, u, v) is superlinear at 0 and at 8, we establish some results of existence of one positive solution. As an application, we establish two positive solutions for some non- homogeneous elliptic system. The main novelties here are that the nonlinearities could have growth above the critical hyperbola on some part of the domain as well as only local superlinear hypotheses at infinity</t>
  </si>
  <si>
    <t>Souto, Marco/0000-0002-2826-2534; Cerda, Patricio/0000-0002-0823-8174</t>
  </si>
  <si>
    <t>10.1007/s00023-018-0714-2</t>
  </si>
  <si>
    <t>WOS:000444031500005</t>
  </si>
  <si>
    <t>Leal, C; Lizama, C; Murillo-Arcila, M</t>
  </si>
  <si>
    <t>Leal, Claudio; Lizama, Carlos; Murillo-Arcila, Marina</t>
  </si>
  <si>
    <t>LEBESGUE REGULARITY FOR NONLOCAL TIME-DISCRETE EQUATIONS WITH DELAYS</t>
  </si>
  <si>
    <t>In this work we provide a new and effective characterization for the existence and uniqueness of solutions for nonlocal time-discrete equations with delays, in the setting of vector-valued Lebesgue spaces of sequences. This characterization is given solely in terms of the R-boundedness of the data of the problem, and in the context of the class of UMD Banach spaces.</t>
  </si>
  <si>
    <t>Lizama, Carlos/E-5909-2011; Murillo, Marina/ABI-7284-2020</t>
  </si>
  <si>
    <t>10.1515/fca-2018-0037</t>
  </si>
  <si>
    <t>WOS:000438790600007</t>
  </si>
  <si>
    <t>Barrientos, J; Escartín, J; Longares, L; Rodríguez-Carballeira, A</t>
  </si>
  <si>
    <t>Barrientos, Jaime; Escartin, Jordi; Longares, Lara; Rodriguez-Carballeira, Alvaro</t>
  </si>
  <si>
    <t>Sociodemographic characteristics of gay and lesbian victims of intimate partner psychological abuse in Spain and Latin America</t>
  </si>
  <si>
    <t>REVISTA DE PSICOLOGIA SOCIAL</t>
  </si>
  <si>
    <t>Psychological abuse in same-sex couples has hardly been studied in Spain and Latin America, despite its importance in society and public health. The objective of this study is to examine the prevalence of psychological abuse in same-sex couples in Spain and Latin America and analyse the associated sociodemographic characteristics. An online survey was conducted with 663 gay and lesbian respondents from Spain and Latin America. Of the total sample, 10.6% reported that they perceived themselves as victims of psychological abuse from their partner (9.6% in gay men and 10.7% in lesbians). In gay men, differences were found between victims and non-victims on the sociodemographic variables of age, professional status, and daily alcohol consumption. In lesbians, significant differences were found between victims and non-victims in the country and professional status variables. When comparing gay and lesbian victims, significant differences were found in professional status and alcohol consumption. This study contributes to better understanding of this phenomenon, and it reveals the need for further research. ResumenEl abuso psicologico en parejas del mismo sexo ha sido escasamente estudiado en Espana e Hispanoamerica, a pesar de su relevancia social y para la salud publica. El presente articulo tiene como objetivo examinar la prevalencia del abuso psicologico en parejas del mismo sexo en Espana e Hispanoamerica y analizar las caracteristicas sociodemograficas asociadas. Se realizo un cuestionario on-line contestado por 663 personas lesbianas y gais espanoles/as e hispano-americanos/as. El 10.6% del total de la muestra se percibe como victima de abuso psicologico por parte de su pareja (9.6% en gais y 10.7% en lesbianas). Al comparar las variables sociodemograficas de gais victimas y no victimas se encontraron diferencias segun edad, ocupacion y consumo de alcohol diario. En el caso de las lesbianas, se encontraron diferencias significativas entre victimas y no victimas en las variables pais y ocupacion. Al comparar entre lesbianas y gais victimas, se obtuvieron diferencias significativas para ocupacion y consumo de alcohol. Este estudio contribuye a conocer mejor y visibilizar este fenomeno, y muestra la necesidad de profundizar en la investigacion.</t>
  </si>
  <si>
    <t>Longares, Lara/HDM-6980-2022; Rodriguez-Carballeira, Alvaro/AAY-7836-2020; Barrientos, Jaime/GMW-8081-2022; escartin, jordi/F-5630-2016</t>
  </si>
  <si>
    <t>Barrientos, Jaime/0000-0001-8497-3552; Rodriguez-Carballeira, Alvaro/0000-0001-6316-4596; escartin, jordi/0000-0002-3342-6791</t>
  </si>
  <si>
    <t>0213-4748</t>
  </si>
  <si>
    <t>1579-3680</t>
  </si>
  <si>
    <t>10.1080/02134748.2018.1446393</t>
  </si>
  <si>
    <t>WOS:000430727800002</t>
  </si>
  <si>
    <t>Beltrán-Castillo, S; Eugenín, J; von Bernhardi, R</t>
  </si>
  <si>
    <t>Beltran-Castillo, Sebastian; Eugenin, Jaime; von Bernhardi, Rommy</t>
  </si>
  <si>
    <t>Impact of Aging in Microglia-Mediated D-Serine Balance in the CNS</t>
  </si>
  <si>
    <t>MEDIATORS OF INFLAMMATION</t>
  </si>
  <si>
    <t>A mild chronic inflammatory state, like that observed in aged individuals, affects microglial function, inducing a dysfunctional phenotype that potentiates neuroinflammation and cytotoxicity instead of neuroprotection in response to additional challenges. Given that inflammatory activation of microglia promotes increased release of D-serine, we postulate that age-dependent inflammatory brain environment leads to microglia-mediated changes on the D-serine-regulated glutamatergic transmission. Furthermore, D-serine dysregulation, in addition to affecting synaptogenesis and synaptic plasticity, appears also to potentiate NMDAR-dependent excitotoxicity, promoting neurodegeneration and cognitive impairment. D-serine dysregulation promoted by microglia could have a role in age-related cognitive impairment and in the induction and progression of neurodegenerative processes like Alzheimer's disease.</t>
  </si>
  <si>
    <t>Beltran Castillo, Sebastian/AAT-2028-2021; von Bernhardi, Rommy/IAO-3764-2023</t>
  </si>
  <si>
    <t>Beltran-Castillo, Sebastian/0000-0003-4550-6323; von Bernhardi, Rommy/0000-0002-9022-7676</t>
  </si>
  <si>
    <t>0962-9351</t>
  </si>
  <si>
    <t>1466-1861</t>
  </si>
  <si>
    <t>10.1155/2018/7219732</t>
  </si>
  <si>
    <t>WOS:000446780800001</t>
  </si>
  <si>
    <t>Hermosilla, G; Verdugo, JL; Farias, G; Vera, E; Pizarro, F; Machuca, M</t>
  </si>
  <si>
    <t>Hermosilla, Gabriel; Verdugo, Jose Luis; Farias, Gonzalo; Vera, Esteban; Pizarro, Francisco; Machuca, Margarita</t>
  </si>
  <si>
    <t>Face Recognition and Drunk Classification Using Infrared Face Images</t>
  </si>
  <si>
    <t>JOURNAL OF SENSORS</t>
  </si>
  <si>
    <t>The aim of this study is to propose a system that is capable of recognising the identity of a person, indicating whether the person is drunk using only information extracted from thermal face images. The proposed system is divided into two stages, face recognition and classification. In the face recognition stage, test images are recognised using robust face recognition algorithms: Weber local descriptor (WLD) and local binary pattern (LBP). The classification stage uses Fisher linear discriminant to reduce the dimensionality of the features, and those features are classified using a classifier based on a Gaussian mixture model, creating a classification space for each person, extending the state-of-the-art concept of a Drunk Space Classifier. The system was validated using a new drunk person database, which was specially designed for this work. The main results show that the performance of the face recognition stage was 100% with both algorithms, while the drunk identification saw a performance of 86.96%, which is a very promising result considering 46 individuals for our database in comparison with others that can be found in the literature.</t>
  </si>
  <si>
    <t>Pizarro, Francisco/AGC-1871-2022; Vera, Esteban/H-1345-2013</t>
  </si>
  <si>
    <t>Hermosilla, Gabriel/0000-0002-0674-2254; Vera, Esteban/0000-0001-8387-8131; Verdugo, Jose Luis/0000-0003-0946-6416; Pizarro, Francisco/0000-0003-0516-4736</t>
  </si>
  <si>
    <t>1687-725X</t>
  </si>
  <si>
    <t>1687-7268</t>
  </si>
  <si>
    <t>10.1155/2018/5813514</t>
  </si>
  <si>
    <t>WOS:000424829600001</t>
  </si>
  <si>
    <t>Arancibia, C; Miranda, M; Matiacevich, S; Troncoso, E</t>
  </si>
  <si>
    <t>Arancibia, C.; Miranda, M.; Matiacevich, S.; Troncoso, E.</t>
  </si>
  <si>
    <t>Physical properties and lipid bioavailability of nanoemulsion-based matrices with different thickening agents</t>
  </si>
  <si>
    <t>FOOD HYDROCOLLOIDS</t>
  </si>
  <si>
    <t>This work studies the influence of two thickening agents, starch and carboxymethyl cellulose (CMC) with different structural characteristics on physical properties and lipid bioavailability of avocado oil-based nanoemulsions. Eight nanoemulsions were prepared varying oil content (5 and 15%) and thickener type and concentration (CMC: 0.5-0.75%; Starch: 6-8%). Particle size (PS) and zeta potential (ZPot) depended mainly on the thickener type; starch-based nanoemulsions showed a lower PS and ZPot values near to zero. Nanoemulsions containing the highest oil (15%) and thickener concentrations (0.75% CMC or 8% starch) were more viscous and pseudoplastic than those with 5% oil. With respect to physical stability, the CMC-thickened nanoemulsions exhibited a better stability than starch-based samples. Starch-based nanoemulsions with 15% oil showed the highest creaming index values (40-45%) after 21 days of storage. In turn, the hydrocolloid type had a significant (p &lt; 0.05) effect on lipid bioavailability of O/W nanoemulsions. Nanoemulsions with 5% and 15% oil did not show significant differences on the digestion rate due to thickener type. However, nanoemulsions with 15% oil presented lower digestion rates and final extent of free fatty acids released, with a lag time increased. At 15% oil, CMC-based nanoemulsions showed a lower release of free fatty acids after lipolysis than starch-thickened samples, indicating that CMC caused physical retention of oil droplets in the matrix structure, delaying lipid digestion. (C) 2017 Elsevier Ltd. All rights reserved.</t>
  </si>
  <si>
    <t>Arancibia, Carla/AAN-2290-2020</t>
  </si>
  <si>
    <t>Miranda Soto, Matias/0000-0003-1013-9842; Troncoso, Elizabeth/0000-0002-6749-774X</t>
  </si>
  <si>
    <t>0268-005X</t>
  </si>
  <si>
    <t>1873-7137</t>
  </si>
  <si>
    <t>10.1016/j.foodhyd.2017.07.010</t>
  </si>
  <si>
    <t>WOS:000407027100026</t>
  </si>
  <si>
    <t>Covelo, L; Reyes, D; González, R; Pérez-Figueroa, A; Morán, P; Vidal, R</t>
  </si>
  <si>
    <t>Covelo, L.; Reyes, D.; Gonzalez, R.; Perez-Figueroa, A.; Moran, P.; Vidal, R.</t>
  </si>
  <si>
    <t>GENOME-WIDE ANALYSIS OF DNA METHYLATION OF ATLANTIC SALMON IN RESPONSE TO STRESS</t>
  </si>
  <si>
    <t>AQUACULTURE</t>
  </si>
  <si>
    <t>12th International Symposium on Genetics in Aquaculture (ISGA)</t>
  </si>
  <si>
    <t>JUN 21-27, 2015</t>
  </si>
  <si>
    <t>Santiago de Compostela, SPAIN</t>
  </si>
  <si>
    <t>Univ Santiago Compostela, Genet Aquaculture &amp; Conservat Biol Resources Res Grp,Grupo Pescanova,Illumina,NRGene,Geneaqua,Stolt Sea Farm,Piscifactoria Piszolla,Acuinuga,Andromeda Grp,Comercial Hospitalaria Grupo3,Xenetica Fontao,Xenetica Mol</t>
  </si>
  <si>
    <t>Perez-Figueroa, Andres/A-7503-2008; Reyes, Daniel/KDU-5713-2024</t>
  </si>
  <si>
    <t>0044-8486</t>
  </si>
  <si>
    <t>1873-5622</t>
  </si>
  <si>
    <t>WOS:000411454500087</t>
  </si>
  <si>
    <t>Flores, EIS; Haldar, S</t>
  </si>
  <si>
    <t>Saavedra Flores, Erick I.; Haldar, Sandip</t>
  </si>
  <si>
    <t>Micro-macro mechanical relations in Palmetto wood by numerical homogenisation</t>
  </si>
  <si>
    <t>COMPOSITE STRUCTURES</t>
  </si>
  <si>
    <t>In this paper we investigate micro-macro mechanical relations in Palmetto wood, a natural composite, by means of a computational homogenisation-based multi-scale modeling approach. The homogenisation procedure is solved sequentially at multiple length scales by following a bottom-up approach. The proposed strategy consists of homogenising the three length-scales by means of representative volume elements of material. The resulting effective macroscopic properties allow us to compute the mechanical response of individual macro-fibres and bulk wood specimens by means of a standard finite element procedure. The numerical predictions are compared successfully with experimental measurements. Following the validation, a parametric study is performed to investigate the micro-macro relations in Palmetto wood. The influence of several micro-structural features present at different length scales are investigated, such as the cellulose content and its crystallinity, the microfibril angle, the cell-wall thickness of micro-fibres, and the porosity of macro-fibres and their surrounding matrix, among others. The effects of such microscopic parameters are investigated on the Young's modulus and density of Palmetto bulk wood. These results show that the present strategy can pave the way for further studies on complex microstructure-property relationships existing in different wood species, and on the possible development of more advanced bio-inspired composite materials. (C) 2016 Elsevier Ltd. All rights reserved.</t>
  </si>
  <si>
    <t>Haldar, Sandip/E-8907-2012; Flores, Erick/I-7646-2012</t>
  </si>
  <si>
    <t>Haldar, Sandip/0000-0002-6082-1754</t>
  </si>
  <si>
    <t>0263-8223</t>
  </si>
  <si>
    <t>1879-1085</t>
  </si>
  <si>
    <t>10.1016/j.compstruct.2016.06.050</t>
  </si>
  <si>
    <t>WOS:000382413700001</t>
  </si>
  <si>
    <t>Zumeta, L; Basabe, N; Wlodarczyk, A; Bobowik, M; Páez, D</t>
  </si>
  <si>
    <t>Zumeta, Larraitz; Basabe, Nekane; Wlodarczyk, Anna; Bobowik, Magdalena; Paez, Dario</t>
  </si>
  <si>
    <t>Shared flow and positive collective gatherings</t>
  </si>
  <si>
    <t>Collective gatherings or rituals promote optimal experiences in socially acceptable circumstances. Few studies have empirically examined the experience of flow shared by a group in collective situations. The present research examined the multi-dimensional structure of shared flow experience and its role in explaining positive effects of participation in collective ritualized gatherings on personal wellbeing and social cohesion. In this longitudinal study (N = 550) participants of a local festival celebrated in San Sebastian (Tamhorrada) responded to an online questionnaire at three different times. Confirmatory factor analyses supported a structure composed of nine first-order factors and one second-order factor with a 27 item version of the scale. Further, structural equation modeling analyses controlling for the pre-event scores showed indirect effects of participation in Tamborrada through shared flow on happiness, collective efficacy, identity fusion, and social integration. This research concludes that positive collective gatherings stimulate shared flow experiences and thus promote personal wellbeing and social cohesion. We discuss both the implications of these results and the utility of the Shared Flow Scale in positive psychology research.</t>
  </si>
  <si>
    <t>Sánchez, Larraitz/ABG-2496-2020; basabe, nekane/D-3918-2011; Wlodarczyk, Anna/HHC-3887-2022; Paez, Dario/D-5207-2009; Bobowik, Magdalena/K-3857-2014; Wlodarczyk, Anna/K-4968-2014</t>
  </si>
  <si>
    <t>Paez, Dario/0000-0002-8459-6037; Bobowik, Magdalena/0000-0002-2341-0665; Wlodarczyk, Anna/0000-0003-2106-5324</t>
  </si>
  <si>
    <t>10.6018/analesps.32.3.261651</t>
  </si>
  <si>
    <t>WOS:000380624100013</t>
  </si>
  <si>
    <t>Ho, WCG; Espinoza, CM; Antonopoulou, D; Andersson, N</t>
  </si>
  <si>
    <t>Kubono, S</t>
  </si>
  <si>
    <t>Ho, Wynn C. G.; Espinoza, Cristobal M.; Antonopoulou, Danai; Andersson, Nils</t>
  </si>
  <si>
    <t>Pinning Down the Superfluid and Nuclear Equation of State and Measuring Neutron Star Mass Using Pulsar Glitches</t>
  </si>
  <si>
    <t>PROCEEDINGS OF THE 14TH INTERNATIONAL SYMPOSIUM ON NUCLEI IN THE COSMOS (NIC2016)</t>
  </si>
  <si>
    <t>14th International Symposium on Nuclei in the Cosmos (NIC)</t>
  </si>
  <si>
    <t>JUN 19-24, 2016</t>
  </si>
  <si>
    <t>Niigata, JAPAN</t>
  </si>
  <si>
    <t>Natl Astron Observ Japan,RIKEN Nishina Ctr</t>
  </si>
  <si>
    <t>Pulsars are rotating neutron stars that are renowned for their timing precision, although glitches can interrupt the regular timing behavior when these stars are young. Glitches are thought to be caused by interactions between normal and superfluid matter in the star. We update our recent work on a new technique using pulsar glitch data to constrain superfluid and nuclear equation of state models, demonstrating how current and future astronomy telescopes can probe fundamental physics such as superfluidity near nuclear saturation and matter at supranuclear densities. Unlike traditional methods of measuring a star's mass by its gravitational effect on another object, our technique relies on nuclear physics knowledge and therefore allows measurement of the mass of pulsars which are in isolation.</t>
  </si>
  <si>
    <t>Espinoza, Cristóbal/U-4428-2017</t>
  </si>
  <si>
    <t>Andersson, Nils/0000-0001-8550-3843; Ho, Wynn/0000-0002-6089-6836</t>
  </si>
  <si>
    <t>978-4-89027-118-4</t>
  </si>
  <si>
    <t>10.7566/JPSCP.14.010805</t>
  </si>
  <si>
    <t>WOS:000566261100055</t>
  </si>
  <si>
    <t>Rivas, C; Tessera, R</t>
  </si>
  <si>
    <t>Rivas, Cristobal; Tessera, Romain</t>
  </si>
  <si>
    <t>On the space of left-orderings of virtually solvable groups</t>
  </si>
  <si>
    <t>GROUPS GEOMETRY AND DYNAMICS</t>
  </si>
  <si>
    <t>We show that the space of left-orderings of a countable virtually solvable group is either finite or homeomorphic to a Cantor set. We also provide an explicit description of the space of left-orderings of SOL = Z(2) (sic)(T) Z.</t>
  </si>
  <si>
    <t>Rivas, Cristobal/0000-0003-4021-2705</t>
  </si>
  <si>
    <t>1661-7207</t>
  </si>
  <si>
    <t>1661-7215</t>
  </si>
  <si>
    <t>10.4171/GGD/343</t>
  </si>
  <si>
    <t>WOS:000370249900003</t>
  </si>
  <si>
    <t>Pedrosa, I; Celis-Atenas, K; Suárez-Alvarez, J; García-Cueto, E; Muñiz, J</t>
  </si>
  <si>
    <t>Pedrosa, Ignacio; Celis-Atenas, Karem; Suarez-Alvarez, Javier; Garcia-Cueto, Eduardo; Muniz, Jose</t>
  </si>
  <si>
    <t>Questionnaire for the assessment of optimism: Reliability and evidence of validity</t>
  </si>
  <si>
    <t>Optimism has been shown to have numerous physical and emotional benefits in a range of populations and professional contexts. Nonetheless, there are few instruments for its evaluation and they have significant limitations, especially in young people. This work presents a questionnaire which, through 9 items, evaluates dispositional optimism and analyses its relationship to personality and emotional intelligence. The sample was made up of 2,963 Spanish adolescents of whom 51.10% were male. Emotional intelligence was measured using the Trait Meta-Mood Scale-24, while the big-five personality traits were measured using the Overall Personality Assessment Scale. The optimism questionnaire demonstrated high reliability (alpha=.84), it was accurate over a wide ability range (theta from -3 to +2) and gave an acceptable fit to a unidimensional structure. The clear relationship between optimism, personality traits and emotional intelligence was confirmed.</t>
  </si>
  <si>
    <t>Garcia-Cueto, Eduardo/B-8417-2011; Muñiz, José/AAI-4863-2021; Pedrosa, Ignacio/G-1219-2012; Vera-Villarroel, Pablo/AAQ-8476-2020</t>
  </si>
  <si>
    <t>Garcia-Cueto, Eduardo/0000-0002-1059-117X</t>
  </si>
  <si>
    <t>10.4067/S0718-48082015000200007</t>
  </si>
  <si>
    <t>WOS:000365408400007</t>
  </si>
  <si>
    <t>Hinostroza, I; Pradenas, L; Parada, V</t>
  </si>
  <si>
    <t>Hinostroza, Ignacio; Pradenas, Lorena; Parada, Victor</t>
  </si>
  <si>
    <t>Board cutting from logs: Optimal and heuristic approaches for the problem of packing rectangles in a circle</t>
  </si>
  <si>
    <t>INTERNATIONAL JOURNAL OF PRODUCTION ECONOMICS</t>
  </si>
  <si>
    <t>The cutting of logs when the sawing pattern must be defined to produce boards that satisfy a preestablished demand presents a particularly interesting problem. This problem can be reduced to one of optimal bi-dimensional packing of rectangles in a circular container, which we call the problem of packing rectangles in a circle. To tackle this problem, we present a mathematical formulation based on nonlinear mixed integer programming in order to rapidly solve small-scale problems. For larger problems, two heuristic methods are proposed: a constructive method that fits the rectangles by decreasing order of height inside the circular container and a second method based on simulated annealing that considers an array defining the order in which the rectangles must be considered by a construction function. A set of test problems is selected by which the constructive heuristic delivers an average yield of 91.3%, whereas the simulated annealing approach generates packing patterns with an average yield of 93.6% of the usable area, but at the expense of computing times that are longer than 1 h in the most extreme cases. It is concluded that both methods can be used to support decision making by choosing the most adequate approach depending on the scale of the problem to be solved. (C) 2013 Elsevier B.V. All rights reserved.</t>
  </si>
  <si>
    <t>Parada, Victor/M-5840-2014; Pradenas, Lorena/ACZ-4624-2022</t>
  </si>
  <si>
    <t>Pradenas, Lorena/0000-0001-5199-7187</t>
  </si>
  <si>
    <t>0925-5273</t>
  </si>
  <si>
    <t>1873-7579</t>
  </si>
  <si>
    <t>10.1016/j.ijpe.2013.04.047</t>
  </si>
  <si>
    <t>WOS:000324844300009</t>
  </si>
  <si>
    <t>Hasanoglu, A; Romero, J; Plaza, A; Silva, W</t>
  </si>
  <si>
    <t>Hasanoglu, Ayca; Romero, Julio; Plaza, Andrea; Silva, Wladimir</t>
  </si>
  <si>
    <t>Gas-filled membrane absorption: a review of three different applications to describe the mass transfer by means of a unified approach</t>
  </si>
  <si>
    <t>DESALINATION AND WATER TREATMENT</t>
  </si>
  <si>
    <t>This work involves the presentation of a general approach to describe the gas-filled membrane absorption process by analyzing three different applications. Ammonia removal from wastewater was described in a previous work using a resistance-in-series model. In this contribution, this model has been applied to describe the HCN removal from wastewater as well as to characterize the transfer of SO2 from wines to a receiving solution to develop a new method for enhanced quantification of sulfite content. The experimental results of this novel technique for SO2 quantification and its theoretical validation are presented in this study. The analyzed operations are based on hydrophobic hollow fiber contactors, which are used to physically separate two aqueous phases: a feed solution containing a volatile compound and a reactive receiving solution. Mainly removal of three volatile compounds under this configuration was analyzed: NH3, HCN, and SO2. By this way, a unified description based on a resistance-in-series model was developed for the three chemical absorption systems, obtaining good agreement between experimental data and the predicted values. Furthermore, the extraction percentages were significantly high (up to 99.9%) for the three systems. The mass transfer model shows a significant influence of the hydrodynamic conditions of the feed solution, gas solubility, and the rate of reaction on the performance of the process.</t>
  </si>
  <si>
    <t>Hasanoglu, Ayca/0000-0002-2988-8504; Romero, Julio/0000-0002-1229-1592; Plaza, Andrea/0000-0001-9475-007X</t>
  </si>
  <si>
    <t>1944-3994</t>
  </si>
  <si>
    <t>1944-3986</t>
  </si>
  <si>
    <t>28-30</t>
  </si>
  <si>
    <t>10.1080/19443994.2013.769603</t>
  </si>
  <si>
    <t>WOS:000323194300030</t>
  </si>
  <si>
    <t>Gramsch, E; Le Nir, G; Araya, M; Rubio, MA; Moreno, E; Oyola, P</t>
  </si>
  <si>
    <t>Gramsch, E.; Le Nir, G.; Araya, M.; Rubio, M. A.; Moreno, E.; Oyola, P.</t>
  </si>
  <si>
    <t>Influence of large changes in public transportation (Transantiago) on the black carbon pollution near streets</t>
  </si>
  <si>
    <t>In 2006 a large transformation was carried out on the public transportation system in Santiago de Chile. The original system (before 2006) had hundreds of bus owners with about 7000 diesel buses. The new system has only 13 firms with about 5900 buses which operate in different parts of the city with little overlap between them. In this work we evaluate the impact of the Transantiago system on the black carbon pollution along four roads directly affected by the modification to the transport system. Measurements were carried out during May-July of 2005 (before Transantiago) and June-July of 2007 (after Transantiago). We have used the Wilcoxon rank-sum test to evaluate black carbon concentration in four streets in year 2005 and 2007. The results show that a statistically significant reduction between year 2005 (before Transantiago) and year 2007 (after Transantiago) in Alameda street, which changed from a mean of 18.8 mu g m(-3) in 2005 to 11.9 mu g m(-3) in 2007. In this street there was a decrease in the number of buses as well as the number of private vehicles and an improvement in the technology of public transportation between those years. Other two streets (Usach and Departamental) did not change or experienced a small increase in the black carbon concentration in spite of having less flux of buses in 2007. Eliodoro Yanez Street, which did not have public transportation in 2005 or 2007 experienced a 15% increase in the black carbon concentration between those years. Analysis of the data indicates that the change is related to a decrease in the total number of vehicles or the number of other diesel vehicles in the street rather than a decrease in the number of buses only. These results are an indication that in order to decrease pollution near a street is not enough to reduce the number of buses or improve its quality, but to reduce the total number of vehicles. (C) 2012 Elsevier Ltd. All rights reserved.</t>
  </si>
  <si>
    <t>Bajo, Maria/ABF-6991-2020; Gramsch, Ernesto/M-5507-2017</t>
  </si>
  <si>
    <t>Moreno, Francisco/0000-0001-9637-0919; Gramsch, Ernesto/0000-0002-6787-7355</t>
  </si>
  <si>
    <t>10.1016/j.atmosenv.2012.10.006</t>
  </si>
  <si>
    <t>WOS:000313840500016</t>
  </si>
  <si>
    <t>Romeo, JS; Torres-Avilés, F; López-Kleine, L</t>
  </si>
  <si>
    <t>Romeo, Jose S.; Torres-Aviles, Francisco; Lopez-Kleine, Liliana</t>
  </si>
  <si>
    <t>Detection of influent virulence and resistance genes in microarray data through quasi likelihood modeling</t>
  </si>
  <si>
    <t>MOLECULAR GENETICS AND GENOMICS</t>
  </si>
  <si>
    <t>Publicly available genomic data are a great source of biological knowledge that can be extracted when appropriate data analysis is used. Predicting the biological function of genes is of interest to understand molecular mechanisms of virulence and resistance in pathogens and hosts and is important for drug discovery and disease control. This is commonly done by searching for similar gene expression behavior. Here, we used publicly available Streptococcus pyogenes microarray data obtained during primate infection to identify genes that have a potential influence on virulence and Phytophtora infestance inoculated tomato microarray data to identify genes potentially implicated in resistance processes. This approach goes beyond co-expression analysis. We employed a quasi-likelihood model separated by primate gender/inoculation condition to model median gene expression of known virulence/resistance factors. Based on this model, an influence analysis considering time course measurement was performed to detect genes with atypical expression. This procedure allowed for the detection of genes potentially implicated in the infection process. Finally, we discuss the biological meaning of these results, showing that influence analysis is an efficient and useful alternative for functional gene prediction.</t>
  </si>
  <si>
    <t>Romeo, Jose/J-6496-2019; Torres-Aviles, Francisco/J-8269-2013</t>
  </si>
  <si>
    <t>Romeo, Jose/0000-0002-6707-3429; Torres-Aviles, Francisco/0000-0001-7973-4709</t>
  </si>
  <si>
    <t>1617-4615</t>
  </si>
  <si>
    <t>10.1007/s00438-012-0730-8</t>
  </si>
  <si>
    <t>WOS:000314411300004</t>
  </si>
  <si>
    <t>Andrade, RD; Skurtys, O; Osorio, F</t>
  </si>
  <si>
    <t>Andrade, R. D.; Skurtys, O.; Osorio, F.</t>
  </si>
  <si>
    <t>The impact of liquid drops on purple cabbage leaves (Brassica oleracea l. Var. Capitata)</t>
  </si>
  <si>
    <t>INGENIERIA E INVESTIGACION</t>
  </si>
  <si>
    <t>Liquid drop impact on solid surfaces has been well studied due to its wide industrial application; however, there are very few studies of liquid drop impact on vegetable surfaces. The present work determined the drop impact pattern on purple cabbage leaves' surface and evaluated the influence of water drop viscosity and surface tension. The pattern of fluid impact on cabbage surface was evaluated by using a high-speed camera (1250 frames/s) at different impact heights for Weber numbers ranging from 100-800. The results showed that greater maximum spread factor was achieved with higher impact speed and lower surface tension drops. Viscosity had great influence on maximum spread factor and on dynamic impact. Maximum scaled spread factor xi(max) was We(1/4) for low viscosity water drops (water and Tween20-water). Fluid viscosity could be increased or surface tension decreased to prevent droplet rebound and keep them on purple cabbage surface by spraying them with an edible coating.</t>
  </si>
  <si>
    <t>0120-5609</t>
  </si>
  <si>
    <t>2248-8723</t>
  </si>
  <si>
    <t>WOS:000315793700015</t>
  </si>
  <si>
    <t>The initial value problem for ordinary differential equations with infinitely many derivatives</t>
  </si>
  <si>
    <t>We study existence, uniqueness and regularity of solutions for ordinary differential equations with infinitely many derivatives such as (linearized versions of) nonlocal field equations of motion appearing in particle physics, nonlocal cosmology and string theory. We develop a Lorentzian functional calculus via Laplace transform which allows us to interpret rigorously operators of the form f(partial derivative(t)) on the half line, in which f is an analytic function. We find the most general solution to the equation f(partial derivative(t))phi = J(t), t &gt;= 0, in the space of exponentially bounded functions, and we also analyze in full detail the delicate issue of the initial value problem. In particular, we state conditions under which the solution f admits a finite number of derivatives, and we prove rigorously that if a finite set of a priori data directly connected with our Lorentzian calculus is specified, then the initial value problem is well posed and it requires only a finite number of initial conditions.</t>
  </si>
  <si>
    <t>Reyes, Enrique G./0000-0001-8460-444X; Gorka, Przemyslaw/0000-0002-1943-383X</t>
  </si>
  <si>
    <t>MAR 21</t>
  </si>
  <si>
    <t>10.1088/0264-9381/29/6/065017</t>
  </si>
  <si>
    <t>WOS:000301175600018</t>
  </si>
  <si>
    <t>Mallmann, EJJ; Góes, JC; Figueiró, SD; Ricardo, NMPS; Denardin, JC; Sombra, ASB; Maia, FJN; Mazzeto, SE; Fechine, PBA</t>
  </si>
  <si>
    <t>Mallmann, E. J. J.; Goes, J. C.; Figueiro, S. D.; Ricardo, N. M. P. S.; Denardin, J. C.; Sombra, A. S. B.; Maia, F. J. N.; Mazzeto, S. E.; Fechine, P. B. A.</t>
  </si>
  <si>
    <t>Microstructure and magneto-dielectric properties of the chitosan/gelatin-YIG biocomposites</t>
  </si>
  <si>
    <t>EXPRESS POLYMER LETTERS</t>
  </si>
  <si>
    <t>This work is devoted to the preparation of yttrium iron garnet (YIG) ferrimagnetic biocomposites based in biodegradable chitosan and gelatin. The aim was to produce composite films containing controlled amounts of YIG to obtain a new biological material with magneto-dielectric features. Structural characterization of the biocomposites was made by scanning electron microscopy, X-ray diffraction, infrared absorption spectroscopy and thermal analysis, while the dielectric and magnetic properties were obtained from dielectric spectroscopy and magnetic hysteresis loops, respectively. The versatility of the films obtained makes them possible candidates for use as biomaterials or electronic device.</t>
  </si>
  <si>
    <t>Ricardo, Nágila/C-3630-2015; Mazzetto, Selma/R-5406-2016; Sombra, Antonio/B-2963-2013; Maia, Francisco/A-7078-2013; Mallmann, Eduardo/AGY-4775-2022; Denardin, Juliano/S-6407-2019; Fechine, Pierre/B-7937-2013</t>
  </si>
  <si>
    <t>Goes, Julio Cesar/0000-0002-6324-7647; Fechine, Pierre/0000-0002-7822-2354; Ricardo, Nagila/0000-0003-1849-5403; Denardin, Juliano/0000-0002-1373-6207</t>
  </si>
  <si>
    <t>1788-618X</t>
  </si>
  <si>
    <t>10.3144/expresspolymlett.2011.102</t>
  </si>
  <si>
    <t>WOS:000296092700003</t>
  </si>
  <si>
    <t>Vera-Villarroel, P; López-López, W; Lillo, S; Silva, LM</t>
  </si>
  <si>
    <t>Vera-Villarroel, Pablo; Lopez-Lopez, Wilson; Lillo, Sebastian; Silva, Luis Manuel</t>
  </si>
  <si>
    <t>Scientific production in latin american psychology: an analysis of research in different countries</t>
  </si>
  <si>
    <t>Science production is one of the critical factors for country development. In Latin America, science development indicators in terms of publications and impact are traditionally far from the standards in countries with further scientific and technological development. These indicators, both in general and in Psychology, were evaluated in this study, through an analysis of Latin-American productivity of scientific articles between 1996 and 2008 in Scopus and Web of Science databases. Macro-trends that guided the development of science and Psychology in countries and institutions were identified, as the scientific impact of the publications. Results suggest that Brazil, Mexico, Argentina, Chile and Colombia have the best indicators in terms of production and impact, both in science and Psychology. Chile, Argentina and Brazil are the most productive countries per million inhabitants.</t>
  </si>
  <si>
    <t>Lillo, Sara/KVB-4124-2024; López López, Wilson/AAV-8032-2021; Silva, Luis Manuel/B-2213-2009; Vera-Villarroel, Pablo/A-1134-2011</t>
  </si>
  <si>
    <t>Silva, Luis Manuel/0000-0001-7051-0186; Lopez-Lopez, Wilson/0000-0002-2964-0402; Vera-Villarroel, Pablo/0000-0001-9187-8414</t>
  </si>
  <si>
    <t>WOS:000289610800009</t>
  </si>
  <si>
    <t>Urzúa, A; Santander, R; Echeverría, J; Villalobos, C; Palacios, SM; Rossi, Y</t>
  </si>
  <si>
    <t>Urzua, Alejandro; Santander, Roco; Echeverria, Javier; Villalobos, Carolina; Palacios, Sara M.; Rossi, Yanina</t>
  </si>
  <si>
    <t>Insecticidal Properties of Peumus boldus Mol. Essential Oil on the House Fly, Musca domestica L.</t>
  </si>
  <si>
    <t>The composition of the essential oil (EO) obtained by hydro distillation from dry leaves of Peumus boldus was analyzed using gas chromatography (GC) and gas chromatography/mass spectroscopy (GC/MS). The insecticidal activity of the oil against the house fly Musca domestica was evaluated by placing flies in a sealed glass jar containing a piece of EO-treated cotton yarn. The dose necessary to kill 50% of flies (LC50) in 1 h was determined at 26 +/- 1 degrees C. The essential oil from Peumus boldus showed potent insecticidal properties (LC50 = 6.26 mg/dm(3)). According to GC and GC/MS analysis, 1,8-cineol (36.72%); p-cymene (26.79%); ascaridol (6.25%); sabinene (5.10%); 4-terpineol (4.39%); beta-pinene (4.16%) and limonene (2.68%) were the principal components of the EO. The EO from Peumus boldus seems promising as a natural insecticide against houseflies. The peumus boldus essential oil reported in this paper is different to that reported in other publications. The most important differences are the low content of ascaridol and the high content of both 1,8-cineol and p-cimene which can be attributed to the time of year and the geographic location of the samples plants.</t>
  </si>
  <si>
    <t>Echeverría, Javier/AAK-3323-2020</t>
  </si>
  <si>
    <t>Echeverria, Javier/0000-0002-1688-968X; ROSSI, YANINA E/0000-0002-7500-0051; Urzua, Alejandro/0000-0003-2638-0921</t>
  </si>
  <si>
    <t>WOS:000287739700005</t>
  </si>
  <si>
    <t>Molina, M; Aburto, F; Calderón, R; Cazanga, M; Escudey, M</t>
  </si>
  <si>
    <t>Molina, Mauricio; Aburto, Fabian; Calderon, Raul; Cazanga, Marcia; Escudey, Mauricio</t>
  </si>
  <si>
    <t>Trace Element Composition of Selected Fertilizers Used in Chile: Phosphorus Fertilizers as a Source of Long-Term Soil Contamination</t>
  </si>
  <si>
    <t>SOIL &amp; SEDIMENT CONTAMINATION</t>
  </si>
  <si>
    <t>Anthropogenic activities like agriculture have resulted in increased concentrations of some trace elements of toxicological and environmental concern in soils. Application of fertilizers has been one of the major inputs of these contaminants to agricultural soils in developing countries. Twenty-two fertilizers, including straight nitrogen (N), phosphorus (P), potassium (K), and NK fertilizers and micronutrient sources, were analyzed by inductively coupled plasma optical emission spectrometry (ICP-OES)for arsenic (As), cadmium (Cd), cobalt (Co), chromium (Cr), copper (Cu), iron (Fe), manganese (Mn), molybdenum (Mo), nickel (Ni), lead (Pb), vanadium (V), and zinc (Zn). As expected, the trace element content of fertilizers was highly variable and related to the origin of the material. Phosphorus fertilizers, especially triple superphosphate, presented the highest As, Cd, Cu, Cr Ni, V and Zn concentrations. In some of these fertilizers, the Cr V and Zn contents reached values greater than 3475 mg kg(-1) of P, and the Cd content (up to 288 mg kg(-1) of P) was several times higher than the regulatory limits of different countries. Some micronutrient sources presented the highest concentrations of Mn and Pb. In the cases of N, K, and NK fertilizers, the trace element concentration was very low, sometimes below the detection limits. In some agricultural systems the input of trace elements such as As and Cd to the soil through P fertilizers application may be higher than the outputs through plant uptake and leaching; therefore the long-term use of these fertilizers may cause the trace element concentration to increase in the plow layer of agricultural soils.</t>
  </si>
  <si>
    <t>Calderon, Raul/AAP-5930-2020</t>
  </si>
  <si>
    <t>Calderon Araya, Raul Alexis/0000-0002-1094-9661</t>
  </si>
  <si>
    <t>1532-0383</t>
  </si>
  <si>
    <t>10.1080/15320380902962320</t>
  </si>
  <si>
    <t>WOS:000268240200008</t>
  </si>
  <si>
    <t>Nonlinear waves in dry and wet Hertzian granular chains</t>
  </si>
  <si>
    <t>Inaugural Meeting of the International Congress on Ultrasonic</t>
  </si>
  <si>
    <t>APR 09-12, 2007</t>
  </si>
  <si>
    <t>Vienna, AUSTRIA</t>
  </si>
  <si>
    <t>A one-dimensional dry granular medium, a chain of beads which interact via the nonlinear Hertz potential, exhibits strongly nonlinear behaviors. When such an alignment further contains some fluid in the interstices between grains, it may exhibit new interesting features. We report some recent experiments, analysis and numerical simulations concerning nonlinear wave propagation in dry and wet chains of spheres. We consider first a monodisperse chain as a reference case. We then analyze how the pulse characteristics are modified in the presence of an interstitial viscous fluid. The fluid not only induces dissipation but also strongly affect the intergrain stiffness: in a wet chain, wave speed is enhanced and pulses are shorter. Simple experiments performed with a single sphere colliding a wall covered by a thin film of fluid confirm these observations. We demonstrate that even a very small amount of fluid can overcome the Hertzian potential and is responsible for a large increase of contact stiffness. Possible mechanisms for wet contact hardening are related to large fluid shear rate during fast elastohydrodynamic collision between grains. (C) 2008 Elsevier B.V. All rights reserved.</t>
  </si>
  <si>
    <t>Tapia, Franco/JFJ-2655-2023; Santibañez, Francisco/E-4809-2011; Melo, Francisco/M-3923-2014; Job, Stephane/D-9735-2011</t>
  </si>
  <si>
    <t>Melo, Francisco Esteban/0000-0001-6818-5476; Job, Stephane/0000-0003-2853-1893; Tapia Uribe, Franco/0000-0001-9150-3700</t>
  </si>
  <si>
    <t>1874-9968</t>
  </si>
  <si>
    <t>10.1016/j.ultras.2008.03.006</t>
  </si>
  <si>
    <t>WOS:000260739300008</t>
  </si>
  <si>
    <t>Cruchaga, MA; Muñoz, CM; Celentano, DJ</t>
  </si>
  <si>
    <t>Cruchaga, Marcela A.; Munoz, Christian M.; Celentano, Diego J.</t>
  </si>
  <si>
    <t>Simulation and experimental validation of the motion of immersed rigid bodies in viscous flows</t>
  </si>
  <si>
    <t>In this work we present the numerical analysis of the motion of a rigid body immersed in a viscous fluid. The fluid flow induced by the gravity-driven motion of a rigid body is particularly analysed using cylinders and spheres. The Navier-Stokes equations coupled with the interface motion are solved in the framework of a finite element formulation. The interface of the rigid body is represented using a moving Lagrangian interface technique (MLIT). The proposed formulation is applied to describe the two-dimensional motion of a cylinder between parallel walls as well as the axisymmetric representation of a sphere assessing in both cases the effects of the walls distance on the velocity developed by such bodies. The numerical predictions are verified using different models for the analysis of the problem, and are validated by comparison with theoretical-empirical correlations. Moreover, the computed body velocities are compared with experimental data reported in the literature as well as measurements obtained from experiments carried out in the framework of the present work. (C) 2008 Elsevier B.V. All rights reserved.</t>
  </si>
  <si>
    <t>Celentano, Diego/JQW-5027-2023; Muñoz, Christian/H-6645-2016; Cruchaga, Marcela/M-7522-2014</t>
  </si>
  <si>
    <t>33-40</t>
  </si>
  <si>
    <t>10.1016/j.cma.2008.01.014</t>
  </si>
  <si>
    <t>WOS:000257666400011</t>
  </si>
  <si>
    <t>Solar, M; Perez, P; Watkins, F</t>
  </si>
  <si>
    <t>Bramer, M</t>
  </si>
  <si>
    <t>Solar, Mauricio; Perez, Patricio; Watkins, Francisco</t>
  </si>
  <si>
    <t>Neural recognition of minerals</t>
  </si>
  <si>
    <t>ARTIFICIAL INTELLIGENCE IN THEORY AND PRACTICE II</t>
  </si>
  <si>
    <t>International Federation for Information Processing</t>
  </si>
  <si>
    <t>20th World Computer Congress</t>
  </si>
  <si>
    <t>SEP 07-10, 2008</t>
  </si>
  <si>
    <t>Milan, ITALY</t>
  </si>
  <si>
    <t>IFIP TC 13</t>
  </si>
  <si>
    <t>The design of a neural network is presented for the recognition of six kinds of minerals (chalcopyrite, chalcosine, covelline, bornite, pyrite, and energite) and to determine the percentage of these minerals front a digitized image of a rock sample. The input to the neural network corresponds to the histogram of the region of interest selected by the user from the image that it is desired to recognize, which is processed by the neural network, identifying one of the six minerals learned. The network's training process took place with 160 regions of interest selected from digitized photographs of mineral samples. The recognition of the different types of minerals in the samples was tested with 240 photographs that were not used in the network's training. The results showed that 97% of the images used to train the network were recognized correctly in the percentage mode. Of the new images, the network was capable of recognizing correctly 91% of the samples.</t>
  </si>
  <si>
    <t>Solar, Mauricio/AAE-9673-2020; Perez, Patricio/AAS-7390-2020</t>
  </si>
  <si>
    <t>Solar, Mauricio/0000-0002-4433-4622; Perez, Patricio/0000-0003-1234-4233</t>
  </si>
  <si>
    <t>1571-5736</t>
  </si>
  <si>
    <t>978-0-387-09694-0</t>
  </si>
  <si>
    <t>WOS:000259037000043</t>
  </si>
  <si>
    <t>Castro-Rodriguez, JA; Daszenies, C; Garcia, M; Meyer, R; Gonzales, R</t>
  </si>
  <si>
    <t>Castro-Rodriguez, Jose A.; Daszenies, Cecilia; Garcia, Marianela; Meyer, Rodolfo; Gonzales, Ramiro</t>
  </si>
  <si>
    <t>Adenovirus pneumonia in infants and factors for developing bronchiolitis obliterans: A 5-year follow-up</t>
  </si>
  <si>
    <t>To describe clinical, pulmonary function, and chest tomography profiles in a 5-year follow-up of infants with adenovirus pneumonia and determine the factors that potentially contributed to the development of bronchiolitis obliterans (BO). We prospectively assessed 45 hospitalized infants with adenovirus pneumonia with additional follow-up for 5 years. At the end of the study, pulmonary function by impulse oscillometry technique (IOS) and chest tomography were performed in the 38 surviving patients (mean 5.7 years of age). We divided the population between those who developed chest tomography evidence of BO and those who did not. Most of the children developed adenovirus infection before 2 years of age. During the 5 years of follow-up, almost half (47.4%) developed BO. Children who developed BO had significantly more respiratory compromise (intensive care admission, need for mechanical ventilation and for oxygen therapy, and systemic corticosteroid and beta agonist use) during their adenovirus pneumonia episode than those who did not develop BO. Only 33.3% of children with BO had normal impedance compared with 85% in the no BO group. Children who developed BO had significantly higher levels of Zrs, R5, X5 and predicted Zrs, R5, and X5 and frequency. However, there were no differences in the beta 2 agonist response between the children with and without BO (94% vs. 80%, respectively). This study represents the spectra of adenovirus pneumonia ranging from relatively mild to severe and fatal cases. Children with severe pulmonary compromise are usually more prone to develop BO.</t>
  </si>
  <si>
    <t>Castro-Rodriguez, Jose A./0000-0002-0708-4281</t>
  </si>
  <si>
    <t>1099-0496</t>
  </si>
  <si>
    <t>10.1002/ppul.20472</t>
  </si>
  <si>
    <t>WOS:000241169600006</t>
  </si>
  <si>
    <t>Fernández, C; Palma, G; Prado, H</t>
  </si>
  <si>
    <t>Resonances for Hamiltonians with a delta perturbation in one dimension</t>
  </si>
  <si>
    <t>JOURNAL OF PHYSICS A-MATHEMATICAL AND GENERAL</t>
  </si>
  <si>
    <t>We analyse the existence of almost exponentially decaying states associated with quasi-stationary states of the Hamiltonian H omega = -(dx2)/(d2) + omega delta(a) defined on L-2 (R+), where delta(a) is the repulsive delta potential. We use Krein's fon-nula to study the time evolution of the system defined by H,,,. In this paper we find that the quasi-stationary states in the infinite limit omega -&gt; infinity, decay almost exponentially; this fact can be explained physically due to the existence of resonances.</t>
  </si>
  <si>
    <t>0305-4470</t>
  </si>
  <si>
    <t>10.1088/0305-4470/38/34/005</t>
  </si>
  <si>
    <t>WOS:000231933500008</t>
  </si>
  <si>
    <t>Mejía-López, J; Soto, P; Altbir, D</t>
  </si>
  <si>
    <t>Asymmetric reversal of the hysteresis loop in exchange-biased nanodots -: art. no. 104422</t>
  </si>
  <si>
    <t>PHYSICAL REVIEW B</t>
  </si>
  <si>
    <t>The magnetic response of a ferromagnetic cylindrical dot in contact with an antiferromagnetic substrate and its reversal modes during the cycling of an external magnetic field H are investigated by means of Monte Carlo simulations. We found that there is a nonuniform distribution of the magnetization in the ferromagnet along the direction perpendicular to the interface. This effect gives rise to different magnetization reversals in the two branches of the hysteresis cycle.</t>
  </si>
  <si>
    <t>SOTO RODRIGUEZ, PAUL/B-8813-2016; Altbir, Dora/R-6781-2018; Mejia-Lopez, Jose/T-6773-2017</t>
  </si>
  <si>
    <t>SOTO RODRIGUEZ, PAUL/0000-0002-2425-932X; Altbir, Dora/0000-0002-2945-4909; Mejia-Lopez, Jose/0000-0003-0301-3408</t>
  </si>
  <si>
    <t>2469-9950</t>
  </si>
  <si>
    <t>2469-9969</t>
  </si>
  <si>
    <t>10.1103/PhysRevB.71.104422</t>
  </si>
  <si>
    <t>WOS:000228065400058</t>
  </si>
  <si>
    <t>Pedreschi, F; Segnini, S; Dejmek, P</t>
  </si>
  <si>
    <t>Evaluation of the texture of fried potatoes</t>
  </si>
  <si>
    <t>JOURNAL OF TEXTURE STUDIES</t>
  </si>
  <si>
    <t>Texture of potatoes with different shapes (slices and strips) were evaluated after frying and in some cases after baking. Blanched and unblanched potato slices (Bintje variety) were fried at four oil temperatures: 160, 170, 180 and 190C until reaching a moisture content of similar to1.7%. A puncture test with three point support for the slices was applied to measure the texture of potato chips using the following parameters extracted from the force versus distance curves: maximum force of break (MFB) and deformation of break (DB). These two parameters were useful to follow the changes in texture of the fried slices with moisture content at different frying temperatures. Blanched and unblanched potato strips were partially fried at 160C and 190C for 60, 90 and 120 s. The par-fried potatoes were frozen at -20Cfor one day after which they were baked at 200C for 15 min. The texture of the baked potato strips was evaluated using a bending test with two support points. From the force versus distance curves, two parameters were extracted: maximum force of deformation (MFD) and maximum deformation (MD). Significant higher MFB and lower DB values (P &gt; 0.1) for unblanched fried slices indicate that these are crispier than blanched chips for moisture contents lower than 4% (6.59 N and 0.62 mm vs 5.74 N and vs 0.75 mm for unblanched and blanched chips, respectively, average values for the four frying temperatures employed). There was no effect of the frying temperature and the pretreatment (blanching or unblanching) on the texture of the frozen par-fried potatoes after baking when compared at the same residual moisture content, but blanched potato strips lost moisture more slowly both in frying and in baking.</t>
  </si>
  <si>
    <t>0022-4901</t>
  </si>
  <si>
    <t>1745-4603</t>
  </si>
  <si>
    <t>10.1111/j.1745-4603.2004.tb00838.x</t>
  </si>
  <si>
    <t>WOS:000224078500004</t>
  </si>
  <si>
    <t>Espinosa, V; Kettlun, AM; Zanocco, A; Cardemil, E; Valenzuela, MA</t>
  </si>
  <si>
    <t>Differences in nucleotide-binding site of isoapyrases deduced from tryptophan fluorescence</t>
  </si>
  <si>
    <t>Comparative studies of intrinsic and extrinsic fluorescence of apyrases purified from two potato tuber varieties (Pimpernel and Desiree) were performed to determine differences in the microenvironment of the nucleotide binding site. The dissociation constants (K-d) of Pimpernel apyrase for the binding of different fluorescent substrate analogs: methylanthranoyl (MANT-), trinitrophenyl (TNP-), and epsilon-derivatives of ATP and ADP were determined from the quenching of Trp fluorescence, and compared with Kd values previously reported for Desiree enzyme. Binding of non-fluorescent substrate analogues decreased the Trp emission of both isoapyrases, indicating conformational changes in the vicinity of these residues. Similar effect was observed with fluorescent derivatives where, in the quenching effect, the transfer of energy from tryptophan residues to the fluorophore moiety could be additionally involved. The existence of energy transfer between Trp residues in the Pimpernel enzyme was demonstrated with E-analogues, similar to our previous observations with the Desiree. From these results we deduced that tryptophan residues are close to or in the nucleotide binding site in both enzymes. Experiments with quenchers like acrylamide, Cs+ and I-, both in the presence and absence of nucleotide analogues, suggest the existence of differences in the nucleotide binding site of the two enzymes. From the results obtained in this work, we can conclude that the differences found in the microenvironment of the nucleotide binding site can explain, at least in part, the kinetic behaviour of both isoenzymes. (C) 2003 Elsevier Science Ltd. All rights reserved.</t>
  </si>
  <si>
    <t>Espinosa, Victoria/0000-0003-3280-6394; ZANOCCO, ANTONIO/0000-0002-6521-5382</t>
  </si>
  <si>
    <t>1873-3700</t>
  </si>
  <si>
    <t>10.1016/S0031-9422(02)00672-6</t>
  </si>
  <si>
    <t>WOS:000182286700002</t>
  </si>
  <si>
    <t>Garcia-Lopez, LJ; Olivares, J; Vera-Villarroel, PE</t>
  </si>
  <si>
    <t>Social phobia: a review of assessment instruments validated for Spanish-speaking populations</t>
  </si>
  <si>
    <t>The purpose of this study is to review the state of the art in scales validated to measure especifically social anxiety. Scales developed for adults, adolescents and children were reviewed; focused on those reporting psychometric properties for Spanish-speaking populations. Finally, first-election scales for each range of age will be provided.</t>
  </si>
  <si>
    <t>GARCIA-LOPEZ, LUISJOAQUIN/C-8215-2011; Olivares Rodríguez, José/F-5059-2016; Vera-Villarroel, Pablo/A-1134-2011</t>
  </si>
  <si>
    <t>WOS:000185129600002</t>
  </si>
  <si>
    <t>Gargallo, L; Leiva, A; Radic, D; Leon, A</t>
  </si>
  <si>
    <t>Experimental evidence of aggregation effects in comblike poly(mono-n-alkyl itaconates)</t>
  </si>
  <si>
    <t>Leiva-Campusano, Angel Rodrigo/0000-0003-3744-1945</t>
  </si>
  <si>
    <t>10.1021/la970800w</t>
  </si>
  <si>
    <t>WOS:000075753800052</t>
  </si>
  <si>
    <t>Caceres, PJ; Faundez, CA; Matsuhiro, B; Vasquez, JA</t>
  </si>
  <si>
    <t>Carrageenophyte identification by second-derivative Fourier transform infrared spectroscopy</t>
  </si>
  <si>
    <t>The second-derivative mode of the Fourier transform I.R. spectra of dried algal material has been applied to distinguish the carrageenans-producing Stenogramme interrupta from the isomorphous species Rhodymenia howeana. Spectra of the tetrasporophyte S. interrupta showed bands assigned to a lambda-carrageenan type polysaccharide, while the gametophytic and cystocarpic plants showed the characteristic absorptions of kappa-and (sic)-carrageenans. Results were confirmed by hot water extraction of samples of the three nuclear phases of S. interrupta and characterization of the extracts by chemical analysis.</t>
  </si>
  <si>
    <t>10.1007/BF02186331</t>
  </si>
  <si>
    <t>WOS:A1996WV46200008</t>
  </si>
  <si>
    <t>GAMBOA, J</t>
  </si>
  <si>
    <t>MODEL OF 2-DIMENSIONAL QUANTUM-GRAVITY IN THE STRONG-COUPLING REGIME</t>
  </si>
  <si>
    <t>Gamboa, Jorge/R-8744-2019</t>
  </si>
  <si>
    <t>MAR 13</t>
  </si>
  <si>
    <t>10.1103/PhysRevLett.74.1900</t>
  </si>
  <si>
    <t>WOS:A1995QL58400002</t>
  </si>
  <si>
    <t>PAEZ, M; URETAZANARTU, MS; ZAGAL, JH; BUSTOS, O; THOMPSON, GE</t>
  </si>
  <si>
    <t>EFFECT OF THIOUREA ON THE ELECTRICAL BREAKDOWN OF ALUMINUM</t>
  </si>
  <si>
    <t>11th Latin-American Congress on Electrochemistry/9th Brazilian Symposium on Electrochemistry and Electroanalysis</t>
  </si>
  <si>
    <t>APR 04-09, 1994</t>
  </si>
  <si>
    <t>AGUAS DE LINDOIA, BRAZIL</t>
  </si>
  <si>
    <t>High resolution SEM of anodized aluminium surfaces and TEM of stripped films were employed to study the influence of thiourea during the anodizing of superpure aluminium in ammonium pentaborate. The addition of thiourea into the electrolyte increased the breakdown voltage by 25 V, notably decreasing the population density of the breakdown events. This effect seems to be associated with a reduction in the flaw population density. Supplementary voltammetric studies on Al (99.99 wt%), Cu (99.99 wt%) and Al-3.5 wt% Cu, suggest that such a reduction is related to local adsorption of thiourea at the respective surfaces.</t>
  </si>
  <si>
    <t>zagal, jose/L-9648-2014; Paez, Maritza/M-2010-2014; Ureta-Zañartu, Maria/G-5239-2019; Pappas, Georgios/F-7194-2014</t>
  </si>
  <si>
    <t>10.5935/0103-5053.19950010</t>
  </si>
  <si>
    <t>WOS:A1995RF70700011</t>
  </si>
  <si>
    <t>CONTRERAS, JM; AYAL, HA; RABAGLIATI, FM</t>
  </si>
  <si>
    <t>POLYMERIZATION OF STYRENE WITH DIPHENYLZINC-BUTANONE SYSTEMS</t>
  </si>
  <si>
    <t>In the present work we report the results of the Polymerization of styrene using diphenylzinc-butanone, Ph2Zn-MeCOEt. Our results indicate that these systems induce the polymerization of styrene reaching a larger conversion when the molar ratio MeCOEt/Ph2Zn = 1,0. According to size exclusion chromatography, SEC, studies of the polystyrene obtained using the Ph2Zn-MeCOEt showed unimodal curves and have molecular weight distribution narrower than those obtained using the Ph2Zn-H2O system, suggesting a more simple reaction system.</t>
  </si>
  <si>
    <t>10.1007/BF00587876</t>
  </si>
  <si>
    <t>WOS:A1994NH32200001</t>
  </si>
  <si>
    <t>GAETEGARRETON, L; VARGASHERNANDEZ, Y; PINODUBREUIL, S; MONTOYAVITINI, F</t>
  </si>
  <si>
    <t>ULTRASONIC DETECTORS FOR HIGH-INTENSITY ACOUSTIC FIELDS</t>
  </si>
  <si>
    <t>SENSORS AND ACTUATORS A-PHYSICAL</t>
  </si>
  <si>
    <t>EUROSENSORS 6</t>
  </si>
  <si>
    <t>OCT 05-07, 1992</t>
  </si>
  <si>
    <t>SAN SEBASTIAN, SPAIN</t>
  </si>
  <si>
    <t>The design, construction and performance of two types of miniature ceramic hydrophones are described. They are intended to measure acoustic pressure in a strongly cavitating environment at low ultrasonic frequencies. One of the devices has a diameter of 4 mm; it has a good response curve and a sensitivity of approximately -229 dB with reference to 1 V muPa-1. The other probe is designed to work in a high-temperature cavitating environment; it has 3 mm diameter and a sensitivity of -232 dB with reference to 1 V muPa-1. A specially designed electronic amplifier improves the signal-noise ratio, furnishing a voltage pin of 20 dB in all the band. The impedance adaptation of the signal amplifier allows long wires to be used to conduct the signal to the measuring apparatus.</t>
  </si>
  <si>
    <t>Montoya, Fausto/L-5962-2014</t>
  </si>
  <si>
    <t>Montoya, Fausto/0000-0002-8817-8705; Gaete-Garreton, Luis/0000-0002-2234-8783</t>
  </si>
  <si>
    <t>0924-4247</t>
  </si>
  <si>
    <t>JUN-AUG</t>
  </si>
  <si>
    <t>37-8</t>
  </si>
  <si>
    <t>10.1016/0924-4247(93)80070-W</t>
  </si>
  <si>
    <t>WOS:A1993MA15300068</t>
  </si>
  <si>
    <t>AYAL, H; GARGALLO, L; RADIC, D</t>
  </si>
  <si>
    <t>VISCOSITY BEHAVIOR OF DILUTE AND MODERATELY CONCENTRATED-SOLUTIONS .1. POLY(VINYLPYRROLIDONE) IN 2-PROPANOL</t>
  </si>
  <si>
    <t>INTERNATIONAL JOURNAL OF POLYMERIC MATERIALS</t>
  </si>
  <si>
    <t>The zero-shear viscosity of dilute to moderately concentrated poly(vinylpyrrolidone) solutions in 2-propanol were measured at different temperatures in the newtonian flow range. The viscosity data were analyzed in terms of Martin's and Fedor's equations. The viscosity-concentration data were generalized in terms of reduced variables. The relation between the K(M) parameter for the rheological interaction and some characteristics of polymer solutions such as the flexibility of the PVP chain is discussed. The temperature dependence of viscosities was expressed by the Arrhenius-Frenkel-Eyring equation and the activation energy of viscous flow of polymer solutions (DELTAGv) was calculated. It was shown that DELTAGv increases with concentration and it is independent of the temperature.</t>
  </si>
  <si>
    <t>0091-4037</t>
  </si>
  <si>
    <t>10.1080/00914039308009658</t>
  </si>
  <si>
    <t>WOS:A1993MV05000005</t>
  </si>
  <si>
    <t>DENAMOR, AFD; TRABOULSSI, R; MARQUARDT, FH</t>
  </si>
  <si>
    <t>ENTHALPIES AND ENTROPIES OF SOLUTION OF ELECTROLYTES CONTAINING 4-HYDROXYPHENYLAZOBENZOATE AND CHLORO-4-HYDROXYPHENYLAZOBENZOATE ANIONS IN WATER AND IN METHANOL - DERIVED SINGLE-ION VALUES FOR THE TRANSFER OF THESE ANIONS FROM WATER TO METHANOL</t>
  </si>
  <si>
    <t>APR 7</t>
  </si>
  <si>
    <t>10.1039/ft9908601067</t>
  </si>
  <si>
    <t>WOS:A1990CX82700007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</si>
</sst>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74</v>
      </c>
      <c r="AB2" s="1" t="s">
        <v>79</v>
      </c>
      <c r="AC2" s="1" t="s">
        <v>74</v>
      </c>
      <c r="AD2" s="1" t="s">
        <v>74</v>
      </c>
      <c r="AE2" s="1" t="s">
        <v>74</v>
      </c>
      <c r="AF2" s="1" t="s">
        <v>74</v>
      </c>
      <c r="AG2" s="1" t="s">
        <v>74</v>
      </c>
      <c r="AH2" s="1" t="s">
        <v>74</v>
      </c>
      <c r="AI2" s="1" t="s">
        <v>74</v>
      </c>
      <c r="AJ2" s="1" t="s">
        <v>74</v>
      </c>
      <c r="AK2" s="1" t="s">
        <v>74</v>
      </c>
      <c r="AL2" s="1" t="s">
        <v>74</v>
      </c>
      <c r="AM2" s="1" t="s">
        <v>74</v>
      </c>
      <c r="AN2" s="1" t="s">
        <v>74</v>
      </c>
      <c r="AO2" s="1" t="s">
        <v>80</v>
      </c>
      <c r="AP2" s="1" t="s">
        <v>81</v>
      </c>
      <c r="AQ2" s="1" t="s">
        <v>74</v>
      </c>
      <c r="AR2" s="1" t="s">
        <v>74</v>
      </c>
      <c r="AS2" s="1" t="s">
        <v>74</v>
      </c>
      <c r="AT2" s="1" t="s">
        <v>82</v>
      </c>
      <c r="AU2" s="1">
        <v>2017.0</v>
      </c>
      <c r="AV2" s="1">
        <v>46.0</v>
      </c>
      <c r="AW2" s="1" t="s">
        <v>74</v>
      </c>
      <c r="AX2" s="1" t="s">
        <v>74</v>
      </c>
      <c r="AY2" s="1" t="s">
        <v>74</v>
      </c>
      <c r="AZ2" s="1" t="s">
        <v>74</v>
      </c>
      <c r="BA2" s="1" t="s">
        <v>74</v>
      </c>
      <c r="BB2" s="1">
        <v>572.0</v>
      </c>
      <c r="BC2" s="1">
        <v>580.0</v>
      </c>
      <c r="BD2" s="1" t="s">
        <v>74</v>
      </c>
      <c r="BE2" s="1" t="s">
        <v>83</v>
      </c>
      <c r="BF2" s="2" t="str">
        <f>HYPERLINK("http://dx.doi.org/10.1016/j.apm.2017.01.058","http://dx.doi.org/10.1016/j.apm.2017.01.058")</f>
        <v>http://dx.doi.org/10.1016/j.apm.2017.01.058</v>
      </c>
      <c r="BG2" s="1" t="s">
        <v>74</v>
      </c>
      <c r="BH2" s="1" t="s">
        <v>74</v>
      </c>
      <c r="BI2" s="1" t="s">
        <v>74</v>
      </c>
      <c r="BJ2" s="1" t="s">
        <v>74</v>
      </c>
      <c r="BK2" s="1" t="s">
        <v>74</v>
      </c>
      <c r="BL2" s="1" t="s">
        <v>74</v>
      </c>
      <c r="BM2" s="1" t="s">
        <v>74</v>
      </c>
      <c r="BN2" s="1" t="s">
        <v>74</v>
      </c>
      <c r="BO2" s="1" t="s">
        <v>74</v>
      </c>
      <c r="BP2" s="1" t="s">
        <v>74</v>
      </c>
      <c r="BQ2" s="1" t="s">
        <v>74</v>
      </c>
      <c r="BR2" s="1" t="s">
        <v>74</v>
      </c>
      <c r="BS2" s="1" t="s">
        <v>84</v>
      </c>
      <c r="BT2" s="1" t="str">
        <f>HYPERLINK("https%3A%2F%2Fwww.webofscience.com%2Fwos%2Fwoscc%2Ffull-record%2FWOS:000403742000036","View Full Record in Web of Science")</f>
        <v>View Full Record in Web of Science</v>
      </c>
    </row>
    <row r="3" ht="12.75" customHeight="1">
      <c r="A3" s="1" t="s">
        <v>72</v>
      </c>
      <c r="B3" s="1" t="s">
        <v>85</v>
      </c>
      <c r="C3" s="1" t="s">
        <v>74</v>
      </c>
      <c r="D3" s="1" t="s">
        <v>74</v>
      </c>
      <c r="E3" s="1" t="s">
        <v>74</v>
      </c>
      <c r="F3" s="1" t="s">
        <v>86</v>
      </c>
      <c r="G3" s="1" t="s">
        <v>74</v>
      </c>
      <c r="H3" s="1" t="s">
        <v>74</v>
      </c>
      <c r="I3" s="1" t="s">
        <v>87</v>
      </c>
      <c r="J3" s="1" t="s">
        <v>88</v>
      </c>
      <c r="K3" s="1" t="s">
        <v>74</v>
      </c>
      <c r="L3" s="1" t="s">
        <v>74</v>
      </c>
      <c r="M3" s="1" t="s">
        <v>74</v>
      </c>
      <c r="N3" s="1" t="s">
        <v>74</v>
      </c>
      <c r="O3" s="1" t="s">
        <v>74</v>
      </c>
      <c r="P3" s="1" t="s">
        <v>74</v>
      </c>
      <c r="Q3" s="1" t="s">
        <v>74</v>
      </c>
      <c r="R3" s="1" t="s">
        <v>74</v>
      </c>
      <c r="S3" s="1" t="s">
        <v>74</v>
      </c>
      <c r="T3" s="1" t="s">
        <v>74</v>
      </c>
      <c r="U3" s="1" t="s">
        <v>74</v>
      </c>
      <c r="V3" s="1" t="s">
        <v>89</v>
      </c>
      <c r="W3" s="1" t="s">
        <v>74</v>
      </c>
      <c r="X3" s="1" t="s">
        <v>74</v>
      </c>
      <c r="Y3" s="1" t="s">
        <v>74</v>
      </c>
      <c r="Z3" s="1" t="s">
        <v>74</v>
      </c>
      <c r="AA3" s="1" t="s">
        <v>90</v>
      </c>
      <c r="AB3" s="1" t="s">
        <v>91</v>
      </c>
      <c r="AC3" s="1" t="s">
        <v>74</v>
      </c>
      <c r="AD3" s="1" t="s">
        <v>74</v>
      </c>
      <c r="AE3" s="1" t="s">
        <v>74</v>
      </c>
      <c r="AF3" s="1" t="s">
        <v>74</v>
      </c>
      <c r="AG3" s="1" t="s">
        <v>74</v>
      </c>
      <c r="AH3" s="1" t="s">
        <v>74</v>
      </c>
      <c r="AI3" s="1" t="s">
        <v>74</v>
      </c>
      <c r="AJ3" s="1" t="s">
        <v>74</v>
      </c>
      <c r="AK3" s="1" t="s">
        <v>74</v>
      </c>
      <c r="AL3" s="1" t="s">
        <v>74</v>
      </c>
      <c r="AM3" s="1" t="s">
        <v>74</v>
      </c>
      <c r="AN3" s="1" t="s">
        <v>74</v>
      </c>
      <c r="AO3" s="1" t="s">
        <v>92</v>
      </c>
      <c r="AP3" s="1" t="s">
        <v>93</v>
      </c>
      <c r="AQ3" s="1" t="s">
        <v>74</v>
      </c>
      <c r="AR3" s="1" t="s">
        <v>74</v>
      </c>
      <c r="AS3" s="1" t="s">
        <v>74</v>
      </c>
      <c r="AT3" s="1" t="s">
        <v>94</v>
      </c>
      <c r="AU3" s="1">
        <v>2017.0</v>
      </c>
      <c r="AV3" s="1">
        <v>88.0</v>
      </c>
      <c r="AW3" s="1" t="s">
        <v>74</v>
      </c>
      <c r="AX3" s="1" t="s">
        <v>74</v>
      </c>
      <c r="AY3" s="1" t="s">
        <v>74</v>
      </c>
      <c r="AZ3" s="1" t="s">
        <v>74</v>
      </c>
      <c r="BA3" s="1" t="s">
        <v>74</v>
      </c>
      <c r="BB3" s="1">
        <v>1.0</v>
      </c>
      <c r="BC3" s="1">
        <v>10.0</v>
      </c>
      <c r="BD3" s="1" t="s">
        <v>74</v>
      </c>
      <c r="BE3" s="1" t="s">
        <v>95</v>
      </c>
      <c r="BF3" s="2" t="str">
        <f>HYPERLINK("http://dx.doi.org/10.1016/j.ijnonlinmec.2016.09.012","http://dx.doi.org/10.1016/j.ijnonlinmec.2016.09.012")</f>
        <v>http://dx.doi.org/10.1016/j.ijnonlinmec.2016.09.012</v>
      </c>
      <c r="BG3" s="1" t="s">
        <v>74</v>
      </c>
      <c r="BH3" s="1" t="s">
        <v>74</v>
      </c>
      <c r="BI3" s="1" t="s">
        <v>74</v>
      </c>
      <c r="BJ3" s="1" t="s">
        <v>74</v>
      </c>
      <c r="BK3" s="1" t="s">
        <v>74</v>
      </c>
      <c r="BL3" s="1" t="s">
        <v>74</v>
      </c>
      <c r="BM3" s="1" t="s">
        <v>74</v>
      </c>
      <c r="BN3" s="1" t="s">
        <v>74</v>
      </c>
      <c r="BO3" s="1" t="s">
        <v>74</v>
      </c>
      <c r="BP3" s="1" t="s">
        <v>74</v>
      </c>
      <c r="BQ3" s="1" t="s">
        <v>74</v>
      </c>
      <c r="BR3" s="1" t="s">
        <v>74</v>
      </c>
      <c r="BS3" s="1" t="s">
        <v>96</v>
      </c>
      <c r="BT3" s="1" t="str">
        <f>HYPERLINK("https%3A%2F%2Fwww.webofscience.com%2Fwos%2Fwoscc%2Ffull-record%2FWOS:000390074100001","View Full Record in Web of Science")</f>
        <v>View Full Record in Web of Science</v>
      </c>
    </row>
    <row r="4" ht="12.75" customHeight="1">
      <c r="A4" s="1" t="s">
        <v>72</v>
      </c>
      <c r="B4" s="1" t="s">
        <v>97</v>
      </c>
      <c r="C4" s="1" t="s">
        <v>74</v>
      </c>
      <c r="D4" s="1" t="s">
        <v>74</v>
      </c>
      <c r="E4" s="1" t="s">
        <v>74</v>
      </c>
      <c r="F4" s="1" t="s">
        <v>98</v>
      </c>
      <c r="G4" s="1" t="s">
        <v>74</v>
      </c>
      <c r="H4" s="1" t="s">
        <v>74</v>
      </c>
      <c r="I4" s="1" t="s">
        <v>99</v>
      </c>
      <c r="J4" s="1" t="s">
        <v>100</v>
      </c>
      <c r="K4" s="1" t="s">
        <v>74</v>
      </c>
      <c r="L4" s="1" t="s">
        <v>74</v>
      </c>
      <c r="M4" s="1" t="s">
        <v>74</v>
      </c>
      <c r="N4" s="1" t="s">
        <v>74</v>
      </c>
      <c r="O4" s="1" t="s">
        <v>74</v>
      </c>
      <c r="P4" s="1" t="s">
        <v>74</v>
      </c>
      <c r="Q4" s="1" t="s">
        <v>74</v>
      </c>
      <c r="R4" s="1" t="s">
        <v>74</v>
      </c>
      <c r="S4" s="1" t="s">
        <v>74</v>
      </c>
      <c r="T4" s="1" t="s">
        <v>74</v>
      </c>
      <c r="U4" s="1" t="s">
        <v>74</v>
      </c>
      <c r="V4" s="1" t="s">
        <v>101</v>
      </c>
      <c r="W4" s="1" t="s">
        <v>74</v>
      </c>
      <c r="X4" s="1" t="s">
        <v>74</v>
      </c>
      <c r="Y4" s="1" t="s">
        <v>74</v>
      </c>
      <c r="Z4" s="1" t="s">
        <v>74</v>
      </c>
      <c r="AA4" s="1" t="s">
        <v>102</v>
      </c>
      <c r="AB4" s="1" t="s">
        <v>103</v>
      </c>
      <c r="AC4" s="1" t="s">
        <v>74</v>
      </c>
      <c r="AD4" s="1" t="s">
        <v>74</v>
      </c>
      <c r="AE4" s="1" t="s">
        <v>74</v>
      </c>
      <c r="AF4" s="1" t="s">
        <v>74</v>
      </c>
      <c r="AG4" s="1" t="s">
        <v>74</v>
      </c>
      <c r="AH4" s="1" t="s">
        <v>74</v>
      </c>
      <c r="AI4" s="1" t="s">
        <v>74</v>
      </c>
      <c r="AJ4" s="1" t="s">
        <v>74</v>
      </c>
      <c r="AK4" s="1" t="s">
        <v>74</v>
      </c>
      <c r="AL4" s="1" t="s">
        <v>74</v>
      </c>
      <c r="AM4" s="1" t="s">
        <v>74</v>
      </c>
      <c r="AN4" s="1" t="s">
        <v>74</v>
      </c>
      <c r="AO4" s="1" t="s">
        <v>104</v>
      </c>
      <c r="AP4" s="1" t="s">
        <v>105</v>
      </c>
      <c r="AQ4" s="1" t="s">
        <v>74</v>
      </c>
      <c r="AR4" s="1" t="s">
        <v>74</v>
      </c>
      <c r="AS4" s="1" t="s">
        <v>74</v>
      </c>
      <c r="AT4" s="1" t="s">
        <v>106</v>
      </c>
      <c r="AU4" s="1">
        <v>2011.0</v>
      </c>
      <c r="AV4" s="1">
        <v>90.0</v>
      </c>
      <c r="AW4" s="1">
        <v>3.0</v>
      </c>
      <c r="AX4" s="1" t="s">
        <v>74</v>
      </c>
      <c r="AY4" s="1" t="s">
        <v>74</v>
      </c>
      <c r="AZ4" s="1" t="s">
        <v>74</v>
      </c>
      <c r="BA4" s="1" t="s">
        <v>74</v>
      </c>
      <c r="BB4" s="1">
        <v>219.0</v>
      </c>
      <c r="BC4" s="1">
        <v>224.0</v>
      </c>
      <c r="BD4" s="1" t="s">
        <v>74</v>
      </c>
      <c r="BE4" s="1" t="s">
        <v>107</v>
      </c>
      <c r="BF4" s="2" t="str">
        <f>HYPERLINK("http://dx.doi.org/10.1016/j.dyepig.2011.01.001","http://dx.doi.org/10.1016/j.dyepig.2011.01.001")</f>
        <v>http://dx.doi.org/10.1016/j.dyepig.2011.01.001</v>
      </c>
      <c r="BG4" s="1" t="s">
        <v>74</v>
      </c>
      <c r="BH4" s="1" t="s">
        <v>74</v>
      </c>
      <c r="BI4" s="1" t="s">
        <v>74</v>
      </c>
      <c r="BJ4" s="1" t="s">
        <v>74</v>
      </c>
      <c r="BK4" s="1" t="s">
        <v>74</v>
      </c>
      <c r="BL4" s="1" t="s">
        <v>74</v>
      </c>
      <c r="BM4" s="1" t="s">
        <v>74</v>
      </c>
      <c r="BN4" s="1" t="s">
        <v>74</v>
      </c>
      <c r="BO4" s="1" t="s">
        <v>74</v>
      </c>
      <c r="BP4" s="1" t="s">
        <v>74</v>
      </c>
      <c r="BQ4" s="1" t="s">
        <v>74</v>
      </c>
      <c r="BR4" s="1" t="s">
        <v>74</v>
      </c>
      <c r="BS4" s="1" t="s">
        <v>108</v>
      </c>
      <c r="BT4" s="1" t="str">
        <f>HYPERLINK("https%3A%2F%2Fwww.webofscience.com%2Fwos%2Fwoscc%2Ffull-record%2FWOS:000289125000001","View Full Record in Web of Science")</f>
        <v>View Full Record in Web of Science</v>
      </c>
    </row>
    <row r="5" ht="12.75" customHeight="1">
      <c r="A5" s="1" t="s">
        <v>72</v>
      </c>
      <c r="B5" s="1" t="s">
        <v>109</v>
      </c>
      <c r="C5" s="1" t="s">
        <v>74</v>
      </c>
      <c r="D5" s="1" t="s">
        <v>74</v>
      </c>
      <c r="E5" s="1" t="s">
        <v>74</v>
      </c>
      <c r="F5" s="1" t="s">
        <v>110</v>
      </c>
      <c r="G5" s="1" t="s">
        <v>74</v>
      </c>
      <c r="H5" s="1" t="s">
        <v>74</v>
      </c>
      <c r="I5" s="1" t="s">
        <v>111</v>
      </c>
      <c r="J5" s="1" t="s">
        <v>112</v>
      </c>
      <c r="K5" s="1" t="s">
        <v>74</v>
      </c>
      <c r="L5" s="1" t="s">
        <v>74</v>
      </c>
      <c r="M5" s="1" t="s">
        <v>74</v>
      </c>
      <c r="N5" s="1" t="s">
        <v>74</v>
      </c>
      <c r="O5" s="1" t="s">
        <v>74</v>
      </c>
      <c r="P5" s="1" t="s">
        <v>74</v>
      </c>
      <c r="Q5" s="1" t="s">
        <v>74</v>
      </c>
      <c r="R5" s="1" t="s">
        <v>74</v>
      </c>
      <c r="S5" s="1" t="s">
        <v>74</v>
      </c>
      <c r="T5" s="1" t="s">
        <v>74</v>
      </c>
      <c r="U5" s="1" t="s">
        <v>74</v>
      </c>
      <c r="V5" s="1" t="s">
        <v>113</v>
      </c>
      <c r="W5" s="1" t="s">
        <v>74</v>
      </c>
      <c r="X5" s="1" t="s">
        <v>74</v>
      </c>
      <c r="Y5" s="1" t="s">
        <v>74</v>
      </c>
      <c r="Z5" s="1" t="s">
        <v>74</v>
      </c>
      <c r="AA5" s="1" t="s">
        <v>114</v>
      </c>
      <c r="AB5" s="1" t="s">
        <v>74</v>
      </c>
      <c r="AC5" s="1" t="s">
        <v>74</v>
      </c>
      <c r="AD5" s="1" t="s">
        <v>74</v>
      </c>
      <c r="AE5" s="1" t="s">
        <v>74</v>
      </c>
      <c r="AF5" s="1" t="s">
        <v>74</v>
      </c>
      <c r="AG5" s="1" t="s">
        <v>74</v>
      </c>
      <c r="AH5" s="1" t="s">
        <v>74</v>
      </c>
      <c r="AI5" s="1" t="s">
        <v>74</v>
      </c>
      <c r="AJ5" s="1" t="s">
        <v>74</v>
      </c>
      <c r="AK5" s="1" t="s">
        <v>74</v>
      </c>
      <c r="AL5" s="1" t="s">
        <v>74</v>
      </c>
      <c r="AM5" s="1" t="s">
        <v>74</v>
      </c>
      <c r="AN5" s="1" t="s">
        <v>74</v>
      </c>
      <c r="AO5" s="1" t="s">
        <v>115</v>
      </c>
      <c r="AP5" s="1" t="s">
        <v>74</v>
      </c>
      <c r="AQ5" s="1" t="s">
        <v>74</v>
      </c>
      <c r="AR5" s="1" t="s">
        <v>74</v>
      </c>
      <c r="AS5" s="1" t="s">
        <v>74</v>
      </c>
      <c r="AT5" s="1" t="s">
        <v>116</v>
      </c>
      <c r="AU5" s="1">
        <v>2011.0</v>
      </c>
      <c r="AV5" s="1">
        <v>139.0</v>
      </c>
      <c r="AW5" s="1">
        <v>7.0</v>
      </c>
      <c r="AX5" s="1" t="s">
        <v>74</v>
      </c>
      <c r="AY5" s="1" t="s">
        <v>74</v>
      </c>
      <c r="AZ5" s="1" t="s">
        <v>74</v>
      </c>
      <c r="BA5" s="1" t="s">
        <v>74</v>
      </c>
      <c r="BB5" s="1">
        <v>920.0</v>
      </c>
      <c r="BC5" s="1">
        <v>923.0</v>
      </c>
      <c r="BD5" s="1" t="s">
        <v>74</v>
      </c>
      <c r="BE5" s="1" t="s">
        <v>74</v>
      </c>
      <c r="BF5" s="1" t="s">
        <v>74</v>
      </c>
      <c r="BG5" s="1" t="s">
        <v>74</v>
      </c>
      <c r="BH5" s="1" t="s">
        <v>74</v>
      </c>
      <c r="BI5" s="1" t="s">
        <v>74</v>
      </c>
      <c r="BJ5" s="1" t="s">
        <v>74</v>
      </c>
      <c r="BK5" s="1" t="s">
        <v>74</v>
      </c>
      <c r="BL5" s="1" t="s">
        <v>74</v>
      </c>
      <c r="BM5" s="1" t="s">
        <v>74</v>
      </c>
      <c r="BN5" s="1">
        <v>2.2051832E7</v>
      </c>
      <c r="BO5" s="1" t="s">
        <v>74</v>
      </c>
      <c r="BP5" s="1" t="s">
        <v>74</v>
      </c>
      <c r="BQ5" s="1" t="s">
        <v>74</v>
      </c>
      <c r="BR5" s="1" t="s">
        <v>74</v>
      </c>
      <c r="BS5" s="1" t="s">
        <v>117</v>
      </c>
      <c r="BT5" s="1" t="str">
        <f>HYPERLINK("https%3A%2F%2Fwww.webofscience.com%2Fwos%2Fwoscc%2Ffull-record%2FWOS:000293874000015","View Full Record in Web of Science")</f>
        <v>View Full Record in Web of Science</v>
      </c>
    </row>
    <row r="6" ht="12.75" customHeight="1">
      <c r="A6" s="1" t="s">
        <v>72</v>
      </c>
      <c r="B6" s="1" t="s">
        <v>118</v>
      </c>
      <c r="C6" s="1" t="s">
        <v>74</v>
      </c>
      <c r="D6" s="1" t="s">
        <v>74</v>
      </c>
      <c r="E6" s="1" t="s">
        <v>74</v>
      </c>
      <c r="F6" s="1" t="s">
        <v>119</v>
      </c>
      <c r="G6" s="1" t="s">
        <v>74</v>
      </c>
      <c r="H6" s="1" t="s">
        <v>74</v>
      </c>
      <c r="I6" s="1" t="s">
        <v>120</v>
      </c>
      <c r="J6" s="1" t="s">
        <v>121</v>
      </c>
      <c r="K6" s="1" t="s">
        <v>74</v>
      </c>
      <c r="L6" s="1" t="s">
        <v>74</v>
      </c>
      <c r="M6" s="1" t="s">
        <v>74</v>
      </c>
      <c r="N6" s="1" t="s">
        <v>74</v>
      </c>
      <c r="O6" s="1" t="s">
        <v>122</v>
      </c>
      <c r="P6" s="1">
        <v>2007.0</v>
      </c>
      <c r="Q6" s="1" t="s">
        <v>123</v>
      </c>
      <c r="R6" s="1" t="s">
        <v>74</v>
      </c>
      <c r="S6" s="1" t="s">
        <v>74</v>
      </c>
      <c r="T6" s="1" t="s">
        <v>74</v>
      </c>
      <c r="U6" s="1" t="s">
        <v>74</v>
      </c>
      <c r="V6" s="1" t="s">
        <v>124</v>
      </c>
      <c r="W6" s="1" t="s">
        <v>74</v>
      </c>
      <c r="X6" s="1" t="s">
        <v>74</v>
      </c>
      <c r="Y6" s="1" t="s">
        <v>74</v>
      </c>
      <c r="Z6" s="1" t="s">
        <v>74</v>
      </c>
      <c r="AA6" s="1" t="s">
        <v>125</v>
      </c>
      <c r="AB6" s="1" t="s">
        <v>126</v>
      </c>
      <c r="AC6" s="1" t="s">
        <v>74</v>
      </c>
      <c r="AD6" s="1" t="s">
        <v>74</v>
      </c>
      <c r="AE6" s="1" t="s">
        <v>74</v>
      </c>
      <c r="AF6" s="1" t="s">
        <v>74</v>
      </c>
      <c r="AG6" s="1" t="s">
        <v>74</v>
      </c>
      <c r="AH6" s="1" t="s">
        <v>74</v>
      </c>
      <c r="AI6" s="1" t="s">
        <v>74</v>
      </c>
      <c r="AJ6" s="1" t="s">
        <v>74</v>
      </c>
      <c r="AK6" s="1" t="s">
        <v>74</v>
      </c>
      <c r="AL6" s="1" t="s">
        <v>74</v>
      </c>
      <c r="AM6" s="1" t="s">
        <v>74</v>
      </c>
      <c r="AN6" s="1" t="s">
        <v>74</v>
      </c>
      <c r="AO6" s="1" t="s">
        <v>127</v>
      </c>
      <c r="AP6" s="1" t="s">
        <v>128</v>
      </c>
      <c r="AQ6" s="1" t="s">
        <v>74</v>
      </c>
      <c r="AR6" s="1" t="s">
        <v>74</v>
      </c>
      <c r="AS6" s="1" t="s">
        <v>74</v>
      </c>
      <c r="AT6" s="1" t="s">
        <v>106</v>
      </c>
      <c r="AU6" s="1">
        <v>2008.0</v>
      </c>
      <c r="AV6" s="1">
        <v>55.0</v>
      </c>
      <c r="AW6" s="1">
        <v>3.0</v>
      </c>
      <c r="AX6" s="1" t="s">
        <v>74</v>
      </c>
      <c r="AY6" s="1" t="s">
        <v>74</v>
      </c>
      <c r="AZ6" s="1" t="s">
        <v>74</v>
      </c>
      <c r="BA6" s="1" t="s">
        <v>74</v>
      </c>
      <c r="BB6" s="1">
        <v>316.0</v>
      </c>
      <c r="BC6" s="1">
        <v>329.0</v>
      </c>
      <c r="BD6" s="1" t="s">
        <v>74</v>
      </c>
      <c r="BE6" s="1" t="s">
        <v>129</v>
      </c>
      <c r="BF6" s="2" t="str">
        <f>HYPERLINK("http://dx.doi.org/10.1177/0037768608093694","http://dx.doi.org/10.1177/0037768608093694")</f>
        <v>http://dx.doi.org/10.1177/0037768608093694</v>
      </c>
      <c r="BG6" s="1" t="s">
        <v>74</v>
      </c>
      <c r="BH6" s="1" t="s">
        <v>74</v>
      </c>
      <c r="BI6" s="1" t="s">
        <v>74</v>
      </c>
      <c r="BJ6" s="1" t="s">
        <v>74</v>
      </c>
      <c r="BK6" s="1" t="s">
        <v>74</v>
      </c>
      <c r="BL6" s="1" t="s">
        <v>74</v>
      </c>
      <c r="BM6" s="1" t="s">
        <v>74</v>
      </c>
      <c r="BN6" s="1" t="s">
        <v>74</v>
      </c>
      <c r="BO6" s="1" t="s">
        <v>74</v>
      </c>
      <c r="BP6" s="1" t="s">
        <v>74</v>
      </c>
      <c r="BQ6" s="1" t="s">
        <v>74</v>
      </c>
      <c r="BR6" s="1" t="s">
        <v>74</v>
      </c>
      <c r="BS6" s="1" t="s">
        <v>130</v>
      </c>
      <c r="BT6" s="1" t="str">
        <f>HYPERLINK("https%3A%2F%2Fwww.webofscience.com%2Fwos%2Fwoscc%2Ffull-record%2FWOS:000258755300006","View Full Record in Web of Science")</f>
        <v>View Full Record in Web of Science</v>
      </c>
    </row>
    <row r="7" ht="12.75" customHeight="1">
      <c r="A7" s="1" t="s">
        <v>72</v>
      </c>
      <c r="B7" s="1" t="s">
        <v>131</v>
      </c>
      <c r="C7" s="1" t="s">
        <v>74</v>
      </c>
      <c r="D7" s="1" t="s">
        <v>74</v>
      </c>
      <c r="E7" s="1" t="s">
        <v>74</v>
      </c>
      <c r="F7" s="1" t="s">
        <v>132</v>
      </c>
      <c r="G7" s="1" t="s">
        <v>74</v>
      </c>
      <c r="H7" s="1" t="s">
        <v>74</v>
      </c>
      <c r="I7" s="1" t="s">
        <v>133</v>
      </c>
      <c r="J7" s="1" t="s">
        <v>134</v>
      </c>
      <c r="K7" s="1" t="s">
        <v>74</v>
      </c>
      <c r="L7" s="1" t="s">
        <v>74</v>
      </c>
      <c r="M7" s="1" t="s">
        <v>74</v>
      </c>
      <c r="N7" s="1" t="s">
        <v>74</v>
      </c>
      <c r="O7" s="1" t="s">
        <v>74</v>
      </c>
      <c r="P7" s="1" t="s">
        <v>74</v>
      </c>
      <c r="Q7" s="1" t="s">
        <v>74</v>
      </c>
      <c r="R7" s="1" t="s">
        <v>74</v>
      </c>
      <c r="S7" s="1" t="s">
        <v>74</v>
      </c>
      <c r="T7" s="1" t="s">
        <v>74</v>
      </c>
      <c r="U7" s="1" t="s">
        <v>74</v>
      </c>
      <c r="V7" s="1" t="s">
        <v>135</v>
      </c>
      <c r="W7" s="1" t="s">
        <v>74</v>
      </c>
      <c r="X7" s="1" t="s">
        <v>74</v>
      </c>
      <c r="Y7" s="1" t="s">
        <v>74</v>
      </c>
      <c r="Z7" s="1" t="s">
        <v>74</v>
      </c>
      <c r="AA7" s="1" t="s">
        <v>136</v>
      </c>
      <c r="AB7" s="1" t="s">
        <v>137</v>
      </c>
      <c r="AC7" s="1" t="s">
        <v>74</v>
      </c>
      <c r="AD7" s="1" t="s">
        <v>74</v>
      </c>
      <c r="AE7" s="1" t="s">
        <v>74</v>
      </c>
      <c r="AF7" s="1" t="s">
        <v>74</v>
      </c>
      <c r="AG7" s="1" t="s">
        <v>74</v>
      </c>
      <c r="AH7" s="1" t="s">
        <v>74</v>
      </c>
      <c r="AI7" s="1" t="s">
        <v>74</v>
      </c>
      <c r="AJ7" s="1" t="s">
        <v>74</v>
      </c>
      <c r="AK7" s="1" t="s">
        <v>74</v>
      </c>
      <c r="AL7" s="1" t="s">
        <v>74</v>
      </c>
      <c r="AM7" s="1" t="s">
        <v>74</v>
      </c>
      <c r="AN7" s="1" t="s">
        <v>74</v>
      </c>
      <c r="AO7" s="1" t="s">
        <v>138</v>
      </c>
      <c r="AP7" s="1" t="s">
        <v>139</v>
      </c>
      <c r="AQ7" s="1" t="s">
        <v>74</v>
      </c>
      <c r="AR7" s="1" t="s">
        <v>74</v>
      </c>
      <c r="AS7" s="1" t="s">
        <v>74</v>
      </c>
      <c r="AT7" s="1" t="s">
        <v>116</v>
      </c>
      <c r="AU7" s="1">
        <v>2007.0</v>
      </c>
      <c r="AV7" s="1">
        <v>81.0</v>
      </c>
      <c r="AW7" s="1">
        <v>1.0</v>
      </c>
      <c r="AX7" s="1" t="s">
        <v>74</v>
      </c>
      <c r="AY7" s="1" t="s">
        <v>74</v>
      </c>
      <c r="AZ7" s="1" t="s">
        <v>74</v>
      </c>
      <c r="BA7" s="1" t="s">
        <v>74</v>
      </c>
      <c r="BB7" s="1">
        <v>257.0</v>
      </c>
      <c r="BC7" s="1">
        <v>265.0</v>
      </c>
      <c r="BD7" s="1" t="s">
        <v>74</v>
      </c>
      <c r="BE7" s="1" t="s">
        <v>140</v>
      </c>
      <c r="BF7" s="2" t="str">
        <f>HYPERLINK("http://dx.doi.org/10.1016/j.jfoodeng.2006.11.004","http://dx.doi.org/10.1016/j.jfoodeng.2006.11.004")</f>
        <v>http://dx.doi.org/10.1016/j.jfoodeng.2006.11.004</v>
      </c>
      <c r="BG7" s="1" t="s">
        <v>74</v>
      </c>
      <c r="BH7" s="1" t="s">
        <v>74</v>
      </c>
      <c r="BI7" s="1" t="s">
        <v>74</v>
      </c>
      <c r="BJ7" s="1" t="s">
        <v>74</v>
      </c>
      <c r="BK7" s="1" t="s">
        <v>74</v>
      </c>
      <c r="BL7" s="1" t="s">
        <v>74</v>
      </c>
      <c r="BM7" s="1" t="s">
        <v>74</v>
      </c>
      <c r="BN7" s="1" t="s">
        <v>74</v>
      </c>
      <c r="BO7" s="1" t="s">
        <v>74</v>
      </c>
      <c r="BP7" s="1" t="s">
        <v>74</v>
      </c>
      <c r="BQ7" s="1" t="s">
        <v>74</v>
      </c>
      <c r="BR7" s="1" t="s">
        <v>74</v>
      </c>
      <c r="BS7" s="1" t="s">
        <v>141</v>
      </c>
      <c r="BT7" s="1" t="str">
        <f>HYPERLINK("https%3A%2F%2Fwww.webofscience.com%2Fwos%2Fwoscc%2Ffull-record%2FWOS:000244734800031","View Full Record in Web of Science")</f>
        <v>View Full Record in Web of Science</v>
      </c>
    </row>
    <row r="8" ht="12.75" customHeight="1">
      <c r="A8" s="1" t="s">
        <v>72</v>
      </c>
      <c r="B8" s="1" t="s">
        <v>142</v>
      </c>
      <c r="C8" s="1" t="s">
        <v>74</v>
      </c>
      <c r="D8" s="1" t="s">
        <v>74</v>
      </c>
      <c r="E8" s="1" t="s">
        <v>74</v>
      </c>
      <c r="F8" s="1" t="s">
        <v>142</v>
      </c>
      <c r="G8" s="1" t="s">
        <v>74</v>
      </c>
      <c r="H8" s="1" t="s">
        <v>74</v>
      </c>
      <c r="I8" s="1" t="s">
        <v>143</v>
      </c>
      <c r="J8" s="1" t="s">
        <v>144</v>
      </c>
      <c r="K8" s="1" t="s">
        <v>74</v>
      </c>
      <c r="L8" s="1" t="s">
        <v>74</v>
      </c>
      <c r="M8" s="1" t="s">
        <v>74</v>
      </c>
      <c r="N8" s="1" t="s">
        <v>74</v>
      </c>
      <c r="O8" s="1" t="s">
        <v>74</v>
      </c>
      <c r="P8" s="1" t="s">
        <v>74</v>
      </c>
      <c r="Q8" s="1" t="s">
        <v>74</v>
      </c>
      <c r="R8" s="1" t="s">
        <v>74</v>
      </c>
      <c r="S8" s="1" t="s">
        <v>74</v>
      </c>
      <c r="T8" s="1" t="s">
        <v>74</v>
      </c>
      <c r="U8" s="1" t="s">
        <v>74</v>
      </c>
      <c r="V8" s="1" t="s">
        <v>145</v>
      </c>
      <c r="W8" s="1" t="s">
        <v>74</v>
      </c>
      <c r="X8" s="1" t="s">
        <v>74</v>
      </c>
      <c r="Y8" s="1" t="s">
        <v>74</v>
      </c>
      <c r="Z8" s="1" t="s">
        <v>74</v>
      </c>
      <c r="AA8" s="1" t="s">
        <v>146</v>
      </c>
      <c r="AB8" s="1" t="s">
        <v>147</v>
      </c>
      <c r="AC8" s="1" t="s">
        <v>74</v>
      </c>
      <c r="AD8" s="1" t="s">
        <v>74</v>
      </c>
      <c r="AE8" s="1" t="s">
        <v>74</v>
      </c>
      <c r="AF8" s="1" t="s">
        <v>74</v>
      </c>
      <c r="AG8" s="1" t="s">
        <v>74</v>
      </c>
      <c r="AH8" s="1" t="s">
        <v>74</v>
      </c>
      <c r="AI8" s="1" t="s">
        <v>74</v>
      </c>
      <c r="AJ8" s="1" t="s">
        <v>74</v>
      </c>
      <c r="AK8" s="1" t="s">
        <v>74</v>
      </c>
      <c r="AL8" s="1" t="s">
        <v>74</v>
      </c>
      <c r="AM8" s="1" t="s">
        <v>74</v>
      </c>
      <c r="AN8" s="1" t="s">
        <v>74</v>
      </c>
      <c r="AO8" s="1" t="s">
        <v>148</v>
      </c>
      <c r="AP8" s="1" t="s">
        <v>149</v>
      </c>
      <c r="AQ8" s="1" t="s">
        <v>74</v>
      </c>
      <c r="AR8" s="1" t="s">
        <v>74</v>
      </c>
      <c r="AS8" s="1" t="s">
        <v>74</v>
      </c>
      <c r="AT8" s="1" t="s">
        <v>150</v>
      </c>
      <c r="AU8" s="1">
        <v>2005.0</v>
      </c>
      <c r="AV8" s="1">
        <v>13.0</v>
      </c>
      <c r="AW8" s="1">
        <v>14.0</v>
      </c>
      <c r="AX8" s="1" t="s">
        <v>74</v>
      </c>
      <c r="AY8" s="1" t="s">
        <v>74</v>
      </c>
      <c r="AZ8" s="1" t="s">
        <v>74</v>
      </c>
      <c r="BA8" s="1" t="s">
        <v>74</v>
      </c>
      <c r="BB8" s="1">
        <v>4450.0</v>
      </c>
      <c r="BC8" s="1">
        <v>4457.0</v>
      </c>
      <c r="BD8" s="1" t="s">
        <v>74</v>
      </c>
      <c r="BE8" s="1" t="s">
        <v>151</v>
      </c>
      <c r="BF8" s="2" t="str">
        <f>HYPERLINK("http://dx.doi.org/10.1016/j.bmc.2005.04.045","http://dx.doi.org/10.1016/j.bmc.2005.04.045")</f>
        <v>http://dx.doi.org/10.1016/j.bmc.2005.04.045</v>
      </c>
      <c r="BG8" s="1" t="s">
        <v>74</v>
      </c>
      <c r="BH8" s="1" t="s">
        <v>74</v>
      </c>
      <c r="BI8" s="1" t="s">
        <v>74</v>
      </c>
      <c r="BJ8" s="1" t="s">
        <v>74</v>
      </c>
      <c r="BK8" s="1" t="s">
        <v>74</v>
      </c>
      <c r="BL8" s="1" t="s">
        <v>74</v>
      </c>
      <c r="BM8" s="1" t="s">
        <v>74</v>
      </c>
      <c r="BN8" s="1">
        <v>1.5908219E7</v>
      </c>
      <c r="BO8" s="1" t="s">
        <v>74</v>
      </c>
      <c r="BP8" s="1" t="s">
        <v>74</v>
      </c>
      <c r="BQ8" s="1" t="s">
        <v>74</v>
      </c>
      <c r="BR8" s="1" t="s">
        <v>74</v>
      </c>
      <c r="BS8" s="1" t="s">
        <v>152</v>
      </c>
      <c r="BT8" s="1" t="str">
        <f>HYPERLINK("https%3A%2F%2Fwww.webofscience.com%2Fwos%2Fwoscc%2Ffull-record%2FWOS:000230151200011","View Full Record in Web of Science")</f>
        <v>View Full Record in Web of Science</v>
      </c>
    </row>
    <row r="9" ht="12.75" customHeight="1">
      <c r="A9" s="1" t="s">
        <v>72</v>
      </c>
      <c r="B9" s="1" t="s">
        <v>153</v>
      </c>
      <c r="C9" s="1" t="s">
        <v>74</v>
      </c>
      <c r="D9" s="1" t="s">
        <v>74</v>
      </c>
      <c r="E9" s="1" t="s">
        <v>74</v>
      </c>
      <c r="F9" s="1" t="s">
        <v>153</v>
      </c>
      <c r="G9" s="1" t="s">
        <v>74</v>
      </c>
      <c r="H9" s="1" t="s">
        <v>74</v>
      </c>
      <c r="I9" s="1" t="s">
        <v>154</v>
      </c>
      <c r="J9" s="1" t="s">
        <v>155</v>
      </c>
      <c r="K9" s="1" t="s">
        <v>74</v>
      </c>
      <c r="L9" s="1" t="s">
        <v>74</v>
      </c>
      <c r="M9" s="1" t="s">
        <v>74</v>
      </c>
      <c r="N9" s="1" t="s">
        <v>74</v>
      </c>
      <c r="O9" s="1" t="s">
        <v>74</v>
      </c>
      <c r="P9" s="1" t="s">
        <v>74</v>
      </c>
      <c r="Q9" s="1" t="s">
        <v>74</v>
      </c>
      <c r="R9" s="1" t="s">
        <v>74</v>
      </c>
      <c r="S9" s="1" t="s">
        <v>74</v>
      </c>
      <c r="T9" s="1" t="s">
        <v>74</v>
      </c>
      <c r="U9" s="1" t="s">
        <v>74</v>
      </c>
      <c r="V9" s="1" t="s">
        <v>156</v>
      </c>
      <c r="W9" s="1" t="s">
        <v>74</v>
      </c>
      <c r="X9" s="1" t="s">
        <v>74</v>
      </c>
      <c r="Y9" s="1" t="s">
        <v>74</v>
      </c>
      <c r="Z9" s="1" t="s">
        <v>74</v>
      </c>
      <c r="AA9" s="1" t="s">
        <v>157</v>
      </c>
      <c r="AB9" s="1" t="s">
        <v>158</v>
      </c>
      <c r="AC9" s="1" t="s">
        <v>74</v>
      </c>
      <c r="AD9" s="1" t="s">
        <v>74</v>
      </c>
      <c r="AE9" s="1" t="s">
        <v>74</v>
      </c>
      <c r="AF9" s="1" t="s">
        <v>74</v>
      </c>
      <c r="AG9" s="1" t="s">
        <v>74</v>
      </c>
      <c r="AH9" s="1" t="s">
        <v>74</v>
      </c>
      <c r="AI9" s="1" t="s">
        <v>74</v>
      </c>
      <c r="AJ9" s="1" t="s">
        <v>74</v>
      </c>
      <c r="AK9" s="1" t="s">
        <v>74</v>
      </c>
      <c r="AL9" s="1" t="s">
        <v>74</v>
      </c>
      <c r="AM9" s="1" t="s">
        <v>74</v>
      </c>
      <c r="AN9" s="1" t="s">
        <v>74</v>
      </c>
      <c r="AO9" s="1" t="s">
        <v>159</v>
      </c>
      <c r="AP9" s="1" t="s">
        <v>74</v>
      </c>
      <c r="AQ9" s="1" t="s">
        <v>74</v>
      </c>
      <c r="AR9" s="1" t="s">
        <v>74</v>
      </c>
      <c r="AS9" s="1" t="s">
        <v>74</v>
      </c>
      <c r="AT9" s="1" t="s">
        <v>160</v>
      </c>
      <c r="AU9" s="1">
        <v>2002.0</v>
      </c>
      <c r="AV9" s="1">
        <v>34.0</v>
      </c>
      <c r="AW9" s="1">
        <v>12.0</v>
      </c>
      <c r="AX9" s="1" t="s">
        <v>74</v>
      </c>
      <c r="AY9" s="1" t="s">
        <v>74</v>
      </c>
      <c r="AZ9" s="1" t="s">
        <v>74</v>
      </c>
      <c r="BA9" s="1" t="s">
        <v>74</v>
      </c>
      <c r="BB9" s="1">
        <v>659.0</v>
      </c>
      <c r="BC9" s="1">
        <v>665.0</v>
      </c>
      <c r="BD9" s="1" t="s">
        <v>74</v>
      </c>
      <c r="BE9" s="1" t="s">
        <v>161</v>
      </c>
      <c r="BF9" s="2" t="str">
        <f>HYPERLINK("http://dx.doi.org/10.1002/kin.10094","http://dx.doi.org/10.1002/kin.10094")</f>
        <v>http://dx.doi.org/10.1002/kin.10094</v>
      </c>
      <c r="BG9" s="1" t="s">
        <v>74</v>
      </c>
      <c r="BH9" s="1" t="s">
        <v>74</v>
      </c>
      <c r="BI9" s="1" t="s">
        <v>74</v>
      </c>
      <c r="BJ9" s="1" t="s">
        <v>74</v>
      </c>
      <c r="BK9" s="1" t="s">
        <v>74</v>
      </c>
      <c r="BL9" s="1" t="s">
        <v>74</v>
      </c>
      <c r="BM9" s="1" t="s">
        <v>74</v>
      </c>
      <c r="BN9" s="1" t="s">
        <v>74</v>
      </c>
      <c r="BO9" s="1" t="s">
        <v>74</v>
      </c>
      <c r="BP9" s="1" t="s">
        <v>74</v>
      </c>
      <c r="BQ9" s="1" t="s">
        <v>74</v>
      </c>
      <c r="BR9" s="1" t="s">
        <v>74</v>
      </c>
      <c r="BS9" s="1" t="s">
        <v>162</v>
      </c>
      <c r="BT9" s="1" t="str">
        <f>HYPERLINK("https%3A%2F%2Fwww.webofscience.com%2Fwos%2Fwoscc%2Ffull-record%2FWOS:000179280500002","View Full Record in Web of Science")</f>
        <v>View Full Record in Web of Science</v>
      </c>
    </row>
    <row r="10" ht="12.75" customHeight="1">
      <c r="A10" s="1" t="s">
        <v>72</v>
      </c>
      <c r="B10" s="1" t="s">
        <v>163</v>
      </c>
      <c r="C10" s="1" t="s">
        <v>74</v>
      </c>
      <c r="D10" s="1" t="s">
        <v>74</v>
      </c>
      <c r="E10" s="1" t="s">
        <v>74</v>
      </c>
      <c r="F10" s="1" t="s">
        <v>163</v>
      </c>
      <c r="G10" s="1" t="s">
        <v>74</v>
      </c>
      <c r="H10" s="1" t="s">
        <v>74</v>
      </c>
      <c r="I10" s="1" t="s">
        <v>164</v>
      </c>
      <c r="J10" s="1" t="s">
        <v>165</v>
      </c>
      <c r="K10" s="1" t="s">
        <v>74</v>
      </c>
      <c r="L10" s="1" t="s">
        <v>74</v>
      </c>
      <c r="M10" s="1" t="s">
        <v>74</v>
      </c>
      <c r="N10" s="1" t="s">
        <v>74</v>
      </c>
      <c r="O10" s="1" t="s">
        <v>166</v>
      </c>
      <c r="P10" s="1" t="s">
        <v>167</v>
      </c>
      <c r="Q10" s="1" t="s">
        <v>168</v>
      </c>
      <c r="R10" s="1" t="s">
        <v>74</v>
      </c>
      <c r="S10" s="1" t="s">
        <v>169</v>
      </c>
      <c r="T10" s="1" t="s">
        <v>74</v>
      </c>
      <c r="U10" s="1" t="s">
        <v>74</v>
      </c>
      <c r="V10" s="1" t="s">
        <v>170</v>
      </c>
      <c r="W10" s="1" t="s">
        <v>74</v>
      </c>
      <c r="X10" s="1" t="s">
        <v>74</v>
      </c>
      <c r="Y10" s="1" t="s">
        <v>74</v>
      </c>
      <c r="Z10" s="1" t="s">
        <v>74</v>
      </c>
      <c r="AA10" s="1" t="s">
        <v>171</v>
      </c>
      <c r="AB10" s="1" t="s">
        <v>172</v>
      </c>
      <c r="AC10" s="1" t="s">
        <v>74</v>
      </c>
      <c r="AD10" s="1" t="s">
        <v>74</v>
      </c>
      <c r="AE10" s="1" t="s">
        <v>74</v>
      </c>
      <c r="AF10" s="1" t="s">
        <v>74</v>
      </c>
      <c r="AG10" s="1" t="s">
        <v>74</v>
      </c>
      <c r="AH10" s="1" t="s">
        <v>74</v>
      </c>
      <c r="AI10" s="1" t="s">
        <v>74</v>
      </c>
      <c r="AJ10" s="1" t="s">
        <v>74</v>
      </c>
      <c r="AK10" s="1" t="s">
        <v>74</v>
      </c>
      <c r="AL10" s="1" t="s">
        <v>74</v>
      </c>
      <c r="AM10" s="1" t="s">
        <v>74</v>
      </c>
      <c r="AN10" s="1" t="s">
        <v>74</v>
      </c>
      <c r="AO10" s="1" t="s">
        <v>173</v>
      </c>
      <c r="AP10" s="1" t="s">
        <v>74</v>
      </c>
      <c r="AQ10" s="1" t="s">
        <v>74</v>
      </c>
      <c r="AR10" s="1" t="s">
        <v>74</v>
      </c>
      <c r="AS10" s="1" t="s">
        <v>74</v>
      </c>
      <c r="AT10" s="1" t="s">
        <v>174</v>
      </c>
      <c r="AU10" s="1">
        <v>1999.0</v>
      </c>
      <c r="AV10" s="1">
        <v>38.0</v>
      </c>
      <c r="AW10" s="1">
        <v>4.0</v>
      </c>
      <c r="AX10" s="1" t="s">
        <v>74</v>
      </c>
      <c r="AY10" s="1" t="s">
        <v>74</v>
      </c>
      <c r="AZ10" s="1" t="s">
        <v>74</v>
      </c>
      <c r="BA10" s="1" t="s">
        <v>74</v>
      </c>
      <c r="BB10" s="1">
        <v>1181.0</v>
      </c>
      <c r="BC10" s="1">
        <v>1206.0</v>
      </c>
      <c r="BD10" s="1" t="s">
        <v>74</v>
      </c>
      <c r="BE10" s="1" t="s">
        <v>175</v>
      </c>
      <c r="BF10" s="2" t="str">
        <f>HYPERLINK("http://dx.doi.org/10.1023/A:1026614631617","http://dx.doi.org/10.1023/A:1026614631617")</f>
        <v>http://dx.doi.org/10.1023/A:1026614631617</v>
      </c>
      <c r="BG10" s="1" t="s">
        <v>74</v>
      </c>
      <c r="BH10" s="1" t="s">
        <v>74</v>
      </c>
      <c r="BI10" s="1" t="s">
        <v>74</v>
      </c>
      <c r="BJ10" s="1" t="s">
        <v>74</v>
      </c>
      <c r="BK10" s="1" t="s">
        <v>74</v>
      </c>
      <c r="BL10" s="1" t="s">
        <v>74</v>
      </c>
      <c r="BM10" s="1" t="s">
        <v>74</v>
      </c>
      <c r="BN10" s="1" t="s">
        <v>74</v>
      </c>
      <c r="BO10" s="1" t="s">
        <v>74</v>
      </c>
      <c r="BP10" s="1" t="s">
        <v>74</v>
      </c>
      <c r="BQ10" s="1" t="s">
        <v>74</v>
      </c>
      <c r="BR10" s="1" t="s">
        <v>74</v>
      </c>
      <c r="BS10" s="1" t="s">
        <v>176</v>
      </c>
      <c r="BT10" s="1" t="str">
        <f>HYPERLINK("https%3A%2F%2Fwww.webofscience.com%2Fwos%2Fwoscc%2Ffull-record%2FWOS:000081063400012","View Full Record in Web of Science")</f>
        <v>View Full Record in Web of Science</v>
      </c>
    </row>
    <row r="11" ht="12.75" customHeight="1">
      <c r="A11" s="1" t="s">
        <v>72</v>
      </c>
      <c r="B11" s="1" t="s">
        <v>177</v>
      </c>
      <c r="C11" s="1" t="s">
        <v>74</v>
      </c>
      <c r="D11" s="1" t="s">
        <v>74</v>
      </c>
      <c r="E11" s="1" t="s">
        <v>74</v>
      </c>
      <c r="F11" s="1" t="s">
        <v>177</v>
      </c>
      <c r="G11" s="1" t="s">
        <v>74</v>
      </c>
      <c r="H11" s="1" t="s">
        <v>74</v>
      </c>
      <c r="I11" s="1" t="s">
        <v>178</v>
      </c>
      <c r="J11" s="1" t="s">
        <v>179</v>
      </c>
      <c r="K11" s="1" t="s">
        <v>74</v>
      </c>
      <c r="L11" s="1" t="s">
        <v>74</v>
      </c>
      <c r="M11" s="1" t="s">
        <v>74</v>
      </c>
      <c r="N11" s="1" t="s">
        <v>74</v>
      </c>
      <c r="O11" s="1" t="s">
        <v>74</v>
      </c>
      <c r="P11" s="1" t="s">
        <v>74</v>
      </c>
      <c r="Q11" s="1" t="s">
        <v>74</v>
      </c>
      <c r="R11" s="1" t="s">
        <v>74</v>
      </c>
      <c r="S11" s="1" t="s">
        <v>74</v>
      </c>
      <c r="T11" s="1" t="s">
        <v>74</v>
      </c>
      <c r="U11" s="1" t="s">
        <v>74</v>
      </c>
      <c r="V11" s="1" t="s">
        <v>180</v>
      </c>
      <c r="W11" s="1" t="s">
        <v>74</v>
      </c>
      <c r="X11" s="1" t="s">
        <v>74</v>
      </c>
      <c r="Y11" s="1" t="s">
        <v>74</v>
      </c>
      <c r="Z11" s="1" t="s">
        <v>74</v>
      </c>
      <c r="AA11" s="1" t="s">
        <v>74</v>
      </c>
      <c r="AB11" s="1" t="s">
        <v>74</v>
      </c>
      <c r="AC11" s="1" t="s">
        <v>74</v>
      </c>
      <c r="AD11" s="1" t="s">
        <v>74</v>
      </c>
      <c r="AE11" s="1" t="s">
        <v>74</v>
      </c>
      <c r="AF11" s="1" t="s">
        <v>74</v>
      </c>
      <c r="AG11" s="1" t="s">
        <v>74</v>
      </c>
      <c r="AH11" s="1" t="s">
        <v>74</v>
      </c>
      <c r="AI11" s="1" t="s">
        <v>74</v>
      </c>
      <c r="AJ11" s="1" t="s">
        <v>74</v>
      </c>
      <c r="AK11" s="1" t="s">
        <v>74</v>
      </c>
      <c r="AL11" s="1" t="s">
        <v>74</v>
      </c>
      <c r="AM11" s="1" t="s">
        <v>74</v>
      </c>
      <c r="AN11" s="1" t="s">
        <v>74</v>
      </c>
      <c r="AO11" s="1" t="s">
        <v>181</v>
      </c>
      <c r="AP11" s="1" t="s">
        <v>182</v>
      </c>
      <c r="AQ11" s="1" t="s">
        <v>74</v>
      </c>
      <c r="AR11" s="1" t="s">
        <v>74</v>
      </c>
      <c r="AS11" s="1" t="s">
        <v>74</v>
      </c>
      <c r="AT11" s="1" t="s">
        <v>183</v>
      </c>
      <c r="AU11" s="1">
        <v>1994.0</v>
      </c>
      <c r="AV11" s="1">
        <v>9.0</v>
      </c>
      <c r="AW11" s="1">
        <v>2.0</v>
      </c>
      <c r="AX11" s="1" t="s">
        <v>74</v>
      </c>
      <c r="AY11" s="1" t="s">
        <v>74</v>
      </c>
      <c r="AZ11" s="1" t="s">
        <v>74</v>
      </c>
      <c r="BA11" s="1" t="s">
        <v>74</v>
      </c>
      <c r="BB11" s="1">
        <v>979.0</v>
      </c>
      <c r="BC11" s="1">
        <v>987.0</v>
      </c>
      <c r="BD11" s="1" t="s">
        <v>74</v>
      </c>
      <c r="BE11" s="1" t="s">
        <v>184</v>
      </c>
      <c r="BF11" s="2" t="str">
        <f>HYPERLINK("http://dx.doi.org/10.1109/59.317647","http://dx.doi.org/10.1109/59.317647")</f>
        <v>http://dx.doi.org/10.1109/59.317647</v>
      </c>
      <c r="BG11" s="1" t="s">
        <v>74</v>
      </c>
      <c r="BH11" s="1" t="s">
        <v>74</v>
      </c>
      <c r="BI11" s="1" t="s">
        <v>74</v>
      </c>
      <c r="BJ11" s="1" t="s">
        <v>74</v>
      </c>
      <c r="BK11" s="1" t="s">
        <v>74</v>
      </c>
      <c r="BL11" s="1" t="s">
        <v>74</v>
      </c>
      <c r="BM11" s="1" t="s">
        <v>74</v>
      </c>
      <c r="BN11" s="1" t="s">
        <v>74</v>
      </c>
      <c r="BO11" s="1" t="s">
        <v>74</v>
      </c>
      <c r="BP11" s="1" t="s">
        <v>74</v>
      </c>
      <c r="BQ11" s="1" t="s">
        <v>74</v>
      </c>
      <c r="BR11" s="1" t="s">
        <v>74</v>
      </c>
      <c r="BS11" s="1" t="s">
        <v>185</v>
      </c>
      <c r="BT11" s="1" t="str">
        <f>HYPERLINK("https%3A%2F%2Fwww.webofscience.com%2Fwos%2Fwoscc%2Ffull-record%2FWOS:A1994NV46600055","View Full Record in Web of Science")</f>
        <v>View Full Record in Web of Science</v>
      </c>
    </row>
    <row r="12" ht="12.75" customHeight="1">
      <c r="A12" s="1" t="s">
        <v>72</v>
      </c>
      <c r="B12" s="1" t="s">
        <v>186</v>
      </c>
      <c r="C12" s="1" t="s">
        <v>74</v>
      </c>
      <c r="D12" s="1" t="s">
        <v>74</v>
      </c>
      <c r="E12" s="1" t="s">
        <v>74</v>
      </c>
      <c r="F12" s="1" t="s">
        <v>187</v>
      </c>
      <c r="G12" s="1" t="s">
        <v>74</v>
      </c>
      <c r="H12" s="1" t="s">
        <v>74</v>
      </c>
      <c r="I12" s="1" t="s">
        <v>188</v>
      </c>
      <c r="J12" s="1" t="s">
        <v>189</v>
      </c>
      <c r="K12" s="1" t="s">
        <v>74</v>
      </c>
      <c r="L12" s="1" t="s">
        <v>74</v>
      </c>
      <c r="M12" s="1" t="s">
        <v>74</v>
      </c>
      <c r="N12" s="1" t="s">
        <v>74</v>
      </c>
      <c r="O12" s="1" t="s">
        <v>74</v>
      </c>
      <c r="P12" s="1" t="s">
        <v>74</v>
      </c>
      <c r="Q12" s="1" t="s">
        <v>74</v>
      </c>
      <c r="R12" s="1" t="s">
        <v>74</v>
      </c>
      <c r="S12" s="1" t="s">
        <v>74</v>
      </c>
      <c r="T12" s="1" t="s">
        <v>74</v>
      </c>
      <c r="U12" s="1" t="s">
        <v>74</v>
      </c>
      <c r="V12" s="1" t="s">
        <v>190</v>
      </c>
      <c r="W12" s="1" t="s">
        <v>74</v>
      </c>
      <c r="X12" s="1" t="s">
        <v>74</v>
      </c>
      <c r="Y12" s="1" t="s">
        <v>74</v>
      </c>
      <c r="Z12" s="1" t="s">
        <v>74</v>
      </c>
      <c r="AA12" s="1" t="s">
        <v>146</v>
      </c>
      <c r="AB12" s="1" t="s">
        <v>191</v>
      </c>
      <c r="AC12" s="1" t="s">
        <v>74</v>
      </c>
      <c r="AD12" s="1" t="s">
        <v>74</v>
      </c>
      <c r="AE12" s="1" t="s">
        <v>74</v>
      </c>
      <c r="AF12" s="1" t="s">
        <v>74</v>
      </c>
      <c r="AG12" s="1" t="s">
        <v>74</v>
      </c>
      <c r="AH12" s="1" t="s">
        <v>74</v>
      </c>
      <c r="AI12" s="1" t="s">
        <v>74</v>
      </c>
      <c r="AJ12" s="1" t="s">
        <v>74</v>
      </c>
      <c r="AK12" s="1" t="s">
        <v>74</v>
      </c>
      <c r="AL12" s="1" t="s">
        <v>74</v>
      </c>
      <c r="AM12" s="1" t="s">
        <v>74</v>
      </c>
      <c r="AN12" s="1" t="s">
        <v>74</v>
      </c>
      <c r="AO12" s="1" t="s">
        <v>192</v>
      </c>
      <c r="AP12" s="1" t="s">
        <v>193</v>
      </c>
      <c r="AQ12" s="1" t="s">
        <v>74</v>
      </c>
      <c r="AR12" s="1" t="s">
        <v>74</v>
      </c>
      <c r="AS12" s="1" t="s">
        <v>74</v>
      </c>
      <c r="AT12" s="1" t="s">
        <v>160</v>
      </c>
      <c r="AU12" s="1">
        <v>2024.0</v>
      </c>
      <c r="AV12" s="1">
        <v>62.0</v>
      </c>
      <c r="AW12" s="1">
        <v>12.0</v>
      </c>
      <c r="AX12" s="1" t="s">
        <v>74</v>
      </c>
      <c r="AY12" s="1" t="s">
        <v>74</v>
      </c>
      <c r="AZ12" s="1" t="s">
        <v>74</v>
      </c>
      <c r="BA12" s="1" t="s">
        <v>74</v>
      </c>
      <c r="BB12" s="1">
        <v>817.0</v>
      </c>
      <c r="BC12" s="1">
        <v>824.0</v>
      </c>
      <c r="BD12" s="1" t="s">
        <v>74</v>
      </c>
      <c r="BE12" s="1" t="s">
        <v>194</v>
      </c>
      <c r="BF12" s="2" t="str">
        <f>HYPERLINK("http://dx.doi.org/10.1002/mrc.5478","http://dx.doi.org/10.1002/mrc.5478")</f>
        <v>http://dx.doi.org/10.1002/mrc.5478</v>
      </c>
      <c r="BG12" s="1" t="s">
        <v>74</v>
      </c>
      <c r="BH12" s="1" t="s">
        <v>195</v>
      </c>
      <c r="BI12" s="1" t="s">
        <v>74</v>
      </c>
      <c r="BJ12" s="1" t="s">
        <v>74</v>
      </c>
      <c r="BK12" s="1" t="s">
        <v>74</v>
      </c>
      <c r="BL12" s="1" t="s">
        <v>74</v>
      </c>
      <c r="BM12" s="1" t="s">
        <v>74</v>
      </c>
      <c r="BN12" s="1">
        <v>3.9192563E7</v>
      </c>
      <c r="BO12" s="1" t="s">
        <v>74</v>
      </c>
      <c r="BP12" s="1" t="s">
        <v>74</v>
      </c>
      <c r="BQ12" s="1" t="s">
        <v>74</v>
      </c>
      <c r="BR12" s="1" t="s">
        <v>74</v>
      </c>
      <c r="BS12" s="1" t="s">
        <v>196</v>
      </c>
      <c r="BT12" s="1" t="str">
        <f>HYPERLINK("https%3A%2F%2Fwww.webofscience.com%2Fwos%2Fwoscc%2Ffull-record%2FWOS:001299595500001","View Full Record in Web of Science")</f>
        <v>View Full Record in Web of Science</v>
      </c>
    </row>
    <row r="13" ht="12.75" customHeight="1">
      <c r="A13" s="1" t="s">
        <v>72</v>
      </c>
      <c r="B13" s="1" t="s">
        <v>197</v>
      </c>
      <c r="C13" s="1" t="s">
        <v>74</v>
      </c>
      <c r="D13" s="1" t="s">
        <v>74</v>
      </c>
      <c r="E13" s="1" t="s">
        <v>74</v>
      </c>
      <c r="F13" s="1" t="s">
        <v>198</v>
      </c>
      <c r="G13" s="1" t="s">
        <v>74</v>
      </c>
      <c r="H13" s="1" t="s">
        <v>74</v>
      </c>
      <c r="I13" s="1" t="s">
        <v>199</v>
      </c>
      <c r="J13" s="1" t="s">
        <v>200</v>
      </c>
      <c r="K13" s="1" t="s">
        <v>74</v>
      </c>
      <c r="L13" s="1" t="s">
        <v>74</v>
      </c>
      <c r="M13" s="1" t="s">
        <v>74</v>
      </c>
      <c r="N13" s="1" t="s">
        <v>74</v>
      </c>
      <c r="O13" s="1" t="s">
        <v>74</v>
      </c>
      <c r="P13" s="1" t="s">
        <v>74</v>
      </c>
      <c r="Q13" s="1" t="s">
        <v>74</v>
      </c>
      <c r="R13" s="1" t="s">
        <v>74</v>
      </c>
      <c r="S13" s="1" t="s">
        <v>74</v>
      </c>
      <c r="T13" s="1" t="s">
        <v>74</v>
      </c>
      <c r="U13" s="1" t="s">
        <v>74</v>
      </c>
      <c r="V13" s="1" t="s">
        <v>201</v>
      </c>
      <c r="W13" s="1" t="s">
        <v>74</v>
      </c>
      <c r="X13" s="1" t="s">
        <v>74</v>
      </c>
      <c r="Y13" s="1" t="s">
        <v>74</v>
      </c>
      <c r="Z13" s="1" t="s">
        <v>74</v>
      </c>
      <c r="AA13" s="1" t="s">
        <v>74</v>
      </c>
      <c r="AB13" s="1" t="s">
        <v>202</v>
      </c>
      <c r="AC13" s="1" t="s">
        <v>74</v>
      </c>
      <c r="AD13" s="1" t="s">
        <v>74</v>
      </c>
      <c r="AE13" s="1" t="s">
        <v>74</v>
      </c>
      <c r="AF13" s="1" t="s">
        <v>74</v>
      </c>
      <c r="AG13" s="1" t="s">
        <v>74</v>
      </c>
      <c r="AH13" s="1" t="s">
        <v>74</v>
      </c>
      <c r="AI13" s="1" t="s">
        <v>74</v>
      </c>
      <c r="AJ13" s="1" t="s">
        <v>74</v>
      </c>
      <c r="AK13" s="1" t="s">
        <v>74</v>
      </c>
      <c r="AL13" s="1" t="s">
        <v>74</v>
      </c>
      <c r="AM13" s="1" t="s">
        <v>74</v>
      </c>
      <c r="AN13" s="1" t="s">
        <v>74</v>
      </c>
      <c r="AO13" s="1" t="s">
        <v>203</v>
      </c>
      <c r="AP13" s="1" t="s">
        <v>204</v>
      </c>
      <c r="AQ13" s="1" t="s">
        <v>74</v>
      </c>
      <c r="AR13" s="1" t="s">
        <v>74</v>
      </c>
      <c r="AS13" s="1" t="s">
        <v>74</v>
      </c>
      <c r="AT13" s="1" t="s">
        <v>205</v>
      </c>
      <c r="AU13" s="1">
        <v>2024.0</v>
      </c>
      <c r="AV13" s="1">
        <v>53.0</v>
      </c>
      <c r="AW13" s="1">
        <v>41.0</v>
      </c>
      <c r="AX13" s="1" t="s">
        <v>74</v>
      </c>
      <c r="AY13" s="1" t="s">
        <v>74</v>
      </c>
      <c r="AZ13" s="1" t="s">
        <v>74</v>
      </c>
      <c r="BA13" s="1" t="s">
        <v>74</v>
      </c>
      <c r="BB13" s="1" t="s">
        <v>74</v>
      </c>
      <c r="BC13" s="1" t="s">
        <v>74</v>
      </c>
      <c r="BD13" s="1" t="s">
        <v>74</v>
      </c>
      <c r="BE13" s="1" t="s">
        <v>206</v>
      </c>
      <c r="BF13" s="2" t="str">
        <f>HYPERLINK("http://dx.doi.org/10.1039/d4dt01459f","http://dx.doi.org/10.1039/d4dt01459f")</f>
        <v>http://dx.doi.org/10.1039/d4dt01459f</v>
      </c>
      <c r="BG13" s="1" t="s">
        <v>74</v>
      </c>
      <c r="BH13" s="1" t="s">
        <v>195</v>
      </c>
      <c r="BI13" s="1" t="s">
        <v>74</v>
      </c>
      <c r="BJ13" s="1" t="s">
        <v>74</v>
      </c>
      <c r="BK13" s="1" t="s">
        <v>74</v>
      </c>
      <c r="BL13" s="1" t="s">
        <v>74</v>
      </c>
      <c r="BM13" s="1" t="s">
        <v>74</v>
      </c>
      <c r="BN13" s="1">
        <v>3.9189898E7</v>
      </c>
      <c r="BO13" s="1" t="s">
        <v>74</v>
      </c>
      <c r="BP13" s="1" t="s">
        <v>74</v>
      </c>
      <c r="BQ13" s="1" t="s">
        <v>74</v>
      </c>
      <c r="BR13" s="1" t="s">
        <v>74</v>
      </c>
      <c r="BS13" s="1" t="s">
        <v>207</v>
      </c>
      <c r="BT13" s="1" t="str">
        <f>HYPERLINK("https%3A%2F%2Fwww.webofscience.com%2Fwos%2Fwoscc%2Ffull-record%2FWOS:001299419200001","View Full Record in Web of Science")</f>
        <v>View Full Record in Web of Science</v>
      </c>
    </row>
    <row r="14" ht="12.75" customHeight="1">
      <c r="A14" s="1" t="s">
        <v>72</v>
      </c>
      <c r="B14" s="1" t="s">
        <v>208</v>
      </c>
      <c r="C14" s="1" t="s">
        <v>74</v>
      </c>
      <c r="D14" s="1" t="s">
        <v>74</v>
      </c>
      <c r="E14" s="1" t="s">
        <v>74</v>
      </c>
      <c r="F14" s="1" t="s">
        <v>209</v>
      </c>
      <c r="G14" s="1" t="s">
        <v>74</v>
      </c>
      <c r="H14" s="1" t="s">
        <v>74</v>
      </c>
      <c r="I14" s="1" t="s">
        <v>210</v>
      </c>
      <c r="J14" s="1" t="s">
        <v>211</v>
      </c>
      <c r="K14" s="1" t="s">
        <v>74</v>
      </c>
      <c r="L14" s="1" t="s">
        <v>74</v>
      </c>
      <c r="M14" s="1" t="s">
        <v>74</v>
      </c>
      <c r="N14" s="1" t="s">
        <v>74</v>
      </c>
      <c r="O14" s="1" t="s">
        <v>74</v>
      </c>
      <c r="P14" s="1" t="s">
        <v>74</v>
      </c>
      <c r="Q14" s="1" t="s">
        <v>74</v>
      </c>
      <c r="R14" s="1" t="s">
        <v>74</v>
      </c>
      <c r="S14" s="1" t="s">
        <v>74</v>
      </c>
      <c r="T14" s="1" t="s">
        <v>74</v>
      </c>
      <c r="U14" s="1" t="s">
        <v>74</v>
      </c>
      <c r="V14" s="1" t="s">
        <v>212</v>
      </c>
      <c r="W14" s="1" t="s">
        <v>74</v>
      </c>
      <c r="X14" s="1" t="s">
        <v>74</v>
      </c>
      <c r="Y14" s="1" t="s">
        <v>74</v>
      </c>
      <c r="Z14" s="1" t="s">
        <v>74</v>
      </c>
      <c r="AA14" s="1" t="s">
        <v>213</v>
      </c>
      <c r="AB14" s="1" t="s">
        <v>214</v>
      </c>
      <c r="AC14" s="1" t="s">
        <v>74</v>
      </c>
      <c r="AD14" s="1" t="s">
        <v>74</v>
      </c>
      <c r="AE14" s="1" t="s">
        <v>74</v>
      </c>
      <c r="AF14" s="1" t="s">
        <v>74</v>
      </c>
      <c r="AG14" s="1" t="s">
        <v>74</v>
      </c>
      <c r="AH14" s="1" t="s">
        <v>74</v>
      </c>
      <c r="AI14" s="1" t="s">
        <v>74</v>
      </c>
      <c r="AJ14" s="1" t="s">
        <v>74</v>
      </c>
      <c r="AK14" s="1" t="s">
        <v>74</v>
      </c>
      <c r="AL14" s="1" t="s">
        <v>74</v>
      </c>
      <c r="AM14" s="1" t="s">
        <v>74</v>
      </c>
      <c r="AN14" s="1" t="s">
        <v>74</v>
      </c>
      <c r="AO14" s="1" t="s">
        <v>215</v>
      </c>
      <c r="AP14" s="1" t="s">
        <v>216</v>
      </c>
      <c r="AQ14" s="1" t="s">
        <v>74</v>
      </c>
      <c r="AR14" s="1" t="s">
        <v>74</v>
      </c>
      <c r="AS14" s="1" t="s">
        <v>74</v>
      </c>
      <c r="AT14" s="1" t="s">
        <v>74</v>
      </c>
      <c r="AU14" s="1">
        <v>2021.0</v>
      </c>
      <c r="AV14" s="1">
        <v>23.0</v>
      </c>
      <c r="AW14" s="1" t="s">
        <v>74</v>
      </c>
      <c r="AX14" s="1" t="s">
        <v>74</v>
      </c>
      <c r="AY14" s="1" t="s">
        <v>74</v>
      </c>
      <c r="AZ14" s="1" t="s">
        <v>74</v>
      </c>
      <c r="BA14" s="1" t="s">
        <v>74</v>
      </c>
      <c r="BB14" s="1" t="s">
        <v>74</v>
      </c>
      <c r="BC14" s="1" t="s">
        <v>74</v>
      </c>
      <c r="BD14" s="1">
        <v>15.0</v>
      </c>
      <c r="BE14" s="1" t="s">
        <v>217</v>
      </c>
      <c r="BF14" s="2" t="str">
        <f>HYPERLINK("http://dx.doi.org/10.4067/s0718-221x2021000100415","http://dx.doi.org/10.4067/s0718-221x2021000100415")</f>
        <v>http://dx.doi.org/10.4067/s0718-221x2021000100415</v>
      </c>
      <c r="BG14" s="1" t="s">
        <v>74</v>
      </c>
      <c r="BH14" s="1" t="s">
        <v>74</v>
      </c>
      <c r="BI14" s="1" t="s">
        <v>74</v>
      </c>
      <c r="BJ14" s="1" t="s">
        <v>74</v>
      </c>
      <c r="BK14" s="1" t="s">
        <v>74</v>
      </c>
      <c r="BL14" s="1" t="s">
        <v>74</v>
      </c>
      <c r="BM14" s="1" t="s">
        <v>74</v>
      </c>
      <c r="BN14" s="1" t="s">
        <v>74</v>
      </c>
      <c r="BO14" s="1" t="s">
        <v>74</v>
      </c>
      <c r="BP14" s="1" t="s">
        <v>74</v>
      </c>
      <c r="BQ14" s="1" t="s">
        <v>74</v>
      </c>
      <c r="BR14" s="1" t="s">
        <v>74</v>
      </c>
      <c r="BS14" s="1" t="s">
        <v>218</v>
      </c>
      <c r="BT14" s="1" t="str">
        <f>HYPERLINK("https%3A%2F%2Fwww.webofscience.com%2Fwos%2Fwoscc%2Ffull-record%2FWOS:000672638300015","View Full Record in Web of Science")</f>
        <v>View Full Record in Web of Science</v>
      </c>
    </row>
    <row r="15" ht="12.75" customHeight="1">
      <c r="A15" s="1" t="s">
        <v>72</v>
      </c>
      <c r="B15" s="1" t="s">
        <v>219</v>
      </c>
      <c r="C15" s="1" t="s">
        <v>74</v>
      </c>
      <c r="D15" s="1" t="s">
        <v>74</v>
      </c>
      <c r="E15" s="1" t="s">
        <v>74</v>
      </c>
      <c r="F15" s="1" t="s">
        <v>220</v>
      </c>
      <c r="G15" s="1" t="s">
        <v>74</v>
      </c>
      <c r="H15" s="1" t="s">
        <v>74</v>
      </c>
      <c r="I15" s="1" t="s">
        <v>221</v>
      </c>
      <c r="J15" s="1" t="s">
        <v>222</v>
      </c>
      <c r="K15" s="1" t="s">
        <v>74</v>
      </c>
      <c r="L15" s="1" t="s">
        <v>74</v>
      </c>
      <c r="M15" s="1" t="s">
        <v>74</v>
      </c>
      <c r="N15" s="1" t="s">
        <v>74</v>
      </c>
      <c r="O15" s="1" t="s">
        <v>74</v>
      </c>
      <c r="P15" s="1" t="s">
        <v>74</v>
      </c>
      <c r="Q15" s="1" t="s">
        <v>74</v>
      </c>
      <c r="R15" s="1" t="s">
        <v>74</v>
      </c>
      <c r="S15" s="1" t="s">
        <v>74</v>
      </c>
      <c r="T15" s="1" t="s">
        <v>74</v>
      </c>
      <c r="U15" s="1" t="s">
        <v>74</v>
      </c>
      <c r="V15" s="1" t="s">
        <v>223</v>
      </c>
      <c r="W15" s="1" t="s">
        <v>74</v>
      </c>
      <c r="X15" s="1" t="s">
        <v>74</v>
      </c>
      <c r="Y15" s="1" t="s">
        <v>74</v>
      </c>
      <c r="Z15" s="1" t="s">
        <v>74</v>
      </c>
      <c r="AA15" s="1" t="s">
        <v>224</v>
      </c>
      <c r="AB15" s="1" t="s">
        <v>225</v>
      </c>
      <c r="AC15" s="1" t="s">
        <v>74</v>
      </c>
      <c r="AD15" s="1" t="s">
        <v>74</v>
      </c>
      <c r="AE15" s="1" t="s">
        <v>74</v>
      </c>
      <c r="AF15" s="1" t="s">
        <v>74</v>
      </c>
      <c r="AG15" s="1" t="s">
        <v>74</v>
      </c>
      <c r="AH15" s="1" t="s">
        <v>74</v>
      </c>
      <c r="AI15" s="1" t="s">
        <v>74</v>
      </c>
      <c r="AJ15" s="1" t="s">
        <v>74</v>
      </c>
      <c r="AK15" s="1" t="s">
        <v>74</v>
      </c>
      <c r="AL15" s="1" t="s">
        <v>74</v>
      </c>
      <c r="AM15" s="1" t="s">
        <v>74</v>
      </c>
      <c r="AN15" s="1" t="s">
        <v>74</v>
      </c>
      <c r="AO15" s="1" t="s">
        <v>226</v>
      </c>
      <c r="AP15" s="1" t="s">
        <v>227</v>
      </c>
      <c r="AQ15" s="1" t="s">
        <v>74</v>
      </c>
      <c r="AR15" s="1" t="s">
        <v>74</v>
      </c>
      <c r="AS15" s="1" t="s">
        <v>74</v>
      </c>
      <c r="AT15" s="1" t="s">
        <v>228</v>
      </c>
      <c r="AU15" s="1">
        <v>2020.0</v>
      </c>
      <c r="AV15" s="1">
        <v>248.0</v>
      </c>
      <c r="AW15" s="1" t="s">
        <v>74</v>
      </c>
      <c r="AX15" s="1" t="s">
        <v>74</v>
      </c>
      <c r="AY15" s="1" t="s">
        <v>74</v>
      </c>
      <c r="AZ15" s="1" t="s">
        <v>74</v>
      </c>
      <c r="BA15" s="1" t="s">
        <v>74</v>
      </c>
      <c r="BB15" s="1" t="s">
        <v>74</v>
      </c>
      <c r="BC15" s="1" t="s">
        <v>74</v>
      </c>
      <c r="BD15" s="1">
        <v>117054.0</v>
      </c>
      <c r="BE15" s="1" t="s">
        <v>229</v>
      </c>
      <c r="BF15" s="2" t="str">
        <f>HYPERLINK("http://dx.doi.org/10.1016/j.seppur.2020.117054","http://dx.doi.org/10.1016/j.seppur.2020.117054")</f>
        <v>http://dx.doi.org/10.1016/j.seppur.2020.117054</v>
      </c>
      <c r="BG15" s="1" t="s">
        <v>74</v>
      </c>
      <c r="BH15" s="1" t="s">
        <v>74</v>
      </c>
      <c r="BI15" s="1" t="s">
        <v>74</v>
      </c>
      <c r="BJ15" s="1" t="s">
        <v>74</v>
      </c>
      <c r="BK15" s="1" t="s">
        <v>74</v>
      </c>
      <c r="BL15" s="1" t="s">
        <v>74</v>
      </c>
      <c r="BM15" s="1" t="s">
        <v>74</v>
      </c>
      <c r="BN15" s="1" t="s">
        <v>74</v>
      </c>
      <c r="BO15" s="1" t="s">
        <v>74</v>
      </c>
      <c r="BP15" s="1" t="s">
        <v>74</v>
      </c>
      <c r="BQ15" s="1" t="s">
        <v>74</v>
      </c>
      <c r="BR15" s="1" t="s">
        <v>74</v>
      </c>
      <c r="BS15" s="1" t="s">
        <v>230</v>
      </c>
      <c r="BT15" s="1" t="str">
        <f>HYPERLINK("https%3A%2F%2Fwww.webofscience.com%2Fwos%2Fwoscc%2Ffull-record%2FWOS:000538827600057","View Full Record in Web of Science")</f>
        <v>View Full Record in Web of Science</v>
      </c>
    </row>
    <row r="16" ht="12.75" customHeight="1">
      <c r="A16" s="1" t="s">
        <v>72</v>
      </c>
      <c r="B16" s="1" t="s">
        <v>231</v>
      </c>
      <c r="C16" s="1" t="s">
        <v>74</v>
      </c>
      <c r="D16" s="1" t="s">
        <v>74</v>
      </c>
      <c r="E16" s="1" t="s">
        <v>74</v>
      </c>
      <c r="F16" s="1" t="s">
        <v>232</v>
      </c>
      <c r="G16" s="1" t="s">
        <v>74</v>
      </c>
      <c r="H16" s="1" t="s">
        <v>74</v>
      </c>
      <c r="I16" s="1" t="s">
        <v>233</v>
      </c>
      <c r="J16" s="1" t="s">
        <v>234</v>
      </c>
      <c r="K16" s="1" t="s">
        <v>74</v>
      </c>
      <c r="L16" s="1" t="s">
        <v>74</v>
      </c>
      <c r="M16" s="1" t="s">
        <v>74</v>
      </c>
      <c r="N16" s="1" t="s">
        <v>74</v>
      </c>
      <c r="O16" s="1" t="s">
        <v>74</v>
      </c>
      <c r="P16" s="1" t="s">
        <v>74</v>
      </c>
      <c r="Q16" s="1" t="s">
        <v>74</v>
      </c>
      <c r="R16" s="1" t="s">
        <v>74</v>
      </c>
      <c r="S16" s="1" t="s">
        <v>74</v>
      </c>
      <c r="T16" s="1" t="s">
        <v>74</v>
      </c>
      <c r="U16" s="1" t="s">
        <v>74</v>
      </c>
      <c r="V16" s="1" t="s">
        <v>235</v>
      </c>
      <c r="W16" s="1" t="s">
        <v>74</v>
      </c>
      <c r="X16" s="1" t="s">
        <v>74</v>
      </c>
      <c r="Y16" s="1" t="s">
        <v>74</v>
      </c>
      <c r="Z16" s="1" t="s">
        <v>74</v>
      </c>
      <c r="AA16" s="1" t="s">
        <v>236</v>
      </c>
      <c r="AB16" s="1" t="s">
        <v>74</v>
      </c>
      <c r="AC16" s="1" t="s">
        <v>74</v>
      </c>
      <c r="AD16" s="1" t="s">
        <v>74</v>
      </c>
      <c r="AE16" s="1" t="s">
        <v>74</v>
      </c>
      <c r="AF16" s="1" t="s">
        <v>74</v>
      </c>
      <c r="AG16" s="1" t="s">
        <v>74</v>
      </c>
      <c r="AH16" s="1" t="s">
        <v>74</v>
      </c>
      <c r="AI16" s="1" t="s">
        <v>74</v>
      </c>
      <c r="AJ16" s="1" t="s">
        <v>74</v>
      </c>
      <c r="AK16" s="1" t="s">
        <v>74</v>
      </c>
      <c r="AL16" s="1" t="s">
        <v>74</v>
      </c>
      <c r="AM16" s="1" t="s">
        <v>74</v>
      </c>
      <c r="AN16" s="1" t="s">
        <v>74</v>
      </c>
      <c r="AO16" s="1" t="s">
        <v>237</v>
      </c>
      <c r="AP16" s="1" t="s">
        <v>238</v>
      </c>
      <c r="AQ16" s="1" t="s">
        <v>74</v>
      </c>
      <c r="AR16" s="1" t="s">
        <v>74</v>
      </c>
      <c r="AS16" s="1" t="s">
        <v>74</v>
      </c>
      <c r="AT16" s="1" t="s">
        <v>239</v>
      </c>
      <c r="AU16" s="1">
        <v>2020.0</v>
      </c>
      <c r="AV16" s="1">
        <v>73.0</v>
      </c>
      <c r="AW16" s="1">
        <v>1.0</v>
      </c>
      <c r="AX16" s="1" t="s">
        <v>74</v>
      </c>
      <c r="AY16" s="1" t="s">
        <v>74</v>
      </c>
      <c r="AZ16" s="1" t="s">
        <v>74</v>
      </c>
      <c r="BA16" s="1" t="s">
        <v>74</v>
      </c>
      <c r="BB16" s="1">
        <v>32.0</v>
      </c>
      <c r="BC16" s="1">
        <v>40.0</v>
      </c>
      <c r="BD16" s="1" t="s">
        <v>74</v>
      </c>
      <c r="BE16" s="1" t="s">
        <v>74</v>
      </c>
      <c r="BF16" s="1" t="s">
        <v>74</v>
      </c>
      <c r="BG16" s="1" t="s">
        <v>74</v>
      </c>
      <c r="BH16" s="1" t="s">
        <v>74</v>
      </c>
      <c r="BI16" s="1" t="s">
        <v>74</v>
      </c>
      <c r="BJ16" s="1" t="s">
        <v>74</v>
      </c>
      <c r="BK16" s="1" t="s">
        <v>74</v>
      </c>
      <c r="BL16" s="1" t="s">
        <v>74</v>
      </c>
      <c r="BM16" s="1" t="s">
        <v>74</v>
      </c>
      <c r="BN16" s="1">
        <v>3.1950921E7</v>
      </c>
      <c r="BO16" s="1" t="s">
        <v>74</v>
      </c>
      <c r="BP16" s="1" t="s">
        <v>74</v>
      </c>
      <c r="BQ16" s="1" t="s">
        <v>74</v>
      </c>
      <c r="BR16" s="1" t="s">
        <v>74</v>
      </c>
      <c r="BS16" s="1" t="s">
        <v>240</v>
      </c>
      <c r="BT16" s="1" t="str">
        <f>HYPERLINK("https%3A%2F%2Fwww.webofscience.com%2Fwos%2Fwoscc%2Ffull-record%2FWOS:000507143200005","View Full Record in Web of Science")</f>
        <v>View Full Record in Web of Science</v>
      </c>
    </row>
    <row r="17" ht="12.75" customHeight="1">
      <c r="A17" s="1" t="s">
        <v>241</v>
      </c>
      <c r="B17" s="1" t="s">
        <v>242</v>
      </c>
      <c r="C17" s="1" t="s">
        <v>74</v>
      </c>
      <c r="D17" s="1" t="s">
        <v>243</v>
      </c>
      <c r="E17" s="1" t="s">
        <v>74</v>
      </c>
      <c r="F17" s="1" t="s">
        <v>244</v>
      </c>
      <c r="G17" s="1" t="s">
        <v>74</v>
      </c>
      <c r="H17" s="1" t="s">
        <v>74</v>
      </c>
      <c r="I17" s="1" t="s">
        <v>245</v>
      </c>
      <c r="J17" s="1" t="s">
        <v>246</v>
      </c>
      <c r="K17" s="1" t="s">
        <v>74</v>
      </c>
      <c r="L17" s="1" t="s">
        <v>74</v>
      </c>
      <c r="M17" s="1" t="s">
        <v>74</v>
      </c>
      <c r="N17" s="1" t="s">
        <v>74</v>
      </c>
      <c r="O17" s="1" t="s">
        <v>247</v>
      </c>
      <c r="P17" s="1" t="s">
        <v>248</v>
      </c>
      <c r="Q17" s="1" t="s">
        <v>249</v>
      </c>
      <c r="R17" s="1" t="s">
        <v>250</v>
      </c>
      <c r="S17" s="1" t="s">
        <v>74</v>
      </c>
      <c r="T17" s="1" t="s">
        <v>74</v>
      </c>
      <c r="U17" s="1" t="s">
        <v>74</v>
      </c>
      <c r="V17" s="1" t="s">
        <v>251</v>
      </c>
      <c r="W17" s="1" t="s">
        <v>74</v>
      </c>
      <c r="X17" s="1" t="s">
        <v>74</v>
      </c>
      <c r="Y17" s="1" t="s">
        <v>74</v>
      </c>
      <c r="Z17" s="1" t="s">
        <v>74</v>
      </c>
      <c r="AA17" s="1" t="s">
        <v>74</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74</v>
      </c>
      <c r="AP17" s="1" t="s">
        <v>74</v>
      </c>
      <c r="AQ17" s="1" t="s">
        <v>252</v>
      </c>
      <c r="AR17" s="1" t="s">
        <v>74</v>
      </c>
      <c r="AS17" s="1" t="s">
        <v>74</v>
      </c>
      <c r="AT17" s="1" t="s">
        <v>74</v>
      </c>
      <c r="AU17" s="1">
        <v>2019.0</v>
      </c>
      <c r="AV17" s="1" t="s">
        <v>74</v>
      </c>
      <c r="AW17" s="1" t="s">
        <v>74</v>
      </c>
      <c r="AX17" s="1" t="s">
        <v>74</v>
      </c>
      <c r="AY17" s="1" t="s">
        <v>74</v>
      </c>
      <c r="AZ17" s="1" t="s">
        <v>74</v>
      </c>
      <c r="BA17" s="1" t="s">
        <v>74</v>
      </c>
      <c r="BB17" s="1" t="s">
        <v>74</v>
      </c>
      <c r="BC17" s="1" t="s">
        <v>74</v>
      </c>
      <c r="BD17" s="1" t="s">
        <v>74</v>
      </c>
      <c r="BE17" s="1" t="s">
        <v>74</v>
      </c>
      <c r="BF17" s="1" t="s">
        <v>74</v>
      </c>
      <c r="BG17" s="1" t="s">
        <v>74</v>
      </c>
      <c r="BH17" s="1" t="s">
        <v>74</v>
      </c>
      <c r="BI17" s="1" t="s">
        <v>74</v>
      </c>
      <c r="BJ17" s="1" t="s">
        <v>74</v>
      </c>
      <c r="BK17" s="1" t="s">
        <v>74</v>
      </c>
      <c r="BL17" s="1" t="s">
        <v>74</v>
      </c>
      <c r="BM17" s="1" t="s">
        <v>74</v>
      </c>
      <c r="BN17" s="1" t="s">
        <v>74</v>
      </c>
      <c r="BO17" s="1" t="s">
        <v>74</v>
      </c>
      <c r="BP17" s="1" t="s">
        <v>74</v>
      </c>
      <c r="BQ17" s="1" t="s">
        <v>74</v>
      </c>
      <c r="BR17" s="1" t="s">
        <v>74</v>
      </c>
      <c r="BS17" s="1" t="s">
        <v>253</v>
      </c>
      <c r="BT17" s="1" t="str">
        <f>HYPERLINK("https%3A%2F%2Fwww.webofscience.com%2Fwos%2Fwoscc%2Ffull-record%2FWOS:000532808700027","View Full Record in Web of Science")</f>
        <v>View Full Record in Web of Science</v>
      </c>
    </row>
    <row r="18" ht="12.75" customHeight="1">
      <c r="A18" s="1" t="s">
        <v>72</v>
      </c>
      <c r="B18" s="1" t="s">
        <v>254</v>
      </c>
      <c r="C18" s="1" t="s">
        <v>74</v>
      </c>
      <c r="D18" s="1" t="s">
        <v>74</v>
      </c>
      <c r="E18" s="1" t="s">
        <v>74</v>
      </c>
      <c r="F18" s="1" t="s">
        <v>255</v>
      </c>
      <c r="G18" s="1" t="s">
        <v>74</v>
      </c>
      <c r="H18" s="1" t="s">
        <v>74</v>
      </c>
      <c r="I18" s="1" t="s">
        <v>256</v>
      </c>
      <c r="J18" s="1" t="s">
        <v>257</v>
      </c>
      <c r="K18" s="1" t="s">
        <v>74</v>
      </c>
      <c r="L18" s="1" t="s">
        <v>74</v>
      </c>
      <c r="M18" s="1" t="s">
        <v>74</v>
      </c>
      <c r="N18" s="1" t="s">
        <v>74</v>
      </c>
      <c r="O18" s="1" t="s">
        <v>74</v>
      </c>
      <c r="P18" s="1" t="s">
        <v>74</v>
      </c>
      <c r="Q18" s="1" t="s">
        <v>74</v>
      </c>
      <c r="R18" s="1" t="s">
        <v>74</v>
      </c>
      <c r="S18" s="1" t="s">
        <v>74</v>
      </c>
      <c r="T18" s="1" t="s">
        <v>74</v>
      </c>
      <c r="U18" s="1" t="s">
        <v>74</v>
      </c>
      <c r="V18" s="1" t="s">
        <v>74</v>
      </c>
      <c r="W18" s="1" t="s">
        <v>74</v>
      </c>
      <c r="X18" s="1" t="s">
        <v>74</v>
      </c>
      <c r="Y18" s="1" t="s">
        <v>74</v>
      </c>
      <c r="Z18" s="1" t="s">
        <v>74</v>
      </c>
      <c r="AA18" s="1" t="s">
        <v>258</v>
      </c>
      <c r="AB18" s="1" t="s">
        <v>74</v>
      </c>
      <c r="AC18" s="1" t="s">
        <v>74</v>
      </c>
      <c r="AD18" s="1" t="s">
        <v>74</v>
      </c>
      <c r="AE18" s="1" t="s">
        <v>74</v>
      </c>
      <c r="AF18" s="1" t="s">
        <v>74</v>
      </c>
      <c r="AG18" s="1" t="s">
        <v>74</v>
      </c>
      <c r="AH18" s="1" t="s">
        <v>74</v>
      </c>
      <c r="AI18" s="1" t="s">
        <v>74</v>
      </c>
      <c r="AJ18" s="1" t="s">
        <v>74</v>
      </c>
      <c r="AK18" s="1" t="s">
        <v>74</v>
      </c>
      <c r="AL18" s="1" t="s">
        <v>74</v>
      </c>
      <c r="AM18" s="1" t="s">
        <v>74</v>
      </c>
      <c r="AN18" s="1" t="s">
        <v>74</v>
      </c>
      <c r="AO18" s="1" t="s">
        <v>259</v>
      </c>
      <c r="AP18" s="1" t="s">
        <v>260</v>
      </c>
      <c r="AQ18" s="1" t="s">
        <v>74</v>
      </c>
      <c r="AR18" s="1" t="s">
        <v>74</v>
      </c>
      <c r="AS18" s="1" t="s">
        <v>74</v>
      </c>
      <c r="AT18" s="1" t="s">
        <v>261</v>
      </c>
      <c r="AU18" s="1">
        <v>2018.0</v>
      </c>
      <c r="AV18" s="1">
        <v>363.0</v>
      </c>
      <c r="AW18" s="1" t="s">
        <v>74</v>
      </c>
      <c r="AX18" s="1" t="s">
        <v>74</v>
      </c>
      <c r="AY18" s="1" t="s">
        <v>74</v>
      </c>
      <c r="AZ18" s="1" t="s">
        <v>74</v>
      </c>
      <c r="BA18" s="1" t="s">
        <v>74</v>
      </c>
      <c r="BB18" s="1" t="s">
        <v>74</v>
      </c>
      <c r="BC18" s="1" t="s">
        <v>74</v>
      </c>
      <c r="BD18" s="1" t="s">
        <v>262</v>
      </c>
      <c r="BE18" s="1" t="s">
        <v>263</v>
      </c>
      <c r="BF18" s="2" t="str">
        <f>HYPERLINK("http://dx.doi.org/10.1136/bmj.k4513","http://dx.doi.org/10.1136/bmj.k4513")</f>
        <v>http://dx.doi.org/10.1136/bmj.k4513</v>
      </c>
      <c r="BG18" s="1" t="s">
        <v>74</v>
      </c>
      <c r="BH18" s="1" t="s">
        <v>74</v>
      </c>
      <c r="BI18" s="1" t="s">
        <v>74</v>
      </c>
      <c r="BJ18" s="1" t="s">
        <v>74</v>
      </c>
      <c r="BK18" s="1" t="s">
        <v>74</v>
      </c>
      <c r="BL18" s="1" t="s">
        <v>74</v>
      </c>
      <c r="BM18" s="1" t="s">
        <v>74</v>
      </c>
      <c r="BN18" s="1">
        <v>3.0530499E7</v>
      </c>
      <c r="BO18" s="1" t="s">
        <v>74</v>
      </c>
      <c r="BP18" s="1" t="s">
        <v>74</v>
      </c>
      <c r="BQ18" s="1" t="s">
        <v>74</v>
      </c>
      <c r="BR18" s="1" t="s">
        <v>74</v>
      </c>
      <c r="BS18" s="1" t="s">
        <v>264</v>
      </c>
      <c r="BT18" s="1" t="str">
        <f>HYPERLINK("https%3A%2F%2Fwww.webofscience.com%2Fwos%2Fwoscc%2Ffull-record%2FWOS:000452850000001","View Full Record in Web of Science")</f>
        <v>View Full Record in Web of Science</v>
      </c>
    </row>
    <row r="19" ht="12.75" customHeight="1">
      <c r="A19" s="1" t="s">
        <v>72</v>
      </c>
      <c r="B19" s="1" t="s">
        <v>265</v>
      </c>
      <c r="C19" s="1" t="s">
        <v>74</v>
      </c>
      <c r="D19" s="1" t="s">
        <v>74</v>
      </c>
      <c r="E19" s="1" t="s">
        <v>74</v>
      </c>
      <c r="F19" s="1" t="s">
        <v>266</v>
      </c>
      <c r="G19" s="1" t="s">
        <v>74</v>
      </c>
      <c r="H19" s="1" t="s">
        <v>74</v>
      </c>
      <c r="I19" s="1" t="s">
        <v>267</v>
      </c>
      <c r="J19" s="1" t="s">
        <v>268</v>
      </c>
      <c r="K19" s="1" t="s">
        <v>74</v>
      </c>
      <c r="L19" s="1" t="s">
        <v>74</v>
      </c>
      <c r="M19" s="1" t="s">
        <v>74</v>
      </c>
      <c r="N19" s="1" t="s">
        <v>74</v>
      </c>
      <c r="O19" s="1" t="s">
        <v>74</v>
      </c>
      <c r="P19" s="1" t="s">
        <v>74</v>
      </c>
      <c r="Q19" s="1" t="s">
        <v>74</v>
      </c>
      <c r="R19" s="1" t="s">
        <v>74</v>
      </c>
      <c r="S19" s="1" t="s">
        <v>74</v>
      </c>
      <c r="T19" s="1" t="s">
        <v>74</v>
      </c>
      <c r="U19" s="1" t="s">
        <v>74</v>
      </c>
      <c r="V19" s="1" t="s">
        <v>269</v>
      </c>
      <c r="W19" s="1" t="s">
        <v>74</v>
      </c>
      <c r="X19" s="1" t="s">
        <v>74</v>
      </c>
      <c r="Y19" s="1" t="s">
        <v>74</v>
      </c>
      <c r="Z19" s="1" t="s">
        <v>74</v>
      </c>
      <c r="AA19" s="1" t="s">
        <v>270</v>
      </c>
      <c r="AB19" s="1" t="s">
        <v>271</v>
      </c>
      <c r="AC19" s="1" t="s">
        <v>74</v>
      </c>
      <c r="AD19" s="1" t="s">
        <v>74</v>
      </c>
      <c r="AE19" s="1" t="s">
        <v>74</v>
      </c>
      <c r="AF19" s="1" t="s">
        <v>74</v>
      </c>
      <c r="AG19" s="1" t="s">
        <v>74</v>
      </c>
      <c r="AH19" s="1" t="s">
        <v>74</v>
      </c>
      <c r="AI19" s="1" t="s">
        <v>74</v>
      </c>
      <c r="AJ19" s="1" t="s">
        <v>74</v>
      </c>
      <c r="AK19" s="1" t="s">
        <v>74</v>
      </c>
      <c r="AL19" s="1" t="s">
        <v>74</v>
      </c>
      <c r="AM19" s="1" t="s">
        <v>74</v>
      </c>
      <c r="AN19" s="1" t="s">
        <v>74</v>
      </c>
      <c r="AO19" s="1" t="s">
        <v>272</v>
      </c>
      <c r="AP19" s="1" t="s">
        <v>273</v>
      </c>
      <c r="AQ19" s="1" t="s">
        <v>74</v>
      </c>
      <c r="AR19" s="1" t="s">
        <v>74</v>
      </c>
      <c r="AS19" s="1" t="s">
        <v>74</v>
      </c>
      <c r="AT19" s="1" t="s">
        <v>274</v>
      </c>
      <c r="AU19" s="1">
        <v>2017.0</v>
      </c>
      <c r="AV19" s="1">
        <v>443.0</v>
      </c>
      <c r="AW19" s="1" t="s">
        <v>74</v>
      </c>
      <c r="AX19" s="1" t="s">
        <v>74</v>
      </c>
      <c r="AY19" s="1" t="s">
        <v>74</v>
      </c>
      <c r="AZ19" s="1" t="s">
        <v>74</v>
      </c>
      <c r="BA19" s="1" t="s">
        <v>74</v>
      </c>
      <c r="BB19" s="1">
        <v>116.0</v>
      </c>
      <c r="BC19" s="1">
        <v>123.0</v>
      </c>
      <c r="BD19" s="1" t="s">
        <v>74</v>
      </c>
      <c r="BE19" s="1" t="s">
        <v>275</v>
      </c>
      <c r="BF19" s="2" t="str">
        <f>HYPERLINK("http://dx.doi.org/10.1016/j.jmmm.2017.07.049","http://dx.doi.org/10.1016/j.jmmm.2017.07.049")</f>
        <v>http://dx.doi.org/10.1016/j.jmmm.2017.07.049</v>
      </c>
      <c r="BG19" s="1" t="s">
        <v>74</v>
      </c>
      <c r="BH19" s="1" t="s">
        <v>74</v>
      </c>
      <c r="BI19" s="1" t="s">
        <v>74</v>
      </c>
      <c r="BJ19" s="1" t="s">
        <v>74</v>
      </c>
      <c r="BK19" s="1" t="s">
        <v>74</v>
      </c>
      <c r="BL19" s="1" t="s">
        <v>74</v>
      </c>
      <c r="BM19" s="1" t="s">
        <v>74</v>
      </c>
      <c r="BN19" s="1" t="s">
        <v>74</v>
      </c>
      <c r="BO19" s="1" t="s">
        <v>74</v>
      </c>
      <c r="BP19" s="1" t="s">
        <v>74</v>
      </c>
      <c r="BQ19" s="1" t="s">
        <v>74</v>
      </c>
      <c r="BR19" s="1" t="s">
        <v>74</v>
      </c>
      <c r="BS19" s="1" t="s">
        <v>276</v>
      </c>
      <c r="BT19" s="1" t="str">
        <f>HYPERLINK("https%3A%2F%2Fwww.webofscience.com%2Fwos%2Fwoscc%2Ffull-record%2FWOS:000410658200019","View Full Record in Web of Science")</f>
        <v>View Full Record in Web of Science</v>
      </c>
    </row>
    <row r="20" ht="12.75" customHeight="1">
      <c r="A20" s="1" t="s">
        <v>72</v>
      </c>
      <c r="B20" s="1" t="s">
        <v>277</v>
      </c>
      <c r="C20" s="1" t="s">
        <v>74</v>
      </c>
      <c r="D20" s="1" t="s">
        <v>74</v>
      </c>
      <c r="E20" s="1" t="s">
        <v>74</v>
      </c>
      <c r="F20" s="1" t="s">
        <v>278</v>
      </c>
      <c r="G20" s="1" t="s">
        <v>74</v>
      </c>
      <c r="H20" s="1" t="s">
        <v>74</v>
      </c>
      <c r="I20" s="1" t="s">
        <v>279</v>
      </c>
      <c r="J20" s="1" t="s">
        <v>280</v>
      </c>
      <c r="K20" s="1" t="s">
        <v>74</v>
      </c>
      <c r="L20" s="1" t="s">
        <v>74</v>
      </c>
      <c r="M20" s="1" t="s">
        <v>74</v>
      </c>
      <c r="N20" s="1" t="s">
        <v>74</v>
      </c>
      <c r="O20" s="1" t="s">
        <v>74</v>
      </c>
      <c r="P20" s="1" t="s">
        <v>74</v>
      </c>
      <c r="Q20" s="1" t="s">
        <v>74</v>
      </c>
      <c r="R20" s="1" t="s">
        <v>74</v>
      </c>
      <c r="S20" s="1" t="s">
        <v>74</v>
      </c>
      <c r="T20" s="1" t="s">
        <v>74</v>
      </c>
      <c r="U20" s="1" t="s">
        <v>74</v>
      </c>
      <c r="V20" s="1" t="s">
        <v>281</v>
      </c>
      <c r="W20" s="1" t="s">
        <v>74</v>
      </c>
      <c r="X20" s="1" t="s">
        <v>74</v>
      </c>
      <c r="Y20" s="1" t="s">
        <v>74</v>
      </c>
      <c r="Z20" s="1" t="s">
        <v>74</v>
      </c>
      <c r="AA20" s="1" t="s">
        <v>282</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283</v>
      </c>
      <c r="AP20" s="1" t="s">
        <v>74</v>
      </c>
      <c r="AQ20" s="1" t="s">
        <v>74</v>
      </c>
      <c r="AR20" s="1" t="s">
        <v>74</v>
      </c>
      <c r="AS20" s="1" t="s">
        <v>74</v>
      </c>
      <c r="AT20" s="1" t="s">
        <v>106</v>
      </c>
      <c r="AU20" s="1">
        <v>2016.0</v>
      </c>
      <c r="AV20" s="1">
        <v>61.0</v>
      </c>
      <c r="AW20" s="1">
        <v>3.0</v>
      </c>
      <c r="AX20" s="1" t="s">
        <v>74</v>
      </c>
      <c r="AY20" s="1" t="s">
        <v>74</v>
      </c>
      <c r="AZ20" s="1" t="s">
        <v>74</v>
      </c>
      <c r="BA20" s="1" t="s">
        <v>74</v>
      </c>
      <c r="BB20" s="1">
        <v>3031.0</v>
      </c>
      <c r="BC20" s="1">
        <v>3033.0</v>
      </c>
      <c r="BD20" s="1" t="s">
        <v>74</v>
      </c>
      <c r="BE20" s="1" t="s">
        <v>284</v>
      </c>
      <c r="BF20" s="2" t="str">
        <f>HYPERLINK("http://dx.doi.org/10.4067/S0717-97072016000300004","http://dx.doi.org/10.4067/S0717-97072016000300004")</f>
        <v>http://dx.doi.org/10.4067/S0717-97072016000300004</v>
      </c>
      <c r="BG20" s="1" t="s">
        <v>74</v>
      </c>
      <c r="BH20" s="1" t="s">
        <v>74</v>
      </c>
      <c r="BI20" s="1" t="s">
        <v>74</v>
      </c>
      <c r="BJ20" s="1" t="s">
        <v>74</v>
      </c>
      <c r="BK20" s="1" t="s">
        <v>74</v>
      </c>
      <c r="BL20" s="1" t="s">
        <v>74</v>
      </c>
      <c r="BM20" s="1" t="s">
        <v>74</v>
      </c>
      <c r="BN20" s="1" t="s">
        <v>74</v>
      </c>
      <c r="BO20" s="1" t="s">
        <v>74</v>
      </c>
      <c r="BP20" s="1" t="s">
        <v>74</v>
      </c>
      <c r="BQ20" s="1" t="s">
        <v>74</v>
      </c>
      <c r="BR20" s="1" t="s">
        <v>74</v>
      </c>
      <c r="BS20" s="1" t="s">
        <v>285</v>
      </c>
      <c r="BT20" s="1" t="str">
        <f>HYPERLINK("https%3A%2F%2Fwww.webofscience.com%2Fwos%2Fwoscc%2Ffull-record%2FWOS:000389063700004","View Full Record in Web of Science")</f>
        <v>View Full Record in Web of Science</v>
      </c>
    </row>
    <row r="21" ht="12.75" customHeight="1">
      <c r="A21" s="1" t="s">
        <v>72</v>
      </c>
      <c r="B21" s="1" t="s">
        <v>286</v>
      </c>
      <c r="C21" s="1" t="s">
        <v>74</v>
      </c>
      <c r="D21" s="1" t="s">
        <v>74</v>
      </c>
      <c r="E21" s="1" t="s">
        <v>74</v>
      </c>
      <c r="F21" s="1" t="s">
        <v>287</v>
      </c>
      <c r="G21" s="1" t="s">
        <v>74</v>
      </c>
      <c r="H21" s="1" t="s">
        <v>74</v>
      </c>
      <c r="I21" s="1" t="s">
        <v>288</v>
      </c>
      <c r="J21" s="1" t="s">
        <v>289</v>
      </c>
      <c r="K21" s="1" t="s">
        <v>74</v>
      </c>
      <c r="L21" s="1" t="s">
        <v>74</v>
      </c>
      <c r="M21" s="1" t="s">
        <v>74</v>
      </c>
      <c r="N21" s="1" t="s">
        <v>74</v>
      </c>
      <c r="O21" s="1" t="s">
        <v>74</v>
      </c>
      <c r="P21" s="1" t="s">
        <v>74</v>
      </c>
      <c r="Q21" s="1" t="s">
        <v>74</v>
      </c>
      <c r="R21" s="1" t="s">
        <v>74</v>
      </c>
      <c r="S21" s="1" t="s">
        <v>74</v>
      </c>
      <c r="T21" s="1" t="s">
        <v>74</v>
      </c>
      <c r="U21" s="1" t="s">
        <v>74</v>
      </c>
      <c r="V21" s="1" t="s">
        <v>290</v>
      </c>
      <c r="W21" s="1" t="s">
        <v>74</v>
      </c>
      <c r="X21" s="1" t="s">
        <v>74</v>
      </c>
      <c r="Y21" s="1" t="s">
        <v>74</v>
      </c>
      <c r="Z21" s="1" t="s">
        <v>74</v>
      </c>
      <c r="AA21" s="1" t="s">
        <v>291</v>
      </c>
      <c r="AB21" s="1" t="s">
        <v>292</v>
      </c>
      <c r="AC21" s="1" t="s">
        <v>74</v>
      </c>
      <c r="AD21" s="1" t="s">
        <v>74</v>
      </c>
      <c r="AE21" s="1" t="s">
        <v>74</v>
      </c>
      <c r="AF21" s="1" t="s">
        <v>74</v>
      </c>
      <c r="AG21" s="1" t="s">
        <v>74</v>
      </c>
      <c r="AH21" s="1" t="s">
        <v>74</v>
      </c>
      <c r="AI21" s="1" t="s">
        <v>74</v>
      </c>
      <c r="AJ21" s="1" t="s">
        <v>74</v>
      </c>
      <c r="AK21" s="1" t="s">
        <v>74</v>
      </c>
      <c r="AL21" s="1" t="s">
        <v>74</v>
      </c>
      <c r="AM21" s="1" t="s">
        <v>74</v>
      </c>
      <c r="AN21" s="1" t="s">
        <v>74</v>
      </c>
      <c r="AO21" s="1" t="s">
        <v>293</v>
      </c>
      <c r="AP21" s="1" t="s">
        <v>294</v>
      </c>
      <c r="AQ21" s="1" t="s">
        <v>74</v>
      </c>
      <c r="AR21" s="1" t="s">
        <v>74</v>
      </c>
      <c r="AS21" s="1" t="s">
        <v>74</v>
      </c>
      <c r="AT21" s="1" t="s">
        <v>295</v>
      </c>
      <c r="AU21" s="1">
        <v>2016.0</v>
      </c>
      <c r="AV21" s="1">
        <v>50.0</v>
      </c>
      <c r="AW21" s="1" t="s">
        <v>74</v>
      </c>
      <c r="AX21" s="1" t="s">
        <v>74</v>
      </c>
      <c r="AY21" s="1" t="s">
        <v>74</v>
      </c>
      <c r="AZ21" s="1" t="s">
        <v>74</v>
      </c>
      <c r="BA21" s="1" t="s">
        <v>74</v>
      </c>
      <c r="BB21" s="1">
        <v>1.0</v>
      </c>
      <c r="BC21" s="1">
        <v>8.0</v>
      </c>
      <c r="BD21" s="1" t="s">
        <v>74</v>
      </c>
      <c r="BE21" s="1" t="s">
        <v>296</v>
      </c>
      <c r="BF21" s="2" t="str">
        <f>HYPERLINK("http://dx.doi.org/10.1016/j.eswa.2015.12.014","http://dx.doi.org/10.1016/j.eswa.2015.12.014")</f>
        <v>http://dx.doi.org/10.1016/j.eswa.2015.12.014</v>
      </c>
      <c r="BG21" s="1" t="s">
        <v>74</v>
      </c>
      <c r="BH21" s="1" t="s">
        <v>74</v>
      </c>
      <c r="BI21" s="1" t="s">
        <v>74</v>
      </c>
      <c r="BJ21" s="1" t="s">
        <v>74</v>
      </c>
      <c r="BK21" s="1" t="s">
        <v>74</v>
      </c>
      <c r="BL21" s="1" t="s">
        <v>74</v>
      </c>
      <c r="BM21" s="1" t="s">
        <v>74</v>
      </c>
      <c r="BN21" s="1" t="s">
        <v>74</v>
      </c>
      <c r="BO21" s="1" t="s">
        <v>74</v>
      </c>
      <c r="BP21" s="1" t="s">
        <v>74</v>
      </c>
      <c r="BQ21" s="1" t="s">
        <v>74</v>
      </c>
      <c r="BR21" s="1" t="s">
        <v>74</v>
      </c>
      <c r="BS21" s="1" t="s">
        <v>297</v>
      </c>
      <c r="BT21" s="1" t="str">
        <f>HYPERLINK("https%3A%2F%2Fwww.webofscience.com%2Fwos%2Fwoscc%2Ffull-record%2FWOS:000370305000001","View Full Record in Web of Science")</f>
        <v>View Full Record in Web of Science</v>
      </c>
    </row>
    <row r="22" ht="12.75" customHeight="1">
      <c r="A22" s="1" t="s">
        <v>72</v>
      </c>
      <c r="B22" s="1" t="s">
        <v>298</v>
      </c>
      <c r="C22" s="1" t="s">
        <v>74</v>
      </c>
      <c r="D22" s="1" t="s">
        <v>74</v>
      </c>
      <c r="E22" s="1" t="s">
        <v>74</v>
      </c>
      <c r="F22" s="1" t="s">
        <v>299</v>
      </c>
      <c r="G22" s="1" t="s">
        <v>74</v>
      </c>
      <c r="H22" s="1" t="s">
        <v>74</v>
      </c>
      <c r="I22" s="1" t="s">
        <v>300</v>
      </c>
      <c r="J22" s="1" t="s">
        <v>301</v>
      </c>
      <c r="K22" s="1" t="s">
        <v>74</v>
      </c>
      <c r="L22" s="1" t="s">
        <v>74</v>
      </c>
      <c r="M22" s="1" t="s">
        <v>74</v>
      </c>
      <c r="N22" s="1" t="s">
        <v>74</v>
      </c>
      <c r="O22" s="1" t="s">
        <v>74</v>
      </c>
      <c r="P22" s="1" t="s">
        <v>74</v>
      </c>
      <c r="Q22" s="1" t="s">
        <v>74</v>
      </c>
      <c r="R22" s="1" t="s">
        <v>74</v>
      </c>
      <c r="S22" s="1" t="s">
        <v>74</v>
      </c>
      <c r="T22" s="1" t="s">
        <v>74</v>
      </c>
      <c r="U22" s="1" t="s">
        <v>74</v>
      </c>
      <c r="V22" s="1" t="s">
        <v>302</v>
      </c>
      <c r="W22" s="1" t="s">
        <v>74</v>
      </c>
      <c r="X22" s="1" t="s">
        <v>74</v>
      </c>
      <c r="Y22" s="1" t="s">
        <v>74</v>
      </c>
      <c r="Z22" s="1" t="s">
        <v>74</v>
      </c>
      <c r="AA22" s="1" t="s">
        <v>303</v>
      </c>
      <c r="AB22" s="1" t="s">
        <v>304</v>
      </c>
      <c r="AC22" s="1" t="s">
        <v>74</v>
      </c>
      <c r="AD22" s="1" t="s">
        <v>74</v>
      </c>
      <c r="AE22" s="1" t="s">
        <v>74</v>
      </c>
      <c r="AF22" s="1" t="s">
        <v>74</v>
      </c>
      <c r="AG22" s="1" t="s">
        <v>74</v>
      </c>
      <c r="AH22" s="1" t="s">
        <v>74</v>
      </c>
      <c r="AI22" s="1" t="s">
        <v>74</v>
      </c>
      <c r="AJ22" s="1" t="s">
        <v>74</v>
      </c>
      <c r="AK22" s="1" t="s">
        <v>74</v>
      </c>
      <c r="AL22" s="1" t="s">
        <v>74</v>
      </c>
      <c r="AM22" s="1" t="s">
        <v>74</v>
      </c>
      <c r="AN22" s="1" t="s">
        <v>74</v>
      </c>
      <c r="AO22" s="1" t="s">
        <v>305</v>
      </c>
      <c r="AP22" s="1" t="s">
        <v>306</v>
      </c>
      <c r="AQ22" s="1" t="s">
        <v>74</v>
      </c>
      <c r="AR22" s="1" t="s">
        <v>74</v>
      </c>
      <c r="AS22" s="1" t="s">
        <v>74</v>
      </c>
      <c r="AT22" s="1" t="s">
        <v>307</v>
      </c>
      <c r="AU22" s="1">
        <v>2014.0</v>
      </c>
      <c r="AV22" s="1">
        <v>115.0</v>
      </c>
      <c r="AW22" s="1">
        <v>22.0</v>
      </c>
      <c r="AX22" s="1" t="s">
        <v>74</v>
      </c>
      <c r="AY22" s="1" t="s">
        <v>74</v>
      </c>
      <c r="AZ22" s="1" t="s">
        <v>74</v>
      </c>
      <c r="BA22" s="1" t="s">
        <v>74</v>
      </c>
      <c r="BB22" s="1" t="s">
        <v>74</v>
      </c>
      <c r="BC22" s="1" t="s">
        <v>74</v>
      </c>
      <c r="BD22" s="1">
        <v>223903.0</v>
      </c>
      <c r="BE22" s="1" t="s">
        <v>308</v>
      </c>
      <c r="BF22" s="2" t="str">
        <f>HYPERLINK("http://dx.doi.org/10.1063/1.4882295","http://dx.doi.org/10.1063/1.4882295")</f>
        <v>http://dx.doi.org/10.1063/1.4882295</v>
      </c>
      <c r="BG22" s="1" t="s">
        <v>74</v>
      </c>
      <c r="BH22" s="1" t="s">
        <v>74</v>
      </c>
      <c r="BI22" s="1" t="s">
        <v>74</v>
      </c>
      <c r="BJ22" s="1" t="s">
        <v>74</v>
      </c>
      <c r="BK22" s="1" t="s">
        <v>74</v>
      </c>
      <c r="BL22" s="1" t="s">
        <v>74</v>
      </c>
      <c r="BM22" s="1" t="s">
        <v>74</v>
      </c>
      <c r="BN22" s="1" t="s">
        <v>74</v>
      </c>
      <c r="BO22" s="1" t="s">
        <v>74</v>
      </c>
      <c r="BP22" s="1" t="s">
        <v>74</v>
      </c>
      <c r="BQ22" s="1" t="s">
        <v>74</v>
      </c>
      <c r="BR22" s="1" t="s">
        <v>74</v>
      </c>
      <c r="BS22" s="1" t="s">
        <v>309</v>
      </c>
      <c r="BT22" s="1" t="str">
        <f>HYPERLINK("https%3A%2F%2Fwww.webofscience.com%2Fwos%2Fwoscc%2Ffull-record%2FWOS:000337891800041","View Full Record in Web of Science")</f>
        <v>View Full Record in Web of Science</v>
      </c>
    </row>
    <row r="23" ht="12.75" customHeight="1">
      <c r="A23" s="1" t="s">
        <v>72</v>
      </c>
      <c r="B23" s="1" t="s">
        <v>310</v>
      </c>
      <c r="C23" s="1" t="s">
        <v>74</v>
      </c>
      <c r="D23" s="1" t="s">
        <v>74</v>
      </c>
      <c r="E23" s="1" t="s">
        <v>74</v>
      </c>
      <c r="F23" s="1" t="s">
        <v>311</v>
      </c>
      <c r="G23" s="1" t="s">
        <v>74</v>
      </c>
      <c r="H23" s="1" t="s">
        <v>74</v>
      </c>
      <c r="I23" s="1" t="s">
        <v>312</v>
      </c>
      <c r="J23" s="1" t="s">
        <v>313</v>
      </c>
      <c r="K23" s="1" t="s">
        <v>74</v>
      </c>
      <c r="L23" s="1" t="s">
        <v>74</v>
      </c>
      <c r="M23" s="1" t="s">
        <v>74</v>
      </c>
      <c r="N23" s="1" t="s">
        <v>74</v>
      </c>
      <c r="O23" s="1" t="s">
        <v>74</v>
      </c>
      <c r="P23" s="1" t="s">
        <v>74</v>
      </c>
      <c r="Q23" s="1" t="s">
        <v>74</v>
      </c>
      <c r="R23" s="1" t="s">
        <v>74</v>
      </c>
      <c r="S23" s="1" t="s">
        <v>74</v>
      </c>
      <c r="T23" s="1" t="s">
        <v>74</v>
      </c>
      <c r="U23" s="1" t="s">
        <v>74</v>
      </c>
      <c r="V23" s="1" t="s">
        <v>314</v>
      </c>
      <c r="W23" s="1" t="s">
        <v>74</v>
      </c>
      <c r="X23" s="1" t="s">
        <v>74</v>
      </c>
      <c r="Y23" s="1" t="s">
        <v>74</v>
      </c>
      <c r="Z23" s="1" t="s">
        <v>74</v>
      </c>
      <c r="AA23" s="1" t="s">
        <v>315</v>
      </c>
      <c r="AB23" s="1" t="s">
        <v>316</v>
      </c>
      <c r="AC23" s="1" t="s">
        <v>74</v>
      </c>
      <c r="AD23" s="1" t="s">
        <v>74</v>
      </c>
      <c r="AE23" s="1" t="s">
        <v>74</v>
      </c>
      <c r="AF23" s="1" t="s">
        <v>74</v>
      </c>
      <c r="AG23" s="1" t="s">
        <v>74</v>
      </c>
      <c r="AH23" s="1" t="s">
        <v>74</v>
      </c>
      <c r="AI23" s="1" t="s">
        <v>74</v>
      </c>
      <c r="AJ23" s="1" t="s">
        <v>74</v>
      </c>
      <c r="AK23" s="1" t="s">
        <v>74</v>
      </c>
      <c r="AL23" s="1" t="s">
        <v>74</v>
      </c>
      <c r="AM23" s="1" t="s">
        <v>74</v>
      </c>
      <c r="AN23" s="1" t="s">
        <v>74</v>
      </c>
      <c r="AO23" s="1" t="s">
        <v>317</v>
      </c>
      <c r="AP23" s="1" t="s">
        <v>318</v>
      </c>
      <c r="AQ23" s="1" t="s">
        <v>74</v>
      </c>
      <c r="AR23" s="1" t="s">
        <v>74</v>
      </c>
      <c r="AS23" s="1" t="s">
        <v>74</v>
      </c>
      <c r="AT23" s="1" t="s">
        <v>319</v>
      </c>
      <c r="AU23" s="1">
        <v>2013.0</v>
      </c>
      <c r="AV23" s="1">
        <v>36.0</v>
      </c>
      <c r="AW23" s="1">
        <v>3.0</v>
      </c>
      <c r="AX23" s="1" t="s">
        <v>74</v>
      </c>
      <c r="AY23" s="1" t="s">
        <v>74</v>
      </c>
      <c r="AZ23" s="1" t="s">
        <v>74</v>
      </c>
      <c r="BA23" s="1" t="s">
        <v>74</v>
      </c>
      <c r="BB23" s="1">
        <v>373.0</v>
      </c>
      <c r="BC23" s="1">
        <v>380.0</v>
      </c>
      <c r="BD23" s="1" t="s">
        <v>74</v>
      </c>
      <c r="BE23" s="1" t="s">
        <v>320</v>
      </c>
      <c r="BF23" s="2" t="str">
        <f>HYPERLINK("http://dx.doi.org/10.1007/s00300-012-1267-3","http://dx.doi.org/10.1007/s00300-012-1267-3")</f>
        <v>http://dx.doi.org/10.1007/s00300-012-1267-3</v>
      </c>
      <c r="BG23" s="1" t="s">
        <v>74</v>
      </c>
      <c r="BH23" s="1" t="s">
        <v>74</v>
      </c>
      <c r="BI23" s="1" t="s">
        <v>74</v>
      </c>
      <c r="BJ23" s="1" t="s">
        <v>74</v>
      </c>
      <c r="BK23" s="1" t="s">
        <v>74</v>
      </c>
      <c r="BL23" s="1" t="s">
        <v>74</v>
      </c>
      <c r="BM23" s="1" t="s">
        <v>74</v>
      </c>
      <c r="BN23" s="1" t="s">
        <v>74</v>
      </c>
      <c r="BO23" s="1" t="s">
        <v>74</v>
      </c>
      <c r="BP23" s="1" t="s">
        <v>74</v>
      </c>
      <c r="BQ23" s="1" t="s">
        <v>74</v>
      </c>
      <c r="BR23" s="1" t="s">
        <v>74</v>
      </c>
      <c r="BS23" s="1" t="s">
        <v>321</v>
      </c>
      <c r="BT23" s="1" t="str">
        <f>HYPERLINK("https%3A%2F%2Fwww.webofscience.com%2Fwos%2Fwoscc%2Ffull-record%2FWOS:000314852300007","View Full Record in Web of Science")</f>
        <v>View Full Record in Web of Science</v>
      </c>
    </row>
    <row r="24" ht="12.75" customHeight="1">
      <c r="A24" s="1" t="s">
        <v>72</v>
      </c>
      <c r="B24" s="1" t="s">
        <v>322</v>
      </c>
      <c r="C24" s="1" t="s">
        <v>74</v>
      </c>
      <c r="D24" s="1" t="s">
        <v>74</v>
      </c>
      <c r="E24" s="1" t="s">
        <v>74</v>
      </c>
      <c r="F24" s="1" t="s">
        <v>323</v>
      </c>
      <c r="G24" s="1" t="s">
        <v>74</v>
      </c>
      <c r="H24" s="1" t="s">
        <v>74</v>
      </c>
      <c r="I24" s="1" t="s">
        <v>324</v>
      </c>
      <c r="J24" s="1" t="s">
        <v>325</v>
      </c>
      <c r="K24" s="1" t="s">
        <v>74</v>
      </c>
      <c r="L24" s="1" t="s">
        <v>74</v>
      </c>
      <c r="M24" s="1" t="s">
        <v>74</v>
      </c>
      <c r="N24" s="1" t="s">
        <v>74</v>
      </c>
      <c r="O24" s="1" t="s">
        <v>74</v>
      </c>
      <c r="P24" s="1" t="s">
        <v>74</v>
      </c>
      <c r="Q24" s="1" t="s">
        <v>74</v>
      </c>
      <c r="R24" s="1" t="s">
        <v>74</v>
      </c>
      <c r="S24" s="1" t="s">
        <v>74</v>
      </c>
      <c r="T24" s="1" t="s">
        <v>74</v>
      </c>
      <c r="U24" s="1" t="s">
        <v>74</v>
      </c>
      <c r="V24" s="1" t="s">
        <v>326</v>
      </c>
      <c r="W24" s="1" t="s">
        <v>74</v>
      </c>
      <c r="X24" s="1" t="s">
        <v>74</v>
      </c>
      <c r="Y24" s="1" t="s">
        <v>74</v>
      </c>
      <c r="Z24" s="1" t="s">
        <v>74</v>
      </c>
      <c r="AA24" s="1" t="s">
        <v>327</v>
      </c>
      <c r="AB24" s="1" t="s">
        <v>328</v>
      </c>
      <c r="AC24" s="1" t="s">
        <v>74</v>
      </c>
      <c r="AD24" s="1" t="s">
        <v>74</v>
      </c>
      <c r="AE24" s="1" t="s">
        <v>74</v>
      </c>
      <c r="AF24" s="1" t="s">
        <v>74</v>
      </c>
      <c r="AG24" s="1" t="s">
        <v>74</v>
      </c>
      <c r="AH24" s="1" t="s">
        <v>74</v>
      </c>
      <c r="AI24" s="1" t="s">
        <v>74</v>
      </c>
      <c r="AJ24" s="1" t="s">
        <v>74</v>
      </c>
      <c r="AK24" s="1" t="s">
        <v>74</v>
      </c>
      <c r="AL24" s="1" t="s">
        <v>74</v>
      </c>
      <c r="AM24" s="1" t="s">
        <v>74</v>
      </c>
      <c r="AN24" s="1" t="s">
        <v>74</v>
      </c>
      <c r="AO24" s="1" t="s">
        <v>329</v>
      </c>
      <c r="AP24" s="1" t="s">
        <v>74</v>
      </c>
      <c r="AQ24" s="1" t="s">
        <v>74</v>
      </c>
      <c r="AR24" s="1" t="s">
        <v>74</v>
      </c>
      <c r="AS24" s="1" t="s">
        <v>74</v>
      </c>
      <c r="AT24" s="1" t="s">
        <v>330</v>
      </c>
      <c r="AU24" s="1">
        <v>2012.0</v>
      </c>
      <c r="AV24" s="1">
        <v>7.0</v>
      </c>
      <c r="AW24" s="1">
        <v>9.0</v>
      </c>
      <c r="AX24" s="1" t="s">
        <v>74</v>
      </c>
      <c r="AY24" s="1" t="s">
        <v>74</v>
      </c>
      <c r="AZ24" s="1" t="s">
        <v>74</v>
      </c>
      <c r="BA24" s="1" t="s">
        <v>74</v>
      </c>
      <c r="BB24" s="1" t="s">
        <v>74</v>
      </c>
      <c r="BC24" s="1" t="s">
        <v>74</v>
      </c>
      <c r="BD24" s="1" t="s">
        <v>331</v>
      </c>
      <c r="BE24" s="1" t="s">
        <v>332</v>
      </c>
      <c r="BF24" s="2" t="str">
        <f>HYPERLINK("http://dx.doi.org/10.1371/journal.pone.0044576","http://dx.doi.org/10.1371/journal.pone.0044576")</f>
        <v>http://dx.doi.org/10.1371/journal.pone.0044576</v>
      </c>
      <c r="BG24" s="1" t="s">
        <v>74</v>
      </c>
      <c r="BH24" s="1" t="s">
        <v>74</v>
      </c>
      <c r="BI24" s="1" t="s">
        <v>74</v>
      </c>
      <c r="BJ24" s="1" t="s">
        <v>74</v>
      </c>
      <c r="BK24" s="1" t="s">
        <v>74</v>
      </c>
      <c r="BL24" s="1" t="s">
        <v>74</v>
      </c>
      <c r="BM24" s="1" t="s">
        <v>74</v>
      </c>
      <c r="BN24" s="1">
        <v>2.2970253E7</v>
      </c>
      <c r="BO24" s="1" t="s">
        <v>74</v>
      </c>
      <c r="BP24" s="1" t="s">
        <v>74</v>
      </c>
      <c r="BQ24" s="1" t="s">
        <v>74</v>
      </c>
      <c r="BR24" s="1" t="s">
        <v>74</v>
      </c>
      <c r="BS24" s="1" t="s">
        <v>333</v>
      </c>
      <c r="BT24" s="1" t="str">
        <f>HYPERLINK("https%3A%2F%2Fwww.webofscience.com%2Fwos%2Fwoscc%2Ffull-record%2FWOS:000308458400089","View Full Record in Web of Science")</f>
        <v>View Full Record in Web of Science</v>
      </c>
    </row>
    <row r="25" ht="12.75" customHeight="1">
      <c r="A25" s="1" t="s">
        <v>72</v>
      </c>
      <c r="B25" s="1" t="s">
        <v>334</v>
      </c>
      <c r="C25" s="1" t="s">
        <v>74</v>
      </c>
      <c r="D25" s="1" t="s">
        <v>74</v>
      </c>
      <c r="E25" s="1" t="s">
        <v>74</v>
      </c>
      <c r="F25" s="1" t="s">
        <v>335</v>
      </c>
      <c r="G25" s="1" t="s">
        <v>74</v>
      </c>
      <c r="H25" s="1" t="s">
        <v>74</v>
      </c>
      <c r="I25" s="1" t="s">
        <v>336</v>
      </c>
      <c r="J25" s="1" t="s">
        <v>337</v>
      </c>
      <c r="K25" s="1" t="s">
        <v>74</v>
      </c>
      <c r="L25" s="1" t="s">
        <v>74</v>
      </c>
      <c r="M25" s="1" t="s">
        <v>74</v>
      </c>
      <c r="N25" s="1" t="s">
        <v>74</v>
      </c>
      <c r="O25" s="1" t="s">
        <v>74</v>
      </c>
      <c r="P25" s="1" t="s">
        <v>74</v>
      </c>
      <c r="Q25" s="1" t="s">
        <v>74</v>
      </c>
      <c r="R25" s="1" t="s">
        <v>74</v>
      </c>
      <c r="S25" s="1" t="s">
        <v>74</v>
      </c>
      <c r="T25" s="1" t="s">
        <v>74</v>
      </c>
      <c r="U25" s="1" t="s">
        <v>74</v>
      </c>
      <c r="V25" s="1" t="s">
        <v>338</v>
      </c>
      <c r="W25" s="1" t="s">
        <v>74</v>
      </c>
      <c r="X25" s="1" t="s">
        <v>74</v>
      </c>
      <c r="Y25" s="1" t="s">
        <v>74</v>
      </c>
      <c r="Z25" s="1" t="s">
        <v>74</v>
      </c>
      <c r="AA25" s="1" t="s">
        <v>339</v>
      </c>
      <c r="AB25" s="1" t="s">
        <v>340</v>
      </c>
      <c r="AC25" s="1" t="s">
        <v>74</v>
      </c>
      <c r="AD25" s="1" t="s">
        <v>74</v>
      </c>
      <c r="AE25" s="1" t="s">
        <v>74</v>
      </c>
      <c r="AF25" s="1" t="s">
        <v>74</v>
      </c>
      <c r="AG25" s="1" t="s">
        <v>74</v>
      </c>
      <c r="AH25" s="1" t="s">
        <v>74</v>
      </c>
      <c r="AI25" s="1" t="s">
        <v>74</v>
      </c>
      <c r="AJ25" s="1" t="s">
        <v>74</v>
      </c>
      <c r="AK25" s="1" t="s">
        <v>74</v>
      </c>
      <c r="AL25" s="1" t="s">
        <v>74</v>
      </c>
      <c r="AM25" s="1" t="s">
        <v>74</v>
      </c>
      <c r="AN25" s="1" t="s">
        <v>74</v>
      </c>
      <c r="AO25" s="1" t="s">
        <v>341</v>
      </c>
      <c r="AP25" s="1" t="s">
        <v>342</v>
      </c>
      <c r="AQ25" s="1" t="s">
        <v>74</v>
      </c>
      <c r="AR25" s="1" t="s">
        <v>74</v>
      </c>
      <c r="AS25" s="1" t="s">
        <v>74</v>
      </c>
      <c r="AT25" s="1" t="s">
        <v>343</v>
      </c>
      <c r="AU25" s="1">
        <v>2009.0</v>
      </c>
      <c r="AV25" s="1">
        <v>80.0</v>
      </c>
      <c r="AW25" s="1">
        <v>2.0</v>
      </c>
      <c r="AX25" s="1">
        <v>2.0</v>
      </c>
      <c r="AY25" s="1" t="s">
        <v>74</v>
      </c>
      <c r="AZ25" s="1" t="s">
        <v>74</v>
      </c>
      <c r="BA25" s="1" t="s">
        <v>74</v>
      </c>
      <c r="BB25" s="1" t="s">
        <v>74</v>
      </c>
      <c r="BC25" s="1" t="s">
        <v>74</v>
      </c>
      <c r="BD25" s="1">
        <v>25602.0</v>
      </c>
      <c r="BE25" s="1" t="s">
        <v>344</v>
      </c>
      <c r="BF25" s="2" t="str">
        <f>HYPERLINK("http://dx.doi.org/10.1103/PhysRevE.80.025602","http://dx.doi.org/10.1103/PhysRevE.80.025602")</f>
        <v>http://dx.doi.org/10.1103/PhysRevE.80.025602</v>
      </c>
      <c r="BG25" s="1" t="s">
        <v>74</v>
      </c>
      <c r="BH25" s="1" t="s">
        <v>74</v>
      </c>
      <c r="BI25" s="1" t="s">
        <v>74</v>
      </c>
      <c r="BJ25" s="1" t="s">
        <v>74</v>
      </c>
      <c r="BK25" s="1" t="s">
        <v>74</v>
      </c>
      <c r="BL25" s="1" t="s">
        <v>74</v>
      </c>
      <c r="BM25" s="1" t="s">
        <v>74</v>
      </c>
      <c r="BN25" s="1">
        <v>1.9792192E7</v>
      </c>
      <c r="BO25" s="1" t="s">
        <v>74</v>
      </c>
      <c r="BP25" s="1" t="s">
        <v>74</v>
      </c>
      <c r="BQ25" s="1" t="s">
        <v>74</v>
      </c>
      <c r="BR25" s="1" t="s">
        <v>74</v>
      </c>
      <c r="BS25" s="1" t="s">
        <v>345</v>
      </c>
      <c r="BT25" s="1" t="str">
        <f>HYPERLINK("https%3A%2F%2Fwww.webofscience.com%2Fwos%2Fwoscc%2Ffull-record%2FWOS:000269637900009","View Full Record in Web of Science")</f>
        <v>View Full Record in Web of Science</v>
      </c>
    </row>
    <row r="26" ht="12.75" customHeight="1">
      <c r="A26" s="1" t="s">
        <v>72</v>
      </c>
      <c r="B26" s="1" t="s">
        <v>346</v>
      </c>
      <c r="C26" s="1" t="s">
        <v>74</v>
      </c>
      <c r="D26" s="1" t="s">
        <v>74</v>
      </c>
      <c r="E26" s="1" t="s">
        <v>74</v>
      </c>
      <c r="F26" s="1" t="s">
        <v>347</v>
      </c>
      <c r="G26" s="1" t="s">
        <v>74</v>
      </c>
      <c r="H26" s="1" t="s">
        <v>74</v>
      </c>
      <c r="I26" s="1" t="s">
        <v>348</v>
      </c>
      <c r="J26" s="1" t="s">
        <v>349</v>
      </c>
      <c r="K26" s="1" t="s">
        <v>74</v>
      </c>
      <c r="L26" s="1" t="s">
        <v>74</v>
      </c>
      <c r="M26" s="1" t="s">
        <v>74</v>
      </c>
      <c r="N26" s="1" t="s">
        <v>74</v>
      </c>
      <c r="O26" s="1" t="s">
        <v>74</v>
      </c>
      <c r="P26" s="1" t="s">
        <v>74</v>
      </c>
      <c r="Q26" s="1" t="s">
        <v>74</v>
      </c>
      <c r="R26" s="1" t="s">
        <v>74</v>
      </c>
      <c r="S26" s="1" t="s">
        <v>74</v>
      </c>
      <c r="T26" s="1" t="s">
        <v>74</v>
      </c>
      <c r="U26" s="1" t="s">
        <v>74</v>
      </c>
      <c r="V26" s="1" t="s">
        <v>350</v>
      </c>
      <c r="W26" s="1" t="s">
        <v>74</v>
      </c>
      <c r="X26" s="1" t="s">
        <v>74</v>
      </c>
      <c r="Y26" s="1" t="s">
        <v>74</v>
      </c>
      <c r="Z26" s="1" t="s">
        <v>74</v>
      </c>
      <c r="AA26" s="1" t="s">
        <v>74</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351</v>
      </c>
      <c r="AP26" s="1" t="s">
        <v>352</v>
      </c>
      <c r="AQ26" s="1" t="s">
        <v>74</v>
      </c>
      <c r="AR26" s="1" t="s">
        <v>74</v>
      </c>
      <c r="AS26" s="1" t="s">
        <v>74</v>
      </c>
      <c r="AT26" s="1" t="s">
        <v>353</v>
      </c>
      <c r="AU26" s="1">
        <v>2007.0</v>
      </c>
      <c r="AV26" s="1">
        <v>54.0</v>
      </c>
      <c r="AW26" s="1">
        <v>5.0</v>
      </c>
      <c r="AX26" s="1" t="s">
        <v>74</v>
      </c>
      <c r="AY26" s="1" t="s">
        <v>74</v>
      </c>
      <c r="AZ26" s="1" t="s">
        <v>74</v>
      </c>
      <c r="BA26" s="1" t="s">
        <v>74</v>
      </c>
      <c r="BB26" s="1">
        <v>2532.0</v>
      </c>
      <c r="BC26" s="1">
        <v>2538.0</v>
      </c>
      <c r="BD26" s="1" t="s">
        <v>74</v>
      </c>
      <c r="BE26" s="1" t="s">
        <v>354</v>
      </c>
      <c r="BF26" s="2" t="str">
        <f>HYPERLINK("http://dx.doi.org/10.1109/TIE.2007.899886","http://dx.doi.org/10.1109/TIE.2007.899886")</f>
        <v>http://dx.doi.org/10.1109/TIE.2007.899886</v>
      </c>
      <c r="BG26" s="1" t="s">
        <v>74</v>
      </c>
      <c r="BH26" s="1" t="s">
        <v>74</v>
      </c>
      <c r="BI26" s="1" t="s">
        <v>74</v>
      </c>
      <c r="BJ26" s="1" t="s">
        <v>74</v>
      </c>
      <c r="BK26" s="1" t="s">
        <v>74</v>
      </c>
      <c r="BL26" s="1" t="s">
        <v>74</v>
      </c>
      <c r="BM26" s="1" t="s">
        <v>74</v>
      </c>
      <c r="BN26" s="1" t="s">
        <v>74</v>
      </c>
      <c r="BO26" s="1" t="s">
        <v>74</v>
      </c>
      <c r="BP26" s="1" t="s">
        <v>74</v>
      </c>
      <c r="BQ26" s="1" t="s">
        <v>74</v>
      </c>
      <c r="BR26" s="1" t="s">
        <v>74</v>
      </c>
      <c r="BS26" s="1" t="s">
        <v>355</v>
      </c>
      <c r="BT26" s="1" t="str">
        <f>HYPERLINK("https%3A%2F%2Fwww.webofscience.com%2Fwos%2Fwoscc%2Ffull-record%2FWOS:000249841600019","View Full Record in Web of Science")</f>
        <v>View Full Record in Web of Science</v>
      </c>
    </row>
    <row r="27" ht="12.75" customHeight="1">
      <c r="A27" s="1" t="s">
        <v>72</v>
      </c>
      <c r="B27" s="1" t="s">
        <v>356</v>
      </c>
      <c r="C27" s="1" t="s">
        <v>74</v>
      </c>
      <c r="D27" s="1" t="s">
        <v>74</v>
      </c>
      <c r="E27" s="1" t="s">
        <v>74</v>
      </c>
      <c r="F27" s="1" t="s">
        <v>356</v>
      </c>
      <c r="G27" s="1" t="s">
        <v>74</v>
      </c>
      <c r="H27" s="1" t="s">
        <v>74</v>
      </c>
      <c r="I27" s="1" t="s">
        <v>357</v>
      </c>
      <c r="J27" s="1" t="s">
        <v>358</v>
      </c>
      <c r="K27" s="1" t="s">
        <v>74</v>
      </c>
      <c r="L27" s="1" t="s">
        <v>74</v>
      </c>
      <c r="M27" s="1" t="s">
        <v>74</v>
      </c>
      <c r="N27" s="1" t="s">
        <v>74</v>
      </c>
      <c r="O27" s="1" t="s">
        <v>74</v>
      </c>
      <c r="P27" s="1" t="s">
        <v>74</v>
      </c>
      <c r="Q27" s="1" t="s">
        <v>74</v>
      </c>
      <c r="R27" s="1" t="s">
        <v>74</v>
      </c>
      <c r="S27" s="1" t="s">
        <v>74</v>
      </c>
      <c r="T27" s="1" t="s">
        <v>74</v>
      </c>
      <c r="U27" s="1" t="s">
        <v>74</v>
      </c>
      <c r="V27" s="1" t="s">
        <v>359</v>
      </c>
      <c r="W27" s="1" t="s">
        <v>74</v>
      </c>
      <c r="X27" s="1" t="s">
        <v>74</v>
      </c>
      <c r="Y27" s="1" t="s">
        <v>74</v>
      </c>
      <c r="Z27" s="1" t="s">
        <v>74</v>
      </c>
      <c r="AA27" s="1" t="s">
        <v>360</v>
      </c>
      <c r="AB27" s="1" t="s">
        <v>361</v>
      </c>
      <c r="AC27" s="1" t="s">
        <v>74</v>
      </c>
      <c r="AD27" s="1" t="s">
        <v>74</v>
      </c>
      <c r="AE27" s="1" t="s">
        <v>74</v>
      </c>
      <c r="AF27" s="1" t="s">
        <v>74</v>
      </c>
      <c r="AG27" s="1" t="s">
        <v>74</v>
      </c>
      <c r="AH27" s="1" t="s">
        <v>74</v>
      </c>
      <c r="AI27" s="1" t="s">
        <v>74</v>
      </c>
      <c r="AJ27" s="1" t="s">
        <v>74</v>
      </c>
      <c r="AK27" s="1" t="s">
        <v>74</v>
      </c>
      <c r="AL27" s="1" t="s">
        <v>74</v>
      </c>
      <c r="AM27" s="1" t="s">
        <v>74</v>
      </c>
      <c r="AN27" s="1" t="s">
        <v>74</v>
      </c>
      <c r="AO27" s="1" t="s">
        <v>362</v>
      </c>
      <c r="AP27" s="1" t="s">
        <v>363</v>
      </c>
      <c r="AQ27" s="1" t="s">
        <v>74</v>
      </c>
      <c r="AR27" s="1" t="s">
        <v>74</v>
      </c>
      <c r="AS27" s="1" t="s">
        <v>74</v>
      </c>
      <c r="AT27" s="1" t="s">
        <v>174</v>
      </c>
      <c r="AU27" s="1">
        <v>2005.0</v>
      </c>
      <c r="AV27" s="1">
        <v>51.0</v>
      </c>
      <c r="AW27" s="1">
        <v>4.0</v>
      </c>
      <c r="AX27" s="1" t="s">
        <v>74</v>
      </c>
      <c r="AY27" s="1" t="s">
        <v>74</v>
      </c>
      <c r="AZ27" s="1" t="s">
        <v>74</v>
      </c>
      <c r="BA27" s="1" t="s">
        <v>74</v>
      </c>
      <c r="BB27" s="1">
        <v>1067.0</v>
      </c>
      <c r="BC27" s="1">
        <v>1079.0</v>
      </c>
      <c r="BD27" s="1" t="s">
        <v>74</v>
      </c>
      <c r="BE27" s="1" t="s">
        <v>364</v>
      </c>
      <c r="BF27" s="2" t="str">
        <f>HYPERLINK("http://dx.doi.org/10.1002/aic.10461","http://dx.doi.org/10.1002/aic.10461")</f>
        <v>http://dx.doi.org/10.1002/aic.10461</v>
      </c>
      <c r="BG27" s="1" t="s">
        <v>74</v>
      </c>
      <c r="BH27" s="1" t="s">
        <v>74</v>
      </c>
      <c r="BI27" s="1" t="s">
        <v>74</v>
      </c>
      <c r="BJ27" s="1" t="s">
        <v>74</v>
      </c>
      <c r="BK27" s="1" t="s">
        <v>74</v>
      </c>
      <c r="BL27" s="1" t="s">
        <v>74</v>
      </c>
      <c r="BM27" s="1" t="s">
        <v>74</v>
      </c>
      <c r="BN27" s="1" t="s">
        <v>74</v>
      </c>
      <c r="BO27" s="1" t="s">
        <v>74</v>
      </c>
      <c r="BP27" s="1" t="s">
        <v>74</v>
      </c>
      <c r="BQ27" s="1" t="s">
        <v>74</v>
      </c>
      <c r="BR27" s="1" t="s">
        <v>74</v>
      </c>
      <c r="BS27" s="1" t="s">
        <v>365</v>
      </c>
      <c r="BT27" s="1" t="str">
        <f>HYPERLINK("https%3A%2F%2Fwww.webofscience.com%2Fwos%2Fwoscc%2Ffull-record%2FWOS:000227894500002","View Full Record in Web of Science")</f>
        <v>View Full Record in Web of Science</v>
      </c>
    </row>
    <row r="28" ht="12.75" customHeight="1">
      <c r="A28" s="1" t="s">
        <v>72</v>
      </c>
      <c r="B28" s="1" t="s">
        <v>366</v>
      </c>
      <c r="C28" s="1" t="s">
        <v>74</v>
      </c>
      <c r="D28" s="1" t="s">
        <v>74</v>
      </c>
      <c r="E28" s="1" t="s">
        <v>74</v>
      </c>
      <c r="F28" s="1" t="s">
        <v>366</v>
      </c>
      <c r="G28" s="1" t="s">
        <v>74</v>
      </c>
      <c r="H28" s="1" t="s">
        <v>74</v>
      </c>
      <c r="I28" s="1" t="s">
        <v>367</v>
      </c>
      <c r="J28" s="1" t="s">
        <v>368</v>
      </c>
      <c r="K28" s="1" t="s">
        <v>74</v>
      </c>
      <c r="L28" s="1" t="s">
        <v>74</v>
      </c>
      <c r="M28" s="1" t="s">
        <v>74</v>
      </c>
      <c r="N28" s="1" t="s">
        <v>74</v>
      </c>
      <c r="O28" s="1" t="s">
        <v>74</v>
      </c>
      <c r="P28" s="1" t="s">
        <v>74</v>
      </c>
      <c r="Q28" s="1" t="s">
        <v>74</v>
      </c>
      <c r="R28" s="1" t="s">
        <v>74</v>
      </c>
      <c r="S28" s="1" t="s">
        <v>74</v>
      </c>
      <c r="T28" s="1" t="s">
        <v>74</v>
      </c>
      <c r="U28" s="1" t="s">
        <v>74</v>
      </c>
      <c r="V28" s="1" t="s">
        <v>369</v>
      </c>
      <c r="W28" s="1" t="s">
        <v>74</v>
      </c>
      <c r="X28" s="1" t="s">
        <v>74</v>
      </c>
      <c r="Y28" s="1" t="s">
        <v>74</v>
      </c>
      <c r="Z28" s="1" t="s">
        <v>74</v>
      </c>
      <c r="AA28" s="1" t="s">
        <v>74</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370</v>
      </c>
      <c r="AP28" s="1" t="s">
        <v>74</v>
      </c>
      <c r="AQ28" s="1" t="s">
        <v>74</v>
      </c>
      <c r="AR28" s="1" t="s">
        <v>74</v>
      </c>
      <c r="AS28" s="1" t="s">
        <v>74</v>
      </c>
      <c r="AT28" s="1" t="s">
        <v>116</v>
      </c>
      <c r="AU28" s="1">
        <v>2001.0</v>
      </c>
      <c r="AV28" s="1">
        <v>32.0</v>
      </c>
      <c r="AW28" s="1">
        <v>2.0</v>
      </c>
      <c r="AX28" s="1" t="s">
        <v>74</v>
      </c>
      <c r="AY28" s="1" t="s">
        <v>74</v>
      </c>
      <c r="AZ28" s="1" t="s">
        <v>74</v>
      </c>
      <c r="BA28" s="1" t="s">
        <v>74</v>
      </c>
      <c r="BB28" s="1">
        <v>107.0</v>
      </c>
      <c r="BC28" s="1">
        <v>144.0</v>
      </c>
      <c r="BD28" s="1" t="s">
        <v>74</v>
      </c>
      <c r="BE28" s="1" t="s">
        <v>371</v>
      </c>
      <c r="BF28" s="2" t="str">
        <f>HYPERLINK("http://dx.doi.org/10.1007/BF01243862","http://dx.doi.org/10.1007/BF01243862")</f>
        <v>http://dx.doi.org/10.1007/BF01243862</v>
      </c>
      <c r="BG28" s="1" t="s">
        <v>74</v>
      </c>
      <c r="BH28" s="1" t="s">
        <v>74</v>
      </c>
      <c r="BI28" s="1" t="s">
        <v>74</v>
      </c>
      <c r="BJ28" s="1" t="s">
        <v>74</v>
      </c>
      <c r="BK28" s="1" t="s">
        <v>74</v>
      </c>
      <c r="BL28" s="1" t="s">
        <v>74</v>
      </c>
      <c r="BM28" s="1" t="s">
        <v>74</v>
      </c>
      <c r="BN28" s="1" t="s">
        <v>74</v>
      </c>
      <c r="BO28" s="1" t="s">
        <v>74</v>
      </c>
      <c r="BP28" s="1" t="s">
        <v>74</v>
      </c>
      <c r="BQ28" s="1" t="s">
        <v>74</v>
      </c>
      <c r="BR28" s="1" t="s">
        <v>74</v>
      </c>
      <c r="BS28" s="1" t="s">
        <v>372</v>
      </c>
      <c r="BT28" s="1" t="str">
        <f>HYPERLINK("https%3A%2F%2Fwww.webofscience.com%2Fwos%2Fwoscc%2Ffull-record%2FWOS:000171800900001","View Full Record in Web of Science")</f>
        <v>View Full Record in Web of Science</v>
      </c>
    </row>
    <row r="29" ht="12.75" customHeight="1">
      <c r="A29" s="1" t="s">
        <v>72</v>
      </c>
      <c r="B29" s="1" t="s">
        <v>373</v>
      </c>
      <c r="C29" s="1" t="s">
        <v>74</v>
      </c>
      <c r="D29" s="1" t="s">
        <v>74</v>
      </c>
      <c r="E29" s="1" t="s">
        <v>74</v>
      </c>
      <c r="F29" s="1" t="s">
        <v>374</v>
      </c>
      <c r="G29" s="1" t="s">
        <v>74</v>
      </c>
      <c r="H29" s="1" t="s">
        <v>74</v>
      </c>
      <c r="I29" s="1" t="s">
        <v>375</v>
      </c>
      <c r="J29" s="1" t="s">
        <v>376</v>
      </c>
      <c r="K29" s="1" t="s">
        <v>74</v>
      </c>
      <c r="L29" s="1" t="s">
        <v>74</v>
      </c>
      <c r="M29" s="1" t="s">
        <v>74</v>
      </c>
      <c r="N29" s="1" t="s">
        <v>74</v>
      </c>
      <c r="O29" s="1" t="s">
        <v>74</v>
      </c>
      <c r="P29" s="1" t="s">
        <v>74</v>
      </c>
      <c r="Q29" s="1" t="s">
        <v>74</v>
      </c>
      <c r="R29" s="1" t="s">
        <v>74</v>
      </c>
      <c r="S29" s="1" t="s">
        <v>74</v>
      </c>
      <c r="T29" s="1" t="s">
        <v>74</v>
      </c>
      <c r="U29" s="1" t="s">
        <v>74</v>
      </c>
      <c r="V29" s="1" t="s">
        <v>377</v>
      </c>
      <c r="W29" s="1" t="s">
        <v>74</v>
      </c>
      <c r="X29" s="1" t="s">
        <v>74</v>
      </c>
      <c r="Y29" s="1" t="s">
        <v>74</v>
      </c>
      <c r="Z29" s="1" t="s">
        <v>74</v>
      </c>
      <c r="AA29" s="1" t="s">
        <v>378</v>
      </c>
      <c r="AB29" s="1" t="s">
        <v>379</v>
      </c>
      <c r="AC29" s="1" t="s">
        <v>74</v>
      </c>
      <c r="AD29" s="1" t="s">
        <v>74</v>
      </c>
      <c r="AE29" s="1" t="s">
        <v>74</v>
      </c>
      <c r="AF29" s="1" t="s">
        <v>74</v>
      </c>
      <c r="AG29" s="1" t="s">
        <v>74</v>
      </c>
      <c r="AH29" s="1" t="s">
        <v>74</v>
      </c>
      <c r="AI29" s="1" t="s">
        <v>74</v>
      </c>
      <c r="AJ29" s="1" t="s">
        <v>74</v>
      </c>
      <c r="AK29" s="1" t="s">
        <v>74</v>
      </c>
      <c r="AL29" s="1" t="s">
        <v>74</v>
      </c>
      <c r="AM29" s="1" t="s">
        <v>74</v>
      </c>
      <c r="AN29" s="1" t="s">
        <v>74</v>
      </c>
      <c r="AO29" s="1" t="s">
        <v>380</v>
      </c>
      <c r="AP29" s="1" t="s">
        <v>381</v>
      </c>
      <c r="AQ29" s="1" t="s">
        <v>74</v>
      </c>
      <c r="AR29" s="1" t="s">
        <v>74</v>
      </c>
      <c r="AS29" s="1" t="s">
        <v>74</v>
      </c>
      <c r="AT29" s="1" t="s">
        <v>343</v>
      </c>
      <c r="AU29" s="1">
        <v>2023.0</v>
      </c>
      <c r="AV29" s="1">
        <v>27.0</v>
      </c>
      <c r="AW29" s="1">
        <v>2.0</v>
      </c>
      <c r="AX29" s="1" t="s">
        <v>74</v>
      </c>
      <c r="AY29" s="1" t="s">
        <v>74</v>
      </c>
      <c r="AZ29" s="1" t="s">
        <v>74</v>
      </c>
      <c r="BA29" s="1" t="s">
        <v>74</v>
      </c>
      <c r="BB29" s="1" t="s">
        <v>74</v>
      </c>
      <c r="BC29" s="1" t="s">
        <v>74</v>
      </c>
      <c r="BD29" s="1">
        <v>18.0</v>
      </c>
      <c r="BE29" s="1" t="s">
        <v>382</v>
      </c>
      <c r="BF29" s="2" t="str">
        <f>HYPERLINK("http://dx.doi.org/10.1007/s00792-023-01299-y","http://dx.doi.org/10.1007/s00792-023-01299-y")</f>
        <v>http://dx.doi.org/10.1007/s00792-023-01299-y</v>
      </c>
      <c r="BG29" s="1" t="s">
        <v>74</v>
      </c>
      <c r="BH29" s="1" t="s">
        <v>74</v>
      </c>
      <c r="BI29" s="1" t="s">
        <v>74</v>
      </c>
      <c r="BJ29" s="1" t="s">
        <v>74</v>
      </c>
      <c r="BK29" s="1" t="s">
        <v>74</v>
      </c>
      <c r="BL29" s="1" t="s">
        <v>74</v>
      </c>
      <c r="BM29" s="1" t="s">
        <v>74</v>
      </c>
      <c r="BN29" s="1">
        <v>3.7428266E7</v>
      </c>
      <c r="BO29" s="1" t="s">
        <v>74</v>
      </c>
      <c r="BP29" s="1" t="s">
        <v>74</v>
      </c>
      <c r="BQ29" s="1" t="s">
        <v>74</v>
      </c>
      <c r="BR29" s="1" t="s">
        <v>74</v>
      </c>
      <c r="BS29" s="1" t="s">
        <v>383</v>
      </c>
      <c r="BT29" s="1" t="str">
        <f>HYPERLINK("https%3A%2F%2Fwww.webofscience.com%2Fwos%2Fwoscc%2Ffull-record%2FWOS:001025852300001","View Full Record in Web of Science")</f>
        <v>View Full Record in Web of Science</v>
      </c>
    </row>
    <row r="30" ht="12.75" customHeight="1">
      <c r="A30" s="1" t="s">
        <v>72</v>
      </c>
      <c r="B30" s="1" t="s">
        <v>384</v>
      </c>
      <c r="C30" s="1" t="s">
        <v>74</v>
      </c>
      <c r="D30" s="1" t="s">
        <v>74</v>
      </c>
      <c r="E30" s="1" t="s">
        <v>74</v>
      </c>
      <c r="F30" s="1" t="s">
        <v>385</v>
      </c>
      <c r="G30" s="1" t="s">
        <v>74</v>
      </c>
      <c r="H30" s="1" t="s">
        <v>74</v>
      </c>
      <c r="I30" s="1" t="s">
        <v>386</v>
      </c>
      <c r="J30" s="1" t="s">
        <v>387</v>
      </c>
      <c r="K30" s="1" t="s">
        <v>74</v>
      </c>
      <c r="L30" s="1" t="s">
        <v>74</v>
      </c>
      <c r="M30" s="1" t="s">
        <v>74</v>
      </c>
      <c r="N30" s="1" t="s">
        <v>74</v>
      </c>
      <c r="O30" s="1" t="s">
        <v>74</v>
      </c>
      <c r="P30" s="1" t="s">
        <v>74</v>
      </c>
      <c r="Q30" s="1" t="s">
        <v>74</v>
      </c>
      <c r="R30" s="1" t="s">
        <v>74</v>
      </c>
      <c r="S30" s="1" t="s">
        <v>74</v>
      </c>
      <c r="T30" s="1" t="s">
        <v>74</v>
      </c>
      <c r="U30" s="1" t="s">
        <v>74</v>
      </c>
      <c r="V30" s="1" t="s">
        <v>388</v>
      </c>
      <c r="W30" s="1" t="s">
        <v>74</v>
      </c>
      <c r="X30" s="1" t="s">
        <v>74</v>
      </c>
      <c r="Y30" s="1" t="s">
        <v>74</v>
      </c>
      <c r="Z30" s="1" t="s">
        <v>74</v>
      </c>
      <c r="AA30" s="1" t="s">
        <v>74</v>
      </c>
      <c r="AB30" s="1" t="s">
        <v>74</v>
      </c>
      <c r="AC30" s="1" t="s">
        <v>74</v>
      </c>
      <c r="AD30" s="1" t="s">
        <v>74</v>
      </c>
      <c r="AE30" s="1" t="s">
        <v>74</v>
      </c>
      <c r="AF30" s="1" t="s">
        <v>74</v>
      </c>
      <c r="AG30" s="1" t="s">
        <v>74</v>
      </c>
      <c r="AH30" s="1" t="s">
        <v>74</v>
      </c>
      <c r="AI30" s="1" t="s">
        <v>74</v>
      </c>
      <c r="AJ30" s="1" t="s">
        <v>74</v>
      </c>
      <c r="AK30" s="1" t="s">
        <v>74</v>
      </c>
      <c r="AL30" s="1" t="s">
        <v>74</v>
      </c>
      <c r="AM30" s="1" t="s">
        <v>74</v>
      </c>
      <c r="AN30" s="1" t="s">
        <v>74</v>
      </c>
      <c r="AO30" s="1" t="s">
        <v>389</v>
      </c>
      <c r="AP30" s="1" t="s">
        <v>390</v>
      </c>
      <c r="AQ30" s="1" t="s">
        <v>74</v>
      </c>
      <c r="AR30" s="1" t="s">
        <v>74</v>
      </c>
      <c r="AS30" s="1" t="s">
        <v>74</v>
      </c>
      <c r="AT30" s="1" t="s">
        <v>391</v>
      </c>
      <c r="AU30" s="1">
        <v>2023.0</v>
      </c>
      <c r="AV30" s="1">
        <v>25.0</v>
      </c>
      <c r="AW30" s="1">
        <v>45.0</v>
      </c>
      <c r="AX30" s="1" t="s">
        <v>74</v>
      </c>
      <c r="AY30" s="1" t="s">
        <v>74</v>
      </c>
      <c r="AZ30" s="1" t="s">
        <v>74</v>
      </c>
      <c r="BA30" s="1" t="s">
        <v>74</v>
      </c>
      <c r="BB30" s="1" t="s">
        <v>74</v>
      </c>
      <c r="BC30" s="1" t="s">
        <v>74</v>
      </c>
      <c r="BD30" s="1" t="s">
        <v>392</v>
      </c>
      <c r="BE30" s="1" t="s">
        <v>393</v>
      </c>
      <c r="BF30" s="2" t="str">
        <f>HYPERLINK("http://dx.doi.org/10.12804/revistas.urosario.edu.co/empresa/a.12933","http://dx.doi.org/10.12804/revistas.urosario.edu.co/empresa/a.12933")</f>
        <v>http://dx.doi.org/10.12804/revistas.urosario.edu.co/empresa/a.12933</v>
      </c>
      <c r="BG30" s="1" t="s">
        <v>74</v>
      </c>
      <c r="BH30" s="1" t="s">
        <v>74</v>
      </c>
      <c r="BI30" s="1" t="s">
        <v>74</v>
      </c>
      <c r="BJ30" s="1" t="s">
        <v>74</v>
      </c>
      <c r="BK30" s="1" t="s">
        <v>74</v>
      </c>
      <c r="BL30" s="1" t="s">
        <v>74</v>
      </c>
      <c r="BM30" s="1" t="s">
        <v>74</v>
      </c>
      <c r="BN30" s="1" t="s">
        <v>74</v>
      </c>
      <c r="BO30" s="1" t="s">
        <v>74</v>
      </c>
      <c r="BP30" s="1" t="s">
        <v>74</v>
      </c>
      <c r="BQ30" s="1" t="s">
        <v>74</v>
      </c>
      <c r="BR30" s="1" t="s">
        <v>74</v>
      </c>
      <c r="BS30" s="1" t="s">
        <v>394</v>
      </c>
      <c r="BT30" s="1" t="str">
        <f>HYPERLINK("https%3A%2F%2Fwww.webofscience.com%2Fwos%2Fwoscc%2Ffull-record%2FWOS:001085220500001","View Full Record in Web of Science")</f>
        <v>View Full Record in Web of Science</v>
      </c>
    </row>
    <row r="31" ht="12.75" customHeight="1">
      <c r="A31" s="1" t="s">
        <v>72</v>
      </c>
      <c r="B31" s="1" t="s">
        <v>395</v>
      </c>
      <c r="C31" s="1" t="s">
        <v>74</v>
      </c>
      <c r="D31" s="1" t="s">
        <v>74</v>
      </c>
      <c r="E31" s="1" t="s">
        <v>74</v>
      </c>
      <c r="F31" s="1" t="s">
        <v>396</v>
      </c>
      <c r="G31" s="1" t="s">
        <v>74</v>
      </c>
      <c r="H31" s="1" t="s">
        <v>74</v>
      </c>
      <c r="I31" s="1" t="s">
        <v>397</v>
      </c>
      <c r="J31" s="1" t="s">
        <v>398</v>
      </c>
      <c r="K31" s="1" t="s">
        <v>74</v>
      </c>
      <c r="L31" s="1" t="s">
        <v>74</v>
      </c>
      <c r="M31" s="1" t="s">
        <v>74</v>
      </c>
      <c r="N31" s="1" t="s">
        <v>74</v>
      </c>
      <c r="O31" s="1" t="s">
        <v>74</v>
      </c>
      <c r="P31" s="1" t="s">
        <v>74</v>
      </c>
      <c r="Q31" s="1" t="s">
        <v>74</v>
      </c>
      <c r="R31" s="1" t="s">
        <v>74</v>
      </c>
      <c r="S31" s="1" t="s">
        <v>74</v>
      </c>
      <c r="T31" s="1" t="s">
        <v>74</v>
      </c>
      <c r="U31" s="1" t="s">
        <v>74</v>
      </c>
      <c r="V31" s="1" t="s">
        <v>399</v>
      </c>
      <c r="W31" s="1" t="s">
        <v>74</v>
      </c>
      <c r="X31" s="1" t="s">
        <v>74</v>
      </c>
      <c r="Y31" s="1" t="s">
        <v>74</v>
      </c>
      <c r="Z31" s="1" t="s">
        <v>74</v>
      </c>
      <c r="AA31" s="1" t="s">
        <v>400</v>
      </c>
      <c r="AB31" s="1" t="s">
        <v>401</v>
      </c>
      <c r="AC31" s="1" t="s">
        <v>74</v>
      </c>
      <c r="AD31" s="1" t="s">
        <v>74</v>
      </c>
      <c r="AE31" s="1" t="s">
        <v>74</v>
      </c>
      <c r="AF31" s="1" t="s">
        <v>74</v>
      </c>
      <c r="AG31" s="1" t="s">
        <v>74</v>
      </c>
      <c r="AH31" s="1" t="s">
        <v>74</v>
      </c>
      <c r="AI31" s="1" t="s">
        <v>74</v>
      </c>
      <c r="AJ31" s="1" t="s">
        <v>74</v>
      </c>
      <c r="AK31" s="1" t="s">
        <v>74</v>
      </c>
      <c r="AL31" s="1" t="s">
        <v>74</v>
      </c>
      <c r="AM31" s="1" t="s">
        <v>74</v>
      </c>
      <c r="AN31" s="1" t="s">
        <v>74</v>
      </c>
      <c r="AO31" s="1" t="s">
        <v>74</v>
      </c>
      <c r="AP31" s="1" t="s">
        <v>402</v>
      </c>
      <c r="AQ31" s="1" t="s">
        <v>74</v>
      </c>
      <c r="AR31" s="1" t="s">
        <v>74</v>
      </c>
      <c r="AS31" s="1" t="s">
        <v>74</v>
      </c>
      <c r="AT31" s="1" t="s">
        <v>116</v>
      </c>
      <c r="AU31" s="1">
        <v>2022.0</v>
      </c>
      <c r="AV31" s="1">
        <v>11.0</v>
      </c>
      <c r="AW31" s="1">
        <v>7.0</v>
      </c>
      <c r="AX31" s="1" t="s">
        <v>74</v>
      </c>
      <c r="AY31" s="1" t="s">
        <v>74</v>
      </c>
      <c r="AZ31" s="1" t="s">
        <v>74</v>
      </c>
      <c r="BA31" s="1" t="s">
        <v>74</v>
      </c>
      <c r="BB31" s="1">
        <v>1017.0</v>
      </c>
      <c r="BC31" s="1">
        <v>1023.0</v>
      </c>
      <c r="BD31" s="1" t="s">
        <v>74</v>
      </c>
      <c r="BE31" s="1" t="s">
        <v>403</v>
      </c>
      <c r="BF31" s="2" t="str">
        <f>HYPERLINK("http://dx.doi.org/10.34172/ijhpm.2020.248","http://dx.doi.org/10.34172/ijhpm.2020.248")</f>
        <v>http://dx.doi.org/10.34172/ijhpm.2020.248</v>
      </c>
      <c r="BG31" s="1" t="s">
        <v>74</v>
      </c>
      <c r="BH31" s="1" t="s">
        <v>404</v>
      </c>
      <c r="BI31" s="1" t="s">
        <v>74</v>
      </c>
      <c r="BJ31" s="1" t="s">
        <v>74</v>
      </c>
      <c r="BK31" s="1" t="s">
        <v>74</v>
      </c>
      <c r="BL31" s="1" t="s">
        <v>74</v>
      </c>
      <c r="BM31" s="1" t="s">
        <v>74</v>
      </c>
      <c r="BN31" s="1">
        <v>3.3589566E7</v>
      </c>
      <c r="BO31" s="1" t="s">
        <v>74</v>
      </c>
      <c r="BP31" s="1" t="s">
        <v>74</v>
      </c>
      <c r="BQ31" s="1" t="s">
        <v>74</v>
      </c>
      <c r="BR31" s="1" t="s">
        <v>74</v>
      </c>
      <c r="BS31" s="1" t="s">
        <v>405</v>
      </c>
      <c r="BT31" s="1" t="str">
        <f>HYPERLINK("https%3A%2F%2Fwww.webofscience.com%2Fwos%2Fwoscc%2Ffull-record%2FWOS:000720060600001","View Full Record in Web of Science")</f>
        <v>View Full Record in Web of Science</v>
      </c>
    </row>
    <row r="32" ht="12.75" customHeight="1">
      <c r="A32" s="1" t="s">
        <v>72</v>
      </c>
      <c r="B32" s="1" t="s">
        <v>406</v>
      </c>
      <c r="C32" s="1" t="s">
        <v>74</v>
      </c>
      <c r="D32" s="1" t="s">
        <v>74</v>
      </c>
      <c r="E32" s="1" t="s">
        <v>74</v>
      </c>
      <c r="F32" s="1" t="s">
        <v>407</v>
      </c>
      <c r="G32" s="1" t="s">
        <v>74</v>
      </c>
      <c r="H32" s="1" t="s">
        <v>74</v>
      </c>
      <c r="I32" s="1" t="s">
        <v>408</v>
      </c>
      <c r="J32" s="1" t="s">
        <v>409</v>
      </c>
      <c r="K32" s="1" t="s">
        <v>74</v>
      </c>
      <c r="L32" s="1" t="s">
        <v>74</v>
      </c>
      <c r="M32" s="1" t="s">
        <v>74</v>
      </c>
      <c r="N32" s="1" t="s">
        <v>74</v>
      </c>
      <c r="O32" s="1" t="s">
        <v>74</v>
      </c>
      <c r="P32" s="1" t="s">
        <v>74</v>
      </c>
      <c r="Q32" s="1" t="s">
        <v>74</v>
      </c>
      <c r="R32" s="1" t="s">
        <v>74</v>
      </c>
      <c r="S32" s="1" t="s">
        <v>74</v>
      </c>
      <c r="T32" s="1" t="s">
        <v>74</v>
      </c>
      <c r="U32" s="1" t="s">
        <v>74</v>
      </c>
      <c r="V32" s="1" t="s">
        <v>410</v>
      </c>
      <c r="W32" s="1" t="s">
        <v>74</v>
      </c>
      <c r="X32" s="1" t="s">
        <v>74</v>
      </c>
      <c r="Y32" s="1" t="s">
        <v>74</v>
      </c>
      <c r="Z32" s="1" t="s">
        <v>74</v>
      </c>
      <c r="AA32" s="1" t="s">
        <v>74</v>
      </c>
      <c r="AB32" s="1" t="s">
        <v>74</v>
      </c>
      <c r="AC32" s="1" t="s">
        <v>74</v>
      </c>
      <c r="AD32" s="1" t="s">
        <v>74</v>
      </c>
      <c r="AE32" s="1" t="s">
        <v>74</v>
      </c>
      <c r="AF32" s="1" t="s">
        <v>74</v>
      </c>
      <c r="AG32" s="1" t="s">
        <v>74</v>
      </c>
      <c r="AH32" s="1" t="s">
        <v>74</v>
      </c>
      <c r="AI32" s="1" t="s">
        <v>74</v>
      </c>
      <c r="AJ32" s="1" t="s">
        <v>74</v>
      </c>
      <c r="AK32" s="1" t="s">
        <v>74</v>
      </c>
      <c r="AL32" s="1" t="s">
        <v>74</v>
      </c>
      <c r="AM32" s="1" t="s">
        <v>74</v>
      </c>
      <c r="AN32" s="1" t="s">
        <v>74</v>
      </c>
      <c r="AO32" s="1" t="s">
        <v>411</v>
      </c>
      <c r="AP32" s="1" t="s">
        <v>412</v>
      </c>
      <c r="AQ32" s="1" t="s">
        <v>74</v>
      </c>
      <c r="AR32" s="1" t="s">
        <v>74</v>
      </c>
      <c r="AS32" s="1" t="s">
        <v>74</v>
      </c>
      <c r="AT32" s="1" t="s">
        <v>160</v>
      </c>
      <c r="AU32" s="1">
        <v>2020.0</v>
      </c>
      <c r="AV32" s="1">
        <v>30.0</v>
      </c>
      <c r="AW32" s="1">
        <v>2.0</v>
      </c>
      <c r="AX32" s="1" t="s">
        <v>74</v>
      </c>
      <c r="AY32" s="1" t="s">
        <v>74</v>
      </c>
      <c r="AZ32" s="1" t="s">
        <v>74</v>
      </c>
      <c r="BA32" s="1" t="s">
        <v>74</v>
      </c>
      <c r="BB32" s="1">
        <v>329.0</v>
      </c>
      <c r="BC32" s="1">
        <v>357.0</v>
      </c>
      <c r="BD32" s="1" t="s">
        <v>74</v>
      </c>
      <c r="BE32" s="1" t="s">
        <v>413</v>
      </c>
      <c r="BF32" s="2" t="str">
        <f>HYPERLINK("http://dx.doi.org/10.7770/2452-610X.2020.CUHSO.06.A02","http://dx.doi.org/10.7770/2452-610X.2020.CUHSO.06.A02")</f>
        <v>http://dx.doi.org/10.7770/2452-610X.2020.CUHSO.06.A02</v>
      </c>
      <c r="BG32" s="1" t="s">
        <v>74</v>
      </c>
      <c r="BH32" s="1" t="s">
        <v>74</v>
      </c>
      <c r="BI32" s="1" t="s">
        <v>74</v>
      </c>
      <c r="BJ32" s="1" t="s">
        <v>74</v>
      </c>
      <c r="BK32" s="1" t="s">
        <v>74</v>
      </c>
      <c r="BL32" s="1" t="s">
        <v>74</v>
      </c>
      <c r="BM32" s="1" t="s">
        <v>74</v>
      </c>
      <c r="BN32" s="1" t="s">
        <v>74</v>
      </c>
      <c r="BO32" s="1" t="s">
        <v>74</v>
      </c>
      <c r="BP32" s="1" t="s">
        <v>74</v>
      </c>
      <c r="BQ32" s="1" t="s">
        <v>74</v>
      </c>
      <c r="BR32" s="1" t="s">
        <v>74</v>
      </c>
      <c r="BS32" s="1" t="s">
        <v>414</v>
      </c>
      <c r="BT32" s="1" t="str">
        <f>HYPERLINK("https%3A%2F%2Fwww.webofscience.com%2Fwos%2Fwoscc%2Ffull-record%2FWOS:000624603100015","View Full Record in Web of Science")</f>
        <v>View Full Record in Web of Science</v>
      </c>
    </row>
    <row r="33" ht="12.75" customHeight="1">
      <c r="A33" s="1" t="s">
        <v>72</v>
      </c>
      <c r="B33" s="1" t="s">
        <v>415</v>
      </c>
      <c r="C33" s="1" t="s">
        <v>74</v>
      </c>
      <c r="D33" s="1" t="s">
        <v>74</v>
      </c>
      <c r="E33" s="1" t="s">
        <v>74</v>
      </c>
      <c r="F33" s="1" t="s">
        <v>416</v>
      </c>
      <c r="G33" s="1" t="s">
        <v>74</v>
      </c>
      <c r="H33" s="1" t="s">
        <v>74</v>
      </c>
      <c r="I33" s="1" t="s">
        <v>417</v>
      </c>
      <c r="J33" s="1" t="s">
        <v>418</v>
      </c>
      <c r="K33" s="1" t="s">
        <v>74</v>
      </c>
      <c r="L33" s="1" t="s">
        <v>74</v>
      </c>
      <c r="M33" s="1" t="s">
        <v>74</v>
      </c>
      <c r="N33" s="1" t="s">
        <v>74</v>
      </c>
      <c r="O33" s="1" t="s">
        <v>74</v>
      </c>
      <c r="P33" s="1" t="s">
        <v>74</v>
      </c>
      <c r="Q33" s="1" t="s">
        <v>74</v>
      </c>
      <c r="R33" s="1" t="s">
        <v>74</v>
      </c>
      <c r="S33" s="1" t="s">
        <v>74</v>
      </c>
      <c r="T33" s="1" t="s">
        <v>74</v>
      </c>
      <c r="U33" s="1" t="s">
        <v>74</v>
      </c>
      <c r="V33" s="1" t="s">
        <v>419</v>
      </c>
      <c r="W33" s="1" t="s">
        <v>74</v>
      </c>
      <c r="X33" s="1" t="s">
        <v>74</v>
      </c>
      <c r="Y33" s="1" t="s">
        <v>74</v>
      </c>
      <c r="Z33" s="1" t="s">
        <v>74</v>
      </c>
      <c r="AA33" s="1" t="s">
        <v>420</v>
      </c>
      <c r="AB33" s="1" t="s">
        <v>74</v>
      </c>
      <c r="AC33" s="1" t="s">
        <v>74</v>
      </c>
      <c r="AD33" s="1" t="s">
        <v>74</v>
      </c>
      <c r="AE33" s="1" t="s">
        <v>74</v>
      </c>
      <c r="AF33" s="1" t="s">
        <v>74</v>
      </c>
      <c r="AG33" s="1" t="s">
        <v>74</v>
      </c>
      <c r="AH33" s="1" t="s">
        <v>74</v>
      </c>
      <c r="AI33" s="1" t="s">
        <v>74</v>
      </c>
      <c r="AJ33" s="1" t="s">
        <v>74</v>
      </c>
      <c r="AK33" s="1" t="s">
        <v>74</v>
      </c>
      <c r="AL33" s="1" t="s">
        <v>74</v>
      </c>
      <c r="AM33" s="1" t="s">
        <v>74</v>
      </c>
      <c r="AN33" s="1" t="s">
        <v>74</v>
      </c>
      <c r="AO33" s="1" t="s">
        <v>421</v>
      </c>
      <c r="AP33" s="1" t="s">
        <v>422</v>
      </c>
      <c r="AQ33" s="1" t="s">
        <v>74</v>
      </c>
      <c r="AR33" s="1" t="s">
        <v>74</v>
      </c>
      <c r="AS33" s="1" t="s">
        <v>74</v>
      </c>
      <c r="AT33" s="1" t="s">
        <v>423</v>
      </c>
      <c r="AU33" s="1">
        <v>2020.0</v>
      </c>
      <c r="AV33" s="1">
        <v>94.0</v>
      </c>
      <c r="AW33" s="1">
        <v>3.0</v>
      </c>
      <c r="AX33" s="1" t="s">
        <v>74</v>
      </c>
      <c r="AY33" s="1" t="s">
        <v>74</v>
      </c>
      <c r="AZ33" s="1" t="s">
        <v>74</v>
      </c>
      <c r="BA33" s="1" t="s">
        <v>74</v>
      </c>
      <c r="BB33" s="1">
        <v>413.0</v>
      </c>
      <c r="BC33" s="1">
        <v>443.0</v>
      </c>
      <c r="BD33" s="1" t="s">
        <v>74</v>
      </c>
      <c r="BE33" s="1" t="s">
        <v>424</v>
      </c>
      <c r="BF33" s="2" t="str">
        <f>HYPERLINK("http://dx.doi.org/10.3098/ah.2020.094.3.413","http://dx.doi.org/10.3098/ah.2020.094.3.413")</f>
        <v>http://dx.doi.org/10.3098/ah.2020.094.3.413</v>
      </c>
      <c r="BG33" s="1" t="s">
        <v>74</v>
      </c>
      <c r="BH33" s="1" t="s">
        <v>74</v>
      </c>
      <c r="BI33" s="1" t="s">
        <v>74</v>
      </c>
      <c r="BJ33" s="1" t="s">
        <v>74</v>
      </c>
      <c r="BK33" s="1" t="s">
        <v>74</v>
      </c>
      <c r="BL33" s="1" t="s">
        <v>74</v>
      </c>
      <c r="BM33" s="1" t="s">
        <v>74</v>
      </c>
      <c r="BN33" s="1" t="s">
        <v>74</v>
      </c>
      <c r="BO33" s="1" t="s">
        <v>74</v>
      </c>
      <c r="BP33" s="1" t="s">
        <v>74</v>
      </c>
      <c r="BQ33" s="1" t="s">
        <v>74</v>
      </c>
      <c r="BR33" s="1" t="s">
        <v>74</v>
      </c>
      <c r="BS33" s="1" t="s">
        <v>425</v>
      </c>
      <c r="BT33" s="1" t="str">
        <f>HYPERLINK("https%3A%2F%2Fwww.webofscience.com%2Fwos%2Fwoscc%2Ffull-record%2FWOS:000551631200004","View Full Record in Web of Science")</f>
        <v>View Full Record in Web of Science</v>
      </c>
    </row>
    <row r="34" ht="12.75" customHeight="1">
      <c r="A34" s="1" t="s">
        <v>241</v>
      </c>
      <c r="B34" s="1" t="s">
        <v>426</v>
      </c>
      <c r="C34" s="1" t="s">
        <v>74</v>
      </c>
      <c r="D34" s="1" t="s">
        <v>74</v>
      </c>
      <c r="E34" s="1" t="s">
        <v>427</v>
      </c>
      <c r="F34" s="1" t="s">
        <v>428</v>
      </c>
      <c r="G34" s="1" t="s">
        <v>74</v>
      </c>
      <c r="H34" s="1" t="s">
        <v>74</v>
      </c>
      <c r="I34" s="1" t="s">
        <v>429</v>
      </c>
      <c r="J34" s="1" t="s">
        <v>430</v>
      </c>
      <c r="K34" s="1" t="s">
        <v>431</v>
      </c>
      <c r="L34" s="1" t="s">
        <v>74</v>
      </c>
      <c r="M34" s="1" t="s">
        <v>74</v>
      </c>
      <c r="N34" s="1" t="s">
        <v>74</v>
      </c>
      <c r="O34" s="1" t="s">
        <v>432</v>
      </c>
      <c r="P34" s="1" t="s">
        <v>433</v>
      </c>
      <c r="Q34" s="1" t="s">
        <v>434</v>
      </c>
      <c r="R34" s="1" t="s">
        <v>435</v>
      </c>
      <c r="S34" s="1" t="s">
        <v>436</v>
      </c>
      <c r="T34" s="1" t="s">
        <v>74</v>
      </c>
      <c r="U34" s="1" t="s">
        <v>74</v>
      </c>
      <c r="V34" s="1" t="s">
        <v>437</v>
      </c>
      <c r="W34" s="1" t="s">
        <v>74</v>
      </c>
      <c r="X34" s="1" t="s">
        <v>74</v>
      </c>
      <c r="Y34" s="1" t="s">
        <v>74</v>
      </c>
      <c r="Z34" s="1" t="s">
        <v>74</v>
      </c>
      <c r="AA34" s="1" t="s">
        <v>438</v>
      </c>
      <c r="AB34" s="1" t="s">
        <v>74</v>
      </c>
      <c r="AC34" s="1" t="s">
        <v>74</v>
      </c>
      <c r="AD34" s="1" t="s">
        <v>74</v>
      </c>
      <c r="AE34" s="1" t="s">
        <v>74</v>
      </c>
      <c r="AF34" s="1" t="s">
        <v>74</v>
      </c>
      <c r="AG34" s="1" t="s">
        <v>74</v>
      </c>
      <c r="AH34" s="1" t="s">
        <v>74</v>
      </c>
      <c r="AI34" s="1" t="s">
        <v>74</v>
      </c>
      <c r="AJ34" s="1" t="s">
        <v>74</v>
      </c>
      <c r="AK34" s="1" t="s">
        <v>74</v>
      </c>
      <c r="AL34" s="1" t="s">
        <v>74</v>
      </c>
      <c r="AM34" s="1" t="s">
        <v>74</v>
      </c>
      <c r="AN34" s="1" t="s">
        <v>74</v>
      </c>
      <c r="AO34" s="1" t="s">
        <v>439</v>
      </c>
      <c r="AP34" s="1" t="s">
        <v>74</v>
      </c>
      <c r="AQ34" s="1" t="s">
        <v>440</v>
      </c>
      <c r="AR34" s="1" t="s">
        <v>74</v>
      </c>
      <c r="AS34" s="1" t="s">
        <v>74</v>
      </c>
      <c r="AT34" s="1" t="s">
        <v>74</v>
      </c>
      <c r="AU34" s="1">
        <v>2020.0</v>
      </c>
      <c r="AV34" s="1" t="s">
        <v>74</v>
      </c>
      <c r="AW34" s="1" t="s">
        <v>74</v>
      </c>
      <c r="AX34" s="1" t="s">
        <v>74</v>
      </c>
      <c r="AY34" s="1" t="s">
        <v>74</v>
      </c>
      <c r="AZ34" s="1" t="s">
        <v>74</v>
      </c>
      <c r="BA34" s="1" t="s">
        <v>74</v>
      </c>
      <c r="BB34" s="1" t="s">
        <v>74</v>
      </c>
      <c r="BC34" s="1" t="s">
        <v>74</v>
      </c>
      <c r="BD34" s="1" t="s">
        <v>74</v>
      </c>
      <c r="BE34" s="1" t="s">
        <v>74</v>
      </c>
      <c r="BF34" s="1" t="s">
        <v>74</v>
      </c>
      <c r="BG34" s="1" t="s">
        <v>74</v>
      </c>
      <c r="BH34" s="1" t="s">
        <v>74</v>
      </c>
      <c r="BI34" s="1" t="s">
        <v>74</v>
      </c>
      <c r="BJ34" s="1" t="s">
        <v>74</v>
      </c>
      <c r="BK34" s="1" t="s">
        <v>74</v>
      </c>
      <c r="BL34" s="1" t="s">
        <v>74</v>
      </c>
      <c r="BM34" s="1" t="s">
        <v>74</v>
      </c>
      <c r="BN34" s="1" t="s">
        <v>74</v>
      </c>
      <c r="BO34" s="1" t="s">
        <v>74</v>
      </c>
      <c r="BP34" s="1" t="s">
        <v>74</v>
      </c>
      <c r="BQ34" s="1" t="s">
        <v>74</v>
      </c>
      <c r="BR34" s="1" t="s">
        <v>74</v>
      </c>
      <c r="BS34" s="1" t="s">
        <v>441</v>
      </c>
      <c r="BT34" s="1" t="str">
        <f>HYPERLINK("https%3A%2F%2Fwww.webofscience.com%2Fwos%2Fwoscc%2Ffull-record%2FWOS:000848755600044","View Full Record in Web of Science")</f>
        <v>View Full Record in Web of Science</v>
      </c>
    </row>
    <row r="35" ht="12.75" customHeight="1">
      <c r="A35" s="1" t="s">
        <v>442</v>
      </c>
      <c r="B35" s="1" t="s">
        <v>443</v>
      </c>
      <c r="C35" s="1" t="s">
        <v>74</v>
      </c>
      <c r="D35" s="1" t="s">
        <v>444</v>
      </c>
      <c r="E35" s="1" t="s">
        <v>74</v>
      </c>
      <c r="F35" s="1" t="s">
        <v>445</v>
      </c>
      <c r="G35" s="1" t="s">
        <v>74</v>
      </c>
      <c r="H35" s="1" t="s">
        <v>74</v>
      </c>
      <c r="I35" s="1" t="s">
        <v>446</v>
      </c>
      <c r="J35" s="1" t="s">
        <v>447</v>
      </c>
      <c r="K35" s="1" t="s">
        <v>448</v>
      </c>
      <c r="L35" s="1" t="s">
        <v>74</v>
      </c>
      <c r="M35" s="1" t="s">
        <v>74</v>
      </c>
      <c r="N35" s="1" t="s">
        <v>74</v>
      </c>
      <c r="O35" s="1" t="s">
        <v>74</v>
      </c>
      <c r="P35" s="1" t="s">
        <v>74</v>
      </c>
      <c r="Q35" s="1" t="s">
        <v>74</v>
      </c>
      <c r="R35" s="1" t="s">
        <v>74</v>
      </c>
      <c r="S35" s="1" t="s">
        <v>74</v>
      </c>
      <c r="T35" s="1" t="s">
        <v>74</v>
      </c>
      <c r="U35" s="1" t="s">
        <v>74</v>
      </c>
      <c r="V35" s="1" t="s">
        <v>74</v>
      </c>
      <c r="W35" s="1" t="s">
        <v>74</v>
      </c>
      <c r="X35" s="1" t="s">
        <v>74</v>
      </c>
      <c r="Y35" s="1" t="s">
        <v>74</v>
      </c>
      <c r="Z35" s="1" t="s">
        <v>74</v>
      </c>
      <c r="AA35" s="1" t="s">
        <v>449</v>
      </c>
      <c r="AB35" s="1" t="s">
        <v>450</v>
      </c>
      <c r="AC35" s="1" t="s">
        <v>74</v>
      </c>
      <c r="AD35" s="1" t="s">
        <v>74</v>
      </c>
      <c r="AE35" s="1" t="s">
        <v>74</v>
      </c>
      <c r="AF35" s="1" t="s">
        <v>74</v>
      </c>
      <c r="AG35" s="1" t="s">
        <v>74</v>
      </c>
      <c r="AH35" s="1" t="s">
        <v>74</v>
      </c>
      <c r="AI35" s="1" t="s">
        <v>74</v>
      </c>
      <c r="AJ35" s="1" t="s">
        <v>74</v>
      </c>
      <c r="AK35" s="1" t="s">
        <v>74</v>
      </c>
      <c r="AL35" s="1" t="s">
        <v>74</v>
      </c>
      <c r="AM35" s="1" t="s">
        <v>74</v>
      </c>
      <c r="AN35" s="1" t="s">
        <v>74</v>
      </c>
      <c r="AO35" s="1" t="s">
        <v>74</v>
      </c>
      <c r="AP35" s="1" t="s">
        <v>74</v>
      </c>
      <c r="AQ35" s="1" t="s">
        <v>451</v>
      </c>
      <c r="AR35" s="1" t="s">
        <v>74</v>
      </c>
      <c r="AS35" s="1" t="s">
        <v>74</v>
      </c>
      <c r="AT35" s="1" t="s">
        <v>74</v>
      </c>
      <c r="AU35" s="1">
        <v>2019.0</v>
      </c>
      <c r="AV35" s="1" t="s">
        <v>74</v>
      </c>
      <c r="AW35" s="1" t="s">
        <v>74</v>
      </c>
      <c r="AX35" s="1" t="s">
        <v>74</v>
      </c>
      <c r="AY35" s="1" t="s">
        <v>74</v>
      </c>
      <c r="AZ35" s="1" t="s">
        <v>74</v>
      </c>
      <c r="BA35" s="1" t="s">
        <v>74</v>
      </c>
      <c r="BB35" s="1">
        <v>259.0</v>
      </c>
      <c r="BC35" s="1">
        <v>277.0</v>
      </c>
      <c r="BD35" s="1" t="s">
        <v>74</v>
      </c>
      <c r="BE35" s="1" t="s">
        <v>74</v>
      </c>
      <c r="BF35" s="1" t="s">
        <v>74</v>
      </c>
      <c r="BG35" s="1" t="s">
        <v>74</v>
      </c>
      <c r="BH35" s="1" t="s">
        <v>74</v>
      </c>
      <c r="BI35" s="1" t="s">
        <v>74</v>
      </c>
      <c r="BJ35" s="1" t="s">
        <v>74</v>
      </c>
      <c r="BK35" s="1" t="s">
        <v>74</v>
      </c>
      <c r="BL35" s="1" t="s">
        <v>74</v>
      </c>
      <c r="BM35" s="1" t="s">
        <v>74</v>
      </c>
      <c r="BN35" s="1" t="s">
        <v>74</v>
      </c>
      <c r="BO35" s="1" t="s">
        <v>74</v>
      </c>
      <c r="BP35" s="1" t="s">
        <v>74</v>
      </c>
      <c r="BQ35" s="1" t="s">
        <v>74</v>
      </c>
      <c r="BR35" s="1" t="s">
        <v>74</v>
      </c>
      <c r="BS35" s="1" t="s">
        <v>452</v>
      </c>
      <c r="BT35" s="1" t="str">
        <f>HYPERLINK("https%3A%2F%2Fwww.webofscience.com%2Fwos%2Fwoscc%2Ffull-record%2FWOS:000576870100017","View Full Record in Web of Science")</f>
        <v>View Full Record in Web of Science</v>
      </c>
    </row>
    <row r="36" ht="12.75" customHeight="1">
      <c r="A36" s="1" t="s">
        <v>72</v>
      </c>
      <c r="B36" s="1" t="s">
        <v>453</v>
      </c>
      <c r="C36" s="1" t="s">
        <v>74</v>
      </c>
      <c r="D36" s="1" t="s">
        <v>74</v>
      </c>
      <c r="E36" s="1" t="s">
        <v>74</v>
      </c>
      <c r="F36" s="1" t="s">
        <v>454</v>
      </c>
      <c r="G36" s="1" t="s">
        <v>74</v>
      </c>
      <c r="H36" s="1" t="s">
        <v>74</v>
      </c>
      <c r="I36" s="1" t="s">
        <v>455</v>
      </c>
      <c r="J36" s="1" t="s">
        <v>456</v>
      </c>
      <c r="K36" s="1" t="s">
        <v>74</v>
      </c>
      <c r="L36" s="1" t="s">
        <v>74</v>
      </c>
      <c r="M36" s="1" t="s">
        <v>74</v>
      </c>
      <c r="N36" s="1" t="s">
        <v>74</v>
      </c>
      <c r="O36" s="1" t="s">
        <v>74</v>
      </c>
      <c r="P36" s="1" t="s">
        <v>74</v>
      </c>
      <c r="Q36" s="1" t="s">
        <v>74</v>
      </c>
      <c r="R36" s="1" t="s">
        <v>74</v>
      </c>
      <c r="S36" s="1" t="s">
        <v>74</v>
      </c>
      <c r="T36" s="1" t="s">
        <v>74</v>
      </c>
      <c r="U36" s="1" t="s">
        <v>74</v>
      </c>
      <c r="V36" s="1" t="s">
        <v>457</v>
      </c>
      <c r="W36" s="1" t="s">
        <v>74</v>
      </c>
      <c r="X36" s="1" t="s">
        <v>74</v>
      </c>
      <c r="Y36" s="1" t="s">
        <v>74</v>
      </c>
      <c r="Z36" s="1" t="s">
        <v>74</v>
      </c>
      <c r="AA36" s="1" t="s">
        <v>74</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458</v>
      </c>
      <c r="AP36" s="1" t="s">
        <v>74</v>
      </c>
      <c r="AQ36" s="1" t="s">
        <v>74</v>
      </c>
      <c r="AR36" s="1" t="s">
        <v>74</v>
      </c>
      <c r="AS36" s="1" t="s">
        <v>74</v>
      </c>
      <c r="AT36" s="1" t="s">
        <v>459</v>
      </c>
      <c r="AU36" s="1">
        <v>2018.0</v>
      </c>
      <c r="AV36" s="1">
        <v>9.0</v>
      </c>
      <c r="AW36" s="1" t="s">
        <v>74</v>
      </c>
      <c r="AX36" s="1" t="s">
        <v>74</v>
      </c>
      <c r="AY36" s="1" t="s">
        <v>74</v>
      </c>
      <c r="AZ36" s="1" t="s">
        <v>74</v>
      </c>
      <c r="BA36" s="1" t="s">
        <v>74</v>
      </c>
      <c r="BB36" s="1" t="s">
        <v>74</v>
      </c>
      <c r="BC36" s="1" t="s">
        <v>74</v>
      </c>
      <c r="BD36" s="1">
        <v>546.0</v>
      </c>
      <c r="BE36" s="1" t="s">
        <v>460</v>
      </c>
      <c r="BF36" s="2" t="str">
        <f>HYPERLINK("http://dx.doi.org/10.3389/fphar.2018.00546","http://dx.doi.org/10.3389/fphar.2018.00546")</f>
        <v>http://dx.doi.org/10.3389/fphar.2018.00546</v>
      </c>
      <c r="BG36" s="1" t="s">
        <v>74</v>
      </c>
      <c r="BH36" s="1" t="s">
        <v>74</v>
      </c>
      <c r="BI36" s="1" t="s">
        <v>74</v>
      </c>
      <c r="BJ36" s="1" t="s">
        <v>74</v>
      </c>
      <c r="BK36" s="1" t="s">
        <v>74</v>
      </c>
      <c r="BL36" s="1" t="s">
        <v>74</v>
      </c>
      <c r="BM36" s="1" t="s">
        <v>74</v>
      </c>
      <c r="BN36" s="1">
        <v>2.9896104E7</v>
      </c>
      <c r="BO36" s="1" t="s">
        <v>74</v>
      </c>
      <c r="BP36" s="1" t="s">
        <v>74</v>
      </c>
      <c r="BQ36" s="1" t="s">
        <v>74</v>
      </c>
      <c r="BR36" s="1" t="s">
        <v>74</v>
      </c>
      <c r="BS36" s="1" t="s">
        <v>461</v>
      </c>
      <c r="BT36" s="1" t="str">
        <f>HYPERLINK("https%3A%2F%2Fwww.webofscience.com%2Fwos%2Fwoscc%2Ffull-record%2FWOS:000433329800001","View Full Record in Web of Science")</f>
        <v>View Full Record in Web of Science</v>
      </c>
    </row>
    <row r="37" ht="12.75" customHeight="1">
      <c r="A37" s="1" t="s">
        <v>241</v>
      </c>
      <c r="B37" s="1" t="s">
        <v>462</v>
      </c>
      <c r="C37" s="1" t="s">
        <v>74</v>
      </c>
      <c r="D37" s="1" t="s">
        <v>463</v>
      </c>
      <c r="E37" s="1" t="s">
        <v>74</v>
      </c>
      <c r="F37" s="1" t="s">
        <v>464</v>
      </c>
      <c r="G37" s="1" t="s">
        <v>74</v>
      </c>
      <c r="H37" s="1" t="s">
        <v>74</v>
      </c>
      <c r="I37" s="1" t="s">
        <v>465</v>
      </c>
      <c r="J37" s="1" t="s">
        <v>466</v>
      </c>
      <c r="K37" s="1" t="s">
        <v>74</v>
      </c>
      <c r="L37" s="1" t="s">
        <v>74</v>
      </c>
      <c r="M37" s="1" t="s">
        <v>74</v>
      </c>
      <c r="N37" s="1" t="s">
        <v>74</v>
      </c>
      <c r="O37" s="1" t="s">
        <v>467</v>
      </c>
      <c r="P37" s="1" t="s">
        <v>468</v>
      </c>
      <c r="Q37" s="1" t="s">
        <v>469</v>
      </c>
      <c r="R37" s="1" t="s">
        <v>470</v>
      </c>
      <c r="S37" s="1" t="s">
        <v>74</v>
      </c>
      <c r="T37" s="1" t="s">
        <v>74</v>
      </c>
      <c r="U37" s="1" t="s">
        <v>74</v>
      </c>
      <c r="V37" s="1" t="s">
        <v>471</v>
      </c>
      <c r="W37" s="1" t="s">
        <v>74</v>
      </c>
      <c r="X37" s="1" t="s">
        <v>74</v>
      </c>
      <c r="Y37" s="1" t="s">
        <v>74</v>
      </c>
      <c r="Z37" s="1" t="s">
        <v>74</v>
      </c>
      <c r="AA37" s="1" t="s">
        <v>74</v>
      </c>
      <c r="AB37" s="1" t="s">
        <v>74</v>
      </c>
      <c r="AC37" s="1" t="s">
        <v>74</v>
      </c>
      <c r="AD37" s="1" t="s">
        <v>74</v>
      </c>
      <c r="AE37" s="1" t="s">
        <v>74</v>
      </c>
      <c r="AF37" s="1" t="s">
        <v>74</v>
      </c>
      <c r="AG37" s="1" t="s">
        <v>74</v>
      </c>
      <c r="AH37" s="1" t="s">
        <v>74</v>
      </c>
      <c r="AI37" s="1" t="s">
        <v>74</v>
      </c>
      <c r="AJ37" s="1" t="s">
        <v>74</v>
      </c>
      <c r="AK37" s="1" t="s">
        <v>74</v>
      </c>
      <c r="AL37" s="1" t="s">
        <v>74</v>
      </c>
      <c r="AM37" s="1" t="s">
        <v>74</v>
      </c>
      <c r="AN37" s="1" t="s">
        <v>74</v>
      </c>
      <c r="AO37" s="1" t="s">
        <v>74</v>
      </c>
      <c r="AP37" s="1" t="s">
        <v>74</v>
      </c>
      <c r="AQ37" s="1" t="s">
        <v>472</v>
      </c>
      <c r="AR37" s="1" t="s">
        <v>74</v>
      </c>
      <c r="AS37" s="1" t="s">
        <v>74</v>
      </c>
      <c r="AT37" s="1" t="s">
        <v>74</v>
      </c>
      <c r="AU37" s="1">
        <v>2015.0</v>
      </c>
      <c r="AV37" s="1" t="s">
        <v>74</v>
      </c>
      <c r="AW37" s="1" t="s">
        <v>74</v>
      </c>
      <c r="AX37" s="1" t="s">
        <v>74</v>
      </c>
      <c r="AY37" s="1" t="s">
        <v>74</v>
      </c>
      <c r="AZ37" s="1" t="s">
        <v>74</v>
      </c>
      <c r="BA37" s="1" t="s">
        <v>74</v>
      </c>
      <c r="BB37" s="1" t="s">
        <v>74</v>
      </c>
      <c r="BC37" s="1" t="s">
        <v>74</v>
      </c>
      <c r="BD37" s="1" t="s">
        <v>74</v>
      </c>
      <c r="BE37" s="1" t="s">
        <v>74</v>
      </c>
      <c r="BF37" s="1" t="s">
        <v>74</v>
      </c>
      <c r="BG37" s="1" t="s">
        <v>74</v>
      </c>
      <c r="BH37" s="1" t="s">
        <v>74</v>
      </c>
      <c r="BI37" s="1" t="s">
        <v>74</v>
      </c>
      <c r="BJ37" s="1" t="s">
        <v>74</v>
      </c>
      <c r="BK37" s="1" t="s">
        <v>74</v>
      </c>
      <c r="BL37" s="1" t="s">
        <v>74</v>
      </c>
      <c r="BM37" s="1" t="s">
        <v>74</v>
      </c>
      <c r="BN37" s="1" t="s">
        <v>74</v>
      </c>
      <c r="BO37" s="1" t="s">
        <v>74</v>
      </c>
      <c r="BP37" s="1" t="s">
        <v>74</v>
      </c>
      <c r="BQ37" s="1" t="s">
        <v>74</v>
      </c>
      <c r="BR37" s="1" t="s">
        <v>74</v>
      </c>
      <c r="BS37" s="1" t="s">
        <v>473</v>
      </c>
      <c r="BT37" s="1" t="str">
        <f>HYPERLINK("https%3A%2F%2Fwww.webofscience.com%2Fwos%2Fwoscc%2Ffull-record%2FWOS:000380396300017","View Full Record in Web of Science")</f>
        <v>View Full Record in Web of Science</v>
      </c>
    </row>
    <row r="38" ht="12.75" customHeight="1">
      <c r="A38" s="1" t="s">
        <v>241</v>
      </c>
      <c r="B38" s="1" t="s">
        <v>474</v>
      </c>
      <c r="C38" s="1" t="s">
        <v>74</v>
      </c>
      <c r="D38" s="1" t="s">
        <v>475</v>
      </c>
      <c r="E38" s="1" t="s">
        <v>74</v>
      </c>
      <c r="F38" s="1" t="s">
        <v>476</v>
      </c>
      <c r="G38" s="1" t="s">
        <v>74</v>
      </c>
      <c r="H38" s="1" t="s">
        <v>74</v>
      </c>
      <c r="I38" s="1" t="s">
        <v>477</v>
      </c>
      <c r="J38" s="1" t="s">
        <v>478</v>
      </c>
      <c r="K38" s="1" t="s">
        <v>74</v>
      </c>
      <c r="L38" s="1" t="s">
        <v>74</v>
      </c>
      <c r="M38" s="1" t="s">
        <v>74</v>
      </c>
      <c r="N38" s="1" t="s">
        <v>74</v>
      </c>
      <c r="O38" s="1" t="s">
        <v>479</v>
      </c>
      <c r="P38" s="1" t="s">
        <v>480</v>
      </c>
      <c r="Q38" s="1" t="s">
        <v>481</v>
      </c>
      <c r="R38" s="1" t="s">
        <v>482</v>
      </c>
      <c r="S38" s="1" t="s">
        <v>74</v>
      </c>
      <c r="T38" s="1" t="s">
        <v>74</v>
      </c>
      <c r="U38" s="1" t="s">
        <v>74</v>
      </c>
      <c r="V38" s="1" t="s">
        <v>483</v>
      </c>
      <c r="W38" s="1" t="s">
        <v>74</v>
      </c>
      <c r="X38" s="1" t="s">
        <v>74</v>
      </c>
      <c r="Y38" s="1" t="s">
        <v>74</v>
      </c>
      <c r="Z38" s="1" t="s">
        <v>74</v>
      </c>
      <c r="AA38" s="1" t="s">
        <v>484</v>
      </c>
      <c r="AB38" s="1" t="s">
        <v>485</v>
      </c>
      <c r="AC38" s="1" t="s">
        <v>74</v>
      </c>
      <c r="AD38" s="1" t="s">
        <v>74</v>
      </c>
      <c r="AE38" s="1" t="s">
        <v>74</v>
      </c>
      <c r="AF38" s="1" t="s">
        <v>74</v>
      </c>
      <c r="AG38" s="1" t="s">
        <v>74</v>
      </c>
      <c r="AH38" s="1" t="s">
        <v>74</v>
      </c>
      <c r="AI38" s="1" t="s">
        <v>74</v>
      </c>
      <c r="AJ38" s="1" t="s">
        <v>74</v>
      </c>
      <c r="AK38" s="1" t="s">
        <v>74</v>
      </c>
      <c r="AL38" s="1" t="s">
        <v>74</v>
      </c>
      <c r="AM38" s="1" t="s">
        <v>74</v>
      </c>
      <c r="AN38" s="1" t="s">
        <v>74</v>
      </c>
      <c r="AO38" s="1" t="s">
        <v>74</v>
      </c>
      <c r="AP38" s="1" t="s">
        <v>74</v>
      </c>
      <c r="AQ38" s="1" t="s">
        <v>486</v>
      </c>
      <c r="AR38" s="1" t="s">
        <v>74</v>
      </c>
      <c r="AS38" s="1" t="s">
        <v>74</v>
      </c>
      <c r="AT38" s="1" t="s">
        <v>74</v>
      </c>
      <c r="AU38" s="1">
        <v>2015.0</v>
      </c>
      <c r="AV38" s="1" t="s">
        <v>74</v>
      </c>
      <c r="AW38" s="1" t="s">
        <v>74</v>
      </c>
      <c r="AX38" s="1" t="s">
        <v>74</v>
      </c>
      <c r="AY38" s="1" t="s">
        <v>74</v>
      </c>
      <c r="AZ38" s="1" t="s">
        <v>74</v>
      </c>
      <c r="BA38" s="1" t="s">
        <v>74</v>
      </c>
      <c r="BB38" s="1">
        <v>135.0</v>
      </c>
      <c r="BC38" s="1">
        <v>140.0</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487</v>
      </c>
      <c r="BT38" s="1" t="str">
        <f>HYPERLINK("https%3A%2F%2Fwww.webofscience.com%2Fwos%2Fwoscc%2Ffull-record%2FWOS:000380551100023","View Full Record in Web of Science")</f>
        <v>View Full Record in Web of Science</v>
      </c>
    </row>
    <row r="39" ht="12.75" customHeight="1">
      <c r="A39" s="1" t="s">
        <v>72</v>
      </c>
      <c r="B39" s="1" t="s">
        <v>488</v>
      </c>
      <c r="C39" s="1" t="s">
        <v>74</v>
      </c>
      <c r="D39" s="1" t="s">
        <v>74</v>
      </c>
      <c r="E39" s="1" t="s">
        <v>74</v>
      </c>
      <c r="F39" s="1" t="s">
        <v>489</v>
      </c>
      <c r="G39" s="1" t="s">
        <v>74</v>
      </c>
      <c r="H39" s="1" t="s">
        <v>74</v>
      </c>
      <c r="I39" s="1" t="s">
        <v>490</v>
      </c>
      <c r="J39" s="1" t="s">
        <v>112</v>
      </c>
      <c r="K39" s="1" t="s">
        <v>74</v>
      </c>
      <c r="L39" s="1" t="s">
        <v>74</v>
      </c>
      <c r="M39" s="1" t="s">
        <v>74</v>
      </c>
      <c r="N39" s="1" t="s">
        <v>74</v>
      </c>
      <c r="O39" s="1" t="s">
        <v>74</v>
      </c>
      <c r="P39" s="1" t="s">
        <v>74</v>
      </c>
      <c r="Q39" s="1" t="s">
        <v>74</v>
      </c>
      <c r="R39" s="1" t="s">
        <v>74</v>
      </c>
      <c r="S39" s="1" t="s">
        <v>74</v>
      </c>
      <c r="T39" s="1" t="s">
        <v>74</v>
      </c>
      <c r="U39" s="1" t="s">
        <v>74</v>
      </c>
      <c r="V39" s="1" t="s">
        <v>491</v>
      </c>
      <c r="W39" s="1" t="s">
        <v>74</v>
      </c>
      <c r="X39" s="1" t="s">
        <v>74</v>
      </c>
      <c r="Y39" s="1" t="s">
        <v>74</v>
      </c>
      <c r="Z39" s="1" t="s">
        <v>74</v>
      </c>
      <c r="AA39" s="1" t="s">
        <v>74</v>
      </c>
      <c r="AB39" s="1" t="s">
        <v>74</v>
      </c>
      <c r="AC39" s="1" t="s">
        <v>74</v>
      </c>
      <c r="AD39" s="1" t="s">
        <v>74</v>
      </c>
      <c r="AE39" s="1" t="s">
        <v>74</v>
      </c>
      <c r="AF39" s="1" t="s">
        <v>74</v>
      </c>
      <c r="AG39" s="1" t="s">
        <v>74</v>
      </c>
      <c r="AH39" s="1" t="s">
        <v>74</v>
      </c>
      <c r="AI39" s="1" t="s">
        <v>74</v>
      </c>
      <c r="AJ39" s="1" t="s">
        <v>74</v>
      </c>
      <c r="AK39" s="1" t="s">
        <v>74</v>
      </c>
      <c r="AL39" s="1" t="s">
        <v>74</v>
      </c>
      <c r="AM39" s="1" t="s">
        <v>74</v>
      </c>
      <c r="AN39" s="1" t="s">
        <v>74</v>
      </c>
      <c r="AO39" s="1" t="s">
        <v>115</v>
      </c>
      <c r="AP39" s="1" t="s">
        <v>492</v>
      </c>
      <c r="AQ39" s="1" t="s">
        <v>74</v>
      </c>
      <c r="AR39" s="1" t="s">
        <v>74</v>
      </c>
      <c r="AS39" s="1" t="s">
        <v>74</v>
      </c>
      <c r="AT39" s="1" t="s">
        <v>319</v>
      </c>
      <c r="AU39" s="1">
        <v>2013.0</v>
      </c>
      <c r="AV39" s="1">
        <v>141.0</v>
      </c>
      <c r="AW39" s="1">
        <v>3.0</v>
      </c>
      <c r="AX39" s="1" t="s">
        <v>74</v>
      </c>
      <c r="AY39" s="1" t="s">
        <v>74</v>
      </c>
      <c r="AZ39" s="1" t="s">
        <v>74</v>
      </c>
      <c r="BA39" s="1" t="s">
        <v>74</v>
      </c>
      <c r="BB39" s="1">
        <v>392.0</v>
      </c>
      <c r="BC39" s="1">
        <v>395.0</v>
      </c>
      <c r="BD39" s="1" t="s">
        <v>74</v>
      </c>
      <c r="BE39" s="1" t="s">
        <v>493</v>
      </c>
      <c r="BF39" s="2" t="str">
        <f>HYPERLINK("http://dx.doi.org/10.4067/S0034-98872013000300017","http://dx.doi.org/10.4067/S0034-98872013000300017")</f>
        <v>http://dx.doi.org/10.4067/S0034-98872013000300017</v>
      </c>
      <c r="BG39" s="1" t="s">
        <v>74</v>
      </c>
      <c r="BH39" s="1" t="s">
        <v>74</v>
      </c>
      <c r="BI39" s="1" t="s">
        <v>74</v>
      </c>
      <c r="BJ39" s="1" t="s">
        <v>74</v>
      </c>
      <c r="BK39" s="1" t="s">
        <v>74</v>
      </c>
      <c r="BL39" s="1" t="s">
        <v>74</v>
      </c>
      <c r="BM39" s="1" t="s">
        <v>74</v>
      </c>
      <c r="BN39" s="1">
        <v>2.3900333E7</v>
      </c>
      <c r="BO39" s="1" t="s">
        <v>74</v>
      </c>
      <c r="BP39" s="1" t="s">
        <v>74</v>
      </c>
      <c r="BQ39" s="1" t="s">
        <v>74</v>
      </c>
      <c r="BR39" s="1" t="s">
        <v>74</v>
      </c>
      <c r="BS39" s="1" t="s">
        <v>494</v>
      </c>
      <c r="BT39" s="1" t="str">
        <f>HYPERLINK("https%3A%2F%2Fwww.webofscience.com%2Fwos%2Fwoscc%2Ffull-record%2FWOS:000318826600017","View Full Record in Web of Science")</f>
        <v>View Full Record in Web of Science</v>
      </c>
    </row>
    <row r="40" ht="12.75" customHeight="1">
      <c r="A40" s="1" t="s">
        <v>72</v>
      </c>
      <c r="B40" s="1" t="s">
        <v>495</v>
      </c>
      <c r="C40" s="1" t="s">
        <v>74</v>
      </c>
      <c r="D40" s="1" t="s">
        <v>74</v>
      </c>
      <c r="E40" s="1" t="s">
        <v>74</v>
      </c>
      <c r="F40" s="1" t="s">
        <v>496</v>
      </c>
      <c r="G40" s="1" t="s">
        <v>74</v>
      </c>
      <c r="H40" s="1" t="s">
        <v>74</v>
      </c>
      <c r="I40" s="1" t="s">
        <v>497</v>
      </c>
      <c r="J40" s="1" t="s">
        <v>268</v>
      </c>
      <c r="K40" s="1" t="s">
        <v>74</v>
      </c>
      <c r="L40" s="1" t="s">
        <v>74</v>
      </c>
      <c r="M40" s="1" t="s">
        <v>74</v>
      </c>
      <c r="N40" s="1" t="s">
        <v>74</v>
      </c>
      <c r="O40" s="1" t="s">
        <v>74</v>
      </c>
      <c r="P40" s="1" t="s">
        <v>74</v>
      </c>
      <c r="Q40" s="1" t="s">
        <v>74</v>
      </c>
      <c r="R40" s="1" t="s">
        <v>74</v>
      </c>
      <c r="S40" s="1" t="s">
        <v>74</v>
      </c>
      <c r="T40" s="1" t="s">
        <v>74</v>
      </c>
      <c r="U40" s="1" t="s">
        <v>74</v>
      </c>
      <c r="V40" s="1" t="s">
        <v>498</v>
      </c>
      <c r="W40" s="1" t="s">
        <v>74</v>
      </c>
      <c r="X40" s="1" t="s">
        <v>74</v>
      </c>
      <c r="Y40" s="1" t="s">
        <v>74</v>
      </c>
      <c r="Z40" s="1" t="s">
        <v>74</v>
      </c>
      <c r="AA40" s="1" t="s">
        <v>499</v>
      </c>
      <c r="AB40" s="1" t="s">
        <v>500</v>
      </c>
      <c r="AC40" s="1" t="s">
        <v>74</v>
      </c>
      <c r="AD40" s="1" t="s">
        <v>74</v>
      </c>
      <c r="AE40" s="1" t="s">
        <v>74</v>
      </c>
      <c r="AF40" s="1" t="s">
        <v>74</v>
      </c>
      <c r="AG40" s="1" t="s">
        <v>74</v>
      </c>
      <c r="AH40" s="1" t="s">
        <v>74</v>
      </c>
      <c r="AI40" s="1" t="s">
        <v>74</v>
      </c>
      <c r="AJ40" s="1" t="s">
        <v>74</v>
      </c>
      <c r="AK40" s="1" t="s">
        <v>74</v>
      </c>
      <c r="AL40" s="1" t="s">
        <v>74</v>
      </c>
      <c r="AM40" s="1" t="s">
        <v>74</v>
      </c>
      <c r="AN40" s="1" t="s">
        <v>74</v>
      </c>
      <c r="AO40" s="1" t="s">
        <v>272</v>
      </c>
      <c r="AP40" s="1" t="s">
        <v>74</v>
      </c>
      <c r="AQ40" s="1" t="s">
        <v>74</v>
      </c>
      <c r="AR40" s="1" t="s">
        <v>74</v>
      </c>
      <c r="AS40" s="1" t="s">
        <v>74</v>
      </c>
      <c r="AT40" s="1" t="s">
        <v>501</v>
      </c>
      <c r="AU40" s="1">
        <v>2012.0</v>
      </c>
      <c r="AV40" s="1">
        <v>324.0</v>
      </c>
      <c r="AW40" s="1">
        <v>22.0</v>
      </c>
      <c r="AX40" s="1" t="s">
        <v>74</v>
      </c>
      <c r="AY40" s="1" t="s">
        <v>74</v>
      </c>
      <c r="AZ40" s="1" t="s">
        <v>74</v>
      </c>
      <c r="BA40" s="1" t="s">
        <v>74</v>
      </c>
      <c r="BB40" s="1">
        <v>3824.0</v>
      </c>
      <c r="BC40" s="1">
        <v>3828.0</v>
      </c>
      <c r="BD40" s="1" t="s">
        <v>74</v>
      </c>
      <c r="BE40" s="1" t="s">
        <v>502</v>
      </c>
      <c r="BF40" s="2" t="str">
        <f>HYPERLINK("http://dx.doi.org/10.1016/j.jmmm.2012.06.022","http://dx.doi.org/10.1016/j.jmmm.2012.06.022")</f>
        <v>http://dx.doi.org/10.1016/j.jmmm.2012.06.022</v>
      </c>
      <c r="BG40" s="1" t="s">
        <v>74</v>
      </c>
      <c r="BH40" s="1" t="s">
        <v>74</v>
      </c>
      <c r="BI40" s="1" t="s">
        <v>74</v>
      </c>
      <c r="BJ40" s="1" t="s">
        <v>74</v>
      </c>
      <c r="BK40" s="1" t="s">
        <v>74</v>
      </c>
      <c r="BL40" s="1" t="s">
        <v>74</v>
      </c>
      <c r="BM40" s="1" t="s">
        <v>74</v>
      </c>
      <c r="BN40" s="1" t="s">
        <v>74</v>
      </c>
      <c r="BO40" s="1" t="s">
        <v>74</v>
      </c>
      <c r="BP40" s="1" t="s">
        <v>74</v>
      </c>
      <c r="BQ40" s="1" t="s">
        <v>74</v>
      </c>
      <c r="BR40" s="1" t="s">
        <v>74</v>
      </c>
      <c r="BS40" s="1" t="s">
        <v>503</v>
      </c>
      <c r="BT40" s="1" t="str">
        <f>HYPERLINK("https%3A%2F%2Fwww.webofscience.com%2Fwos%2Fwoscc%2Ffull-record%2FWOS:000307299700038","View Full Record in Web of Science")</f>
        <v>View Full Record in Web of Science</v>
      </c>
    </row>
    <row r="41" ht="12.75" customHeight="1">
      <c r="A41" s="1" t="s">
        <v>72</v>
      </c>
      <c r="B41" s="1" t="s">
        <v>504</v>
      </c>
      <c r="C41" s="1" t="s">
        <v>74</v>
      </c>
      <c r="D41" s="1" t="s">
        <v>74</v>
      </c>
      <c r="E41" s="1" t="s">
        <v>74</v>
      </c>
      <c r="F41" s="1" t="s">
        <v>505</v>
      </c>
      <c r="G41" s="1" t="s">
        <v>74</v>
      </c>
      <c r="H41" s="1" t="s">
        <v>74</v>
      </c>
      <c r="I41" s="1" t="s">
        <v>506</v>
      </c>
      <c r="J41" s="1" t="s">
        <v>280</v>
      </c>
      <c r="K41" s="1" t="s">
        <v>74</v>
      </c>
      <c r="L41" s="1" t="s">
        <v>74</v>
      </c>
      <c r="M41" s="1" t="s">
        <v>74</v>
      </c>
      <c r="N41" s="1" t="s">
        <v>74</v>
      </c>
      <c r="O41" s="1" t="s">
        <v>74</v>
      </c>
      <c r="P41" s="1" t="s">
        <v>74</v>
      </c>
      <c r="Q41" s="1" t="s">
        <v>74</v>
      </c>
      <c r="R41" s="1" t="s">
        <v>74</v>
      </c>
      <c r="S41" s="1" t="s">
        <v>74</v>
      </c>
      <c r="T41" s="1" t="s">
        <v>74</v>
      </c>
      <c r="U41" s="1" t="s">
        <v>74</v>
      </c>
      <c r="V41" s="1" t="s">
        <v>507</v>
      </c>
      <c r="W41" s="1" t="s">
        <v>74</v>
      </c>
      <c r="X41" s="1" t="s">
        <v>74</v>
      </c>
      <c r="Y41" s="1" t="s">
        <v>74</v>
      </c>
      <c r="Z41" s="1" t="s">
        <v>74</v>
      </c>
      <c r="AA41" s="1" t="s">
        <v>508</v>
      </c>
      <c r="AB41" s="1" t="s">
        <v>74</v>
      </c>
      <c r="AC41" s="1" t="s">
        <v>74</v>
      </c>
      <c r="AD41" s="1" t="s">
        <v>74</v>
      </c>
      <c r="AE41" s="1" t="s">
        <v>74</v>
      </c>
      <c r="AF41" s="1" t="s">
        <v>74</v>
      </c>
      <c r="AG41" s="1" t="s">
        <v>74</v>
      </c>
      <c r="AH41" s="1" t="s">
        <v>74</v>
      </c>
      <c r="AI41" s="1" t="s">
        <v>74</v>
      </c>
      <c r="AJ41" s="1" t="s">
        <v>74</v>
      </c>
      <c r="AK41" s="1" t="s">
        <v>74</v>
      </c>
      <c r="AL41" s="1" t="s">
        <v>74</v>
      </c>
      <c r="AM41" s="1" t="s">
        <v>74</v>
      </c>
      <c r="AN41" s="1" t="s">
        <v>74</v>
      </c>
      <c r="AO41" s="1" t="s">
        <v>283</v>
      </c>
      <c r="AP41" s="1" t="s">
        <v>74</v>
      </c>
      <c r="AQ41" s="1" t="s">
        <v>74</v>
      </c>
      <c r="AR41" s="1" t="s">
        <v>74</v>
      </c>
      <c r="AS41" s="1" t="s">
        <v>74</v>
      </c>
      <c r="AT41" s="1" t="s">
        <v>82</v>
      </c>
      <c r="AU41" s="1">
        <v>2011.0</v>
      </c>
      <c r="AV41" s="1">
        <v>56.0</v>
      </c>
      <c r="AW41" s="1">
        <v>2.0</v>
      </c>
      <c r="AX41" s="1" t="s">
        <v>74</v>
      </c>
      <c r="AY41" s="1" t="s">
        <v>74</v>
      </c>
      <c r="AZ41" s="1" t="s">
        <v>74</v>
      </c>
      <c r="BA41" s="1" t="s">
        <v>74</v>
      </c>
      <c r="BB41" s="1">
        <v>709.0</v>
      </c>
      <c r="BC41" s="1">
        <v>711.0</v>
      </c>
      <c r="BD41" s="1" t="s">
        <v>74</v>
      </c>
      <c r="BE41" s="1" t="s">
        <v>74</v>
      </c>
      <c r="BF41" s="1" t="s">
        <v>74</v>
      </c>
      <c r="BG41" s="1" t="s">
        <v>74</v>
      </c>
      <c r="BH41" s="1" t="s">
        <v>74</v>
      </c>
      <c r="BI41" s="1" t="s">
        <v>74</v>
      </c>
      <c r="BJ41" s="1" t="s">
        <v>74</v>
      </c>
      <c r="BK41" s="1" t="s">
        <v>74</v>
      </c>
      <c r="BL41" s="1" t="s">
        <v>74</v>
      </c>
      <c r="BM41" s="1" t="s">
        <v>74</v>
      </c>
      <c r="BN41" s="1" t="s">
        <v>74</v>
      </c>
      <c r="BO41" s="1" t="s">
        <v>74</v>
      </c>
      <c r="BP41" s="1" t="s">
        <v>74</v>
      </c>
      <c r="BQ41" s="1" t="s">
        <v>74</v>
      </c>
      <c r="BR41" s="1" t="s">
        <v>74</v>
      </c>
      <c r="BS41" s="1" t="s">
        <v>509</v>
      </c>
      <c r="BT41" s="1" t="str">
        <f>HYPERLINK("https%3A%2F%2Fwww.webofscience.com%2Fwos%2Fwoscc%2Ffull-record%2FWOS:000293676300019","View Full Record in Web of Science")</f>
        <v>View Full Record in Web of Science</v>
      </c>
    </row>
    <row r="42" ht="12.75" customHeight="1">
      <c r="A42" s="1" t="s">
        <v>72</v>
      </c>
      <c r="B42" s="1" t="s">
        <v>510</v>
      </c>
      <c r="C42" s="1" t="s">
        <v>74</v>
      </c>
      <c r="D42" s="1" t="s">
        <v>74</v>
      </c>
      <c r="E42" s="1" t="s">
        <v>74</v>
      </c>
      <c r="F42" s="1" t="s">
        <v>511</v>
      </c>
      <c r="G42" s="1" t="s">
        <v>74</v>
      </c>
      <c r="H42" s="1" t="s">
        <v>74</v>
      </c>
      <c r="I42" s="1" t="s">
        <v>512</v>
      </c>
      <c r="J42" s="1" t="s">
        <v>513</v>
      </c>
      <c r="K42" s="1" t="s">
        <v>74</v>
      </c>
      <c r="L42" s="1" t="s">
        <v>74</v>
      </c>
      <c r="M42" s="1" t="s">
        <v>74</v>
      </c>
      <c r="N42" s="1" t="s">
        <v>74</v>
      </c>
      <c r="O42" s="1" t="s">
        <v>74</v>
      </c>
      <c r="P42" s="1" t="s">
        <v>74</v>
      </c>
      <c r="Q42" s="1" t="s">
        <v>74</v>
      </c>
      <c r="R42" s="1" t="s">
        <v>74</v>
      </c>
      <c r="S42" s="1" t="s">
        <v>74</v>
      </c>
      <c r="T42" s="1" t="s">
        <v>74</v>
      </c>
      <c r="U42" s="1" t="s">
        <v>74</v>
      </c>
      <c r="V42" s="1" t="s">
        <v>514</v>
      </c>
      <c r="W42" s="1" t="s">
        <v>74</v>
      </c>
      <c r="X42" s="1" t="s">
        <v>74</v>
      </c>
      <c r="Y42" s="1" t="s">
        <v>74</v>
      </c>
      <c r="Z42" s="1" t="s">
        <v>74</v>
      </c>
      <c r="AA42" s="1" t="s">
        <v>74</v>
      </c>
      <c r="AB42" s="1" t="s">
        <v>74</v>
      </c>
      <c r="AC42" s="1" t="s">
        <v>74</v>
      </c>
      <c r="AD42" s="1" t="s">
        <v>74</v>
      </c>
      <c r="AE42" s="1" t="s">
        <v>74</v>
      </c>
      <c r="AF42" s="1" t="s">
        <v>74</v>
      </c>
      <c r="AG42" s="1" t="s">
        <v>74</v>
      </c>
      <c r="AH42" s="1" t="s">
        <v>74</v>
      </c>
      <c r="AI42" s="1" t="s">
        <v>74</v>
      </c>
      <c r="AJ42" s="1" t="s">
        <v>74</v>
      </c>
      <c r="AK42" s="1" t="s">
        <v>74</v>
      </c>
      <c r="AL42" s="1" t="s">
        <v>74</v>
      </c>
      <c r="AM42" s="1" t="s">
        <v>74</v>
      </c>
      <c r="AN42" s="1" t="s">
        <v>74</v>
      </c>
      <c r="AO42" s="1" t="s">
        <v>515</v>
      </c>
      <c r="AP42" s="1" t="s">
        <v>516</v>
      </c>
      <c r="AQ42" s="1" t="s">
        <v>74</v>
      </c>
      <c r="AR42" s="1" t="s">
        <v>74</v>
      </c>
      <c r="AS42" s="1" t="s">
        <v>74</v>
      </c>
      <c r="AT42" s="1" t="s">
        <v>517</v>
      </c>
      <c r="AU42" s="1">
        <v>2009.0</v>
      </c>
      <c r="AV42" s="1">
        <v>101.0</v>
      </c>
      <c r="AW42" s="1">
        <v>3.0</v>
      </c>
      <c r="AX42" s="1" t="s">
        <v>74</v>
      </c>
      <c r="AY42" s="1" t="s">
        <v>74</v>
      </c>
      <c r="AZ42" s="1" t="s">
        <v>74</v>
      </c>
      <c r="BA42" s="1" t="s">
        <v>74</v>
      </c>
      <c r="BB42" s="1">
        <v>287.0</v>
      </c>
      <c r="BC42" s="1">
        <v>295.0</v>
      </c>
      <c r="BD42" s="1" t="s">
        <v>74</v>
      </c>
      <c r="BE42" s="1" t="s">
        <v>518</v>
      </c>
      <c r="BF42" s="2" t="str">
        <f>HYPERLINK("http://dx.doi.org/10.3852/08-012","http://dx.doi.org/10.3852/08-012")</f>
        <v>http://dx.doi.org/10.3852/08-012</v>
      </c>
      <c r="BG42" s="1" t="s">
        <v>74</v>
      </c>
      <c r="BH42" s="1" t="s">
        <v>74</v>
      </c>
      <c r="BI42" s="1" t="s">
        <v>74</v>
      </c>
      <c r="BJ42" s="1" t="s">
        <v>74</v>
      </c>
      <c r="BK42" s="1" t="s">
        <v>74</v>
      </c>
      <c r="BL42" s="1" t="s">
        <v>74</v>
      </c>
      <c r="BM42" s="1" t="s">
        <v>74</v>
      </c>
      <c r="BN42" s="1">
        <v>1.9537202E7</v>
      </c>
      <c r="BO42" s="1" t="s">
        <v>74</v>
      </c>
      <c r="BP42" s="1" t="s">
        <v>74</v>
      </c>
      <c r="BQ42" s="1" t="s">
        <v>74</v>
      </c>
      <c r="BR42" s="1" t="s">
        <v>74</v>
      </c>
      <c r="BS42" s="1" t="s">
        <v>519</v>
      </c>
      <c r="BT42" s="1" t="str">
        <f>HYPERLINK("https%3A%2F%2Fwww.webofscience.com%2Fwos%2Fwoscc%2Ffull-record%2FWOS:000266620300001","View Full Record in Web of Science")</f>
        <v>View Full Record in Web of Science</v>
      </c>
    </row>
    <row r="43" ht="12.75" customHeight="1">
      <c r="A43" s="1" t="s">
        <v>72</v>
      </c>
      <c r="B43" s="1" t="s">
        <v>520</v>
      </c>
      <c r="C43" s="1" t="s">
        <v>74</v>
      </c>
      <c r="D43" s="1" t="s">
        <v>74</v>
      </c>
      <c r="E43" s="1" t="s">
        <v>74</v>
      </c>
      <c r="F43" s="1" t="s">
        <v>520</v>
      </c>
      <c r="G43" s="1" t="s">
        <v>74</v>
      </c>
      <c r="H43" s="1" t="s">
        <v>74</v>
      </c>
      <c r="I43" s="1" t="s">
        <v>521</v>
      </c>
      <c r="J43" s="1" t="s">
        <v>522</v>
      </c>
      <c r="K43" s="1" t="s">
        <v>74</v>
      </c>
      <c r="L43" s="1" t="s">
        <v>74</v>
      </c>
      <c r="M43" s="1" t="s">
        <v>74</v>
      </c>
      <c r="N43" s="1" t="s">
        <v>74</v>
      </c>
      <c r="O43" s="1" t="s">
        <v>74</v>
      </c>
      <c r="P43" s="1" t="s">
        <v>74</v>
      </c>
      <c r="Q43" s="1" t="s">
        <v>74</v>
      </c>
      <c r="R43" s="1" t="s">
        <v>74</v>
      </c>
      <c r="S43" s="1" t="s">
        <v>74</v>
      </c>
      <c r="T43" s="1" t="s">
        <v>74</v>
      </c>
      <c r="U43" s="1" t="s">
        <v>74</v>
      </c>
      <c r="V43" s="1" t="s">
        <v>523</v>
      </c>
      <c r="W43" s="1" t="s">
        <v>74</v>
      </c>
      <c r="X43" s="1" t="s">
        <v>74</v>
      </c>
      <c r="Y43" s="1" t="s">
        <v>74</v>
      </c>
      <c r="Z43" s="1" t="s">
        <v>74</v>
      </c>
      <c r="AA43" s="1" t="s">
        <v>524</v>
      </c>
      <c r="AB43" s="1" t="s">
        <v>525</v>
      </c>
      <c r="AC43" s="1" t="s">
        <v>74</v>
      </c>
      <c r="AD43" s="1" t="s">
        <v>74</v>
      </c>
      <c r="AE43" s="1" t="s">
        <v>74</v>
      </c>
      <c r="AF43" s="1" t="s">
        <v>74</v>
      </c>
      <c r="AG43" s="1" t="s">
        <v>74</v>
      </c>
      <c r="AH43" s="1" t="s">
        <v>74</v>
      </c>
      <c r="AI43" s="1" t="s">
        <v>74</v>
      </c>
      <c r="AJ43" s="1" t="s">
        <v>74</v>
      </c>
      <c r="AK43" s="1" t="s">
        <v>74</v>
      </c>
      <c r="AL43" s="1" t="s">
        <v>74</v>
      </c>
      <c r="AM43" s="1" t="s">
        <v>74</v>
      </c>
      <c r="AN43" s="1" t="s">
        <v>74</v>
      </c>
      <c r="AO43" s="1" t="s">
        <v>526</v>
      </c>
      <c r="AP43" s="1" t="s">
        <v>527</v>
      </c>
      <c r="AQ43" s="1" t="s">
        <v>74</v>
      </c>
      <c r="AR43" s="1" t="s">
        <v>74</v>
      </c>
      <c r="AS43" s="1" t="s">
        <v>74</v>
      </c>
      <c r="AT43" s="1" t="s">
        <v>353</v>
      </c>
      <c r="AU43" s="1">
        <v>2004.0</v>
      </c>
      <c r="AV43" s="1">
        <v>15.0</v>
      </c>
      <c r="AW43" s="1">
        <v>2.0</v>
      </c>
      <c r="AX43" s="1" t="s">
        <v>74</v>
      </c>
      <c r="AY43" s="1" t="s">
        <v>74</v>
      </c>
      <c r="AZ43" s="1" t="s">
        <v>74</v>
      </c>
      <c r="BA43" s="1" t="s">
        <v>74</v>
      </c>
      <c r="BB43" s="1">
        <v>117.0</v>
      </c>
      <c r="BC43" s="1">
        <v>126.0</v>
      </c>
      <c r="BD43" s="1" t="s">
        <v>74</v>
      </c>
      <c r="BE43" s="1" t="s">
        <v>528</v>
      </c>
      <c r="BF43" s="2" t="str">
        <f>HYPERLINK("http://dx.doi.org/10.1140/epje/i2004-10041-1","http://dx.doi.org/10.1140/epje/i2004-10041-1")</f>
        <v>http://dx.doi.org/10.1140/epje/i2004-10041-1</v>
      </c>
      <c r="BG43" s="1" t="s">
        <v>74</v>
      </c>
      <c r="BH43" s="1" t="s">
        <v>74</v>
      </c>
      <c r="BI43" s="1" t="s">
        <v>74</v>
      </c>
      <c r="BJ43" s="1" t="s">
        <v>74</v>
      </c>
      <c r="BK43" s="1" t="s">
        <v>74</v>
      </c>
      <c r="BL43" s="1" t="s">
        <v>74</v>
      </c>
      <c r="BM43" s="1" t="s">
        <v>74</v>
      </c>
      <c r="BN43" s="1">
        <v>1.550325E7</v>
      </c>
      <c r="BO43" s="1" t="s">
        <v>74</v>
      </c>
      <c r="BP43" s="1" t="s">
        <v>74</v>
      </c>
      <c r="BQ43" s="1" t="s">
        <v>74</v>
      </c>
      <c r="BR43" s="1" t="s">
        <v>74</v>
      </c>
      <c r="BS43" s="1" t="s">
        <v>529</v>
      </c>
      <c r="BT43" s="1" t="str">
        <f>HYPERLINK("https%3A%2F%2Fwww.webofscience.com%2Fwos%2Fwoscc%2Ffull-record%2FWOS:000225054500002","View Full Record in Web of Science")</f>
        <v>View Full Record in Web of Science</v>
      </c>
    </row>
    <row r="44" ht="12.75" customHeight="1">
      <c r="A44" s="1" t="s">
        <v>72</v>
      </c>
      <c r="B44" s="1" t="s">
        <v>530</v>
      </c>
      <c r="C44" s="1" t="s">
        <v>74</v>
      </c>
      <c r="D44" s="1" t="s">
        <v>74</v>
      </c>
      <c r="E44" s="1" t="s">
        <v>74</v>
      </c>
      <c r="F44" s="1" t="s">
        <v>530</v>
      </c>
      <c r="G44" s="1" t="s">
        <v>74</v>
      </c>
      <c r="H44" s="1" t="s">
        <v>74</v>
      </c>
      <c r="I44" s="1" t="s">
        <v>531</v>
      </c>
      <c r="J44" s="1" t="s">
        <v>280</v>
      </c>
      <c r="K44" s="1" t="s">
        <v>74</v>
      </c>
      <c r="L44" s="1" t="s">
        <v>74</v>
      </c>
      <c r="M44" s="1" t="s">
        <v>74</v>
      </c>
      <c r="N44" s="1" t="s">
        <v>74</v>
      </c>
      <c r="O44" s="1" t="s">
        <v>74</v>
      </c>
      <c r="P44" s="1" t="s">
        <v>74</v>
      </c>
      <c r="Q44" s="1" t="s">
        <v>74</v>
      </c>
      <c r="R44" s="1" t="s">
        <v>74</v>
      </c>
      <c r="S44" s="1" t="s">
        <v>74</v>
      </c>
      <c r="T44" s="1" t="s">
        <v>74</v>
      </c>
      <c r="U44" s="1" t="s">
        <v>74</v>
      </c>
      <c r="V44" s="1" t="s">
        <v>532</v>
      </c>
      <c r="W44" s="1" t="s">
        <v>74</v>
      </c>
      <c r="X44" s="1" t="s">
        <v>74</v>
      </c>
      <c r="Y44" s="1" t="s">
        <v>74</v>
      </c>
      <c r="Z44" s="1" t="s">
        <v>74</v>
      </c>
      <c r="AA44" s="1" t="s">
        <v>74</v>
      </c>
      <c r="AB44" s="1" t="s">
        <v>74</v>
      </c>
      <c r="AC44" s="1" t="s">
        <v>74</v>
      </c>
      <c r="AD44" s="1" t="s">
        <v>74</v>
      </c>
      <c r="AE44" s="1" t="s">
        <v>74</v>
      </c>
      <c r="AF44" s="1" t="s">
        <v>74</v>
      </c>
      <c r="AG44" s="1" t="s">
        <v>74</v>
      </c>
      <c r="AH44" s="1" t="s">
        <v>74</v>
      </c>
      <c r="AI44" s="1" t="s">
        <v>74</v>
      </c>
      <c r="AJ44" s="1" t="s">
        <v>74</v>
      </c>
      <c r="AK44" s="1" t="s">
        <v>74</v>
      </c>
      <c r="AL44" s="1" t="s">
        <v>74</v>
      </c>
      <c r="AM44" s="1" t="s">
        <v>74</v>
      </c>
      <c r="AN44" s="1" t="s">
        <v>74</v>
      </c>
      <c r="AO44" s="1" t="s">
        <v>533</v>
      </c>
      <c r="AP44" s="1" t="s">
        <v>74</v>
      </c>
      <c r="AQ44" s="1" t="s">
        <v>74</v>
      </c>
      <c r="AR44" s="1" t="s">
        <v>74</v>
      </c>
      <c r="AS44" s="1" t="s">
        <v>74</v>
      </c>
      <c r="AT44" s="1" t="s">
        <v>106</v>
      </c>
      <c r="AU44" s="1">
        <v>2004.0</v>
      </c>
      <c r="AV44" s="1">
        <v>49.0</v>
      </c>
      <c r="AW44" s="1">
        <v>3.0</v>
      </c>
      <c r="AX44" s="1" t="s">
        <v>74</v>
      </c>
      <c r="AY44" s="1" t="s">
        <v>74</v>
      </c>
      <c r="AZ44" s="1" t="s">
        <v>74</v>
      </c>
      <c r="BA44" s="1" t="s">
        <v>74</v>
      </c>
      <c r="BB44" s="1">
        <v>215.0</v>
      </c>
      <c r="BC44" s="1">
        <v>217.0</v>
      </c>
      <c r="BD44" s="1" t="s">
        <v>74</v>
      </c>
      <c r="BE44" s="1" t="s">
        <v>74</v>
      </c>
      <c r="BF44" s="1" t="s">
        <v>74</v>
      </c>
      <c r="BG44" s="1" t="s">
        <v>74</v>
      </c>
      <c r="BH44" s="1" t="s">
        <v>74</v>
      </c>
      <c r="BI44" s="1" t="s">
        <v>74</v>
      </c>
      <c r="BJ44" s="1" t="s">
        <v>74</v>
      </c>
      <c r="BK44" s="1" t="s">
        <v>74</v>
      </c>
      <c r="BL44" s="1" t="s">
        <v>74</v>
      </c>
      <c r="BM44" s="1" t="s">
        <v>74</v>
      </c>
      <c r="BN44" s="1" t="s">
        <v>74</v>
      </c>
      <c r="BO44" s="1" t="s">
        <v>74</v>
      </c>
      <c r="BP44" s="1" t="s">
        <v>74</v>
      </c>
      <c r="BQ44" s="1" t="s">
        <v>74</v>
      </c>
      <c r="BR44" s="1" t="s">
        <v>74</v>
      </c>
      <c r="BS44" s="1" t="s">
        <v>534</v>
      </c>
      <c r="BT44" s="1" t="str">
        <f>HYPERLINK("https%3A%2F%2Fwww.webofscience.com%2Fwos%2Fwoscc%2Ffull-record%2FWOS:000223792700004","View Full Record in Web of Science")</f>
        <v>View Full Record in Web of Science</v>
      </c>
    </row>
    <row r="45" ht="12.75" customHeight="1">
      <c r="A45" s="1" t="s">
        <v>72</v>
      </c>
      <c r="B45" s="1" t="s">
        <v>535</v>
      </c>
      <c r="C45" s="1" t="s">
        <v>74</v>
      </c>
      <c r="D45" s="1" t="s">
        <v>74</v>
      </c>
      <c r="E45" s="1" t="s">
        <v>74</v>
      </c>
      <c r="F45" s="1" t="s">
        <v>535</v>
      </c>
      <c r="G45" s="1" t="s">
        <v>74</v>
      </c>
      <c r="H45" s="1" t="s">
        <v>74</v>
      </c>
      <c r="I45" s="1" t="s">
        <v>536</v>
      </c>
      <c r="J45" s="1" t="s">
        <v>112</v>
      </c>
      <c r="K45" s="1" t="s">
        <v>74</v>
      </c>
      <c r="L45" s="1" t="s">
        <v>74</v>
      </c>
      <c r="M45" s="1" t="s">
        <v>74</v>
      </c>
      <c r="N45" s="1" t="s">
        <v>74</v>
      </c>
      <c r="O45" s="1" t="s">
        <v>74</v>
      </c>
      <c r="P45" s="1" t="s">
        <v>74</v>
      </c>
      <c r="Q45" s="1" t="s">
        <v>74</v>
      </c>
      <c r="R45" s="1" t="s">
        <v>74</v>
      </c>
      <c r="S45" s="1" t="s">
        <v>74</v>
      </c>
      <c r="T45" s="1" t="s">
        <v>74</v>
      </c>
      <c r="U45" s="1" t="s">
        <v>74</v>
      </c>
      <c r="V45" s="1" t="s">
        <v>537</v>
      </c>
      <c r="W45" s="1" t="s">
        <v>74</v>
      </c>
      <c r="X45" s="1" t="s">
        <v>74</v>
      </c>
      <c r="Y45" s="1" t="s">
        <v>74</v>
      </c>
      <c r="Z45" s="1" t="s">
        <v>74</v>
      </c>
      <c r="AA45" s="1" t="s">
        <v>538</v>
      </c>
      <c r="AB45" s="1" t="s">
        <v>74</v>
      </c>
      <c r="AC45" s="1" t="s">
        <v>74</v>
      </c>
      <c r="AD45" s="1" t="s">
        <v>74</v>
      </c>
      <c r="AE45" s="1" t="s">
        <v>74</v>
      </c>
      <c r="AF45" s="1" t="s">
        <v>74</v>
      </c>
      <c r="AG45" s="1" t="s">
        <v>74</v>
      </c>
      <c r="AH45" s="1" t="s">
        <v>74</v>
      </c>
      <c r="AI45" s="1" t="s">
        <v>74</v>
      </c>
      <c r="AJ45" s="1" t="s">
        <v>74</v>
      </c>
      <c r="AK45" s="1" t="s">
        <v>74</v>
      </c>
      <c r="AL45" s="1" t="s">
        <v>74</v>
      </c>
      <c r="AM45" s="1" t="s">
        <v>74</v>
      </c>
      <c r="AN45" s="1" t="s">
        <v>74</v>
      </c>
      <c r="AO45" s="1" t="s">
        <v>115</v>
      </c>
      <c r="AP45" s="1" t="s">
        <v>74</v>
      </c>
      <c r="AQ45" s="1" t="s">
        <v>74</v>
      </c>
      <c r="AR45" s="1" t="s">
        <v>74</v>
      </c>
      <c r="AS45" s="1" t="s">
        <v>74</v>
      </c>
      <c r="AT45" s="1" t="s">
        <v>82</v>
      </c>
      <c r="AU45" s="1">
        <v>2003.0</v>
      </c>
      <c r="AV45" s="1">
        <v>131.0</v>
      </c>
      <c r="AW45" s="1">
        <v>6.0</v>
      </c>
      <c r="AX45" s="1" t="s">
        <v>74</v>
      </c>
      <c r="AY45" s="1" t="s">
        <v>74</v>
      </c>
      <c r="AZ45" s="1" t="s">
        <v>74</v>
      </c>
      <c r="BA45" s="1" t="s">
        <v>74</v>
      </c>
      <c r="BB45" s="1">
        <v>623.0</v>
      </c>
      <c r="BC45" s="1">
        <v>631.0</v>
      </c>
      <c r="BD45" s="1" t="s">
        <v>74</v>
      </c>
      <c r="BE45" s="1" t="s">
        <v>74</v>
      </c>
      <c r="BF45" s="1" t="s">
        <v>74</v>
      </c>
      <c r="BG45" s="1" t="s">
        <v>74</v>
      </c>
      <c r="BH45" s="1" t="s">
        <v>74</v>
      </c>
      <c r="BI45" s="1" t="s">
        <v>74</v>
      </c>
      <c r="BJ45" s="1" t="s">
        <v>74</v>
      </c>
      <c r="BK45" s="1" t="s">
        <v>74</v>
      </c>
      <c r="BL45" s="1" t="s">
        <v>74</v>
      </c>
      <c r="BM45" s="1" t="s">
        <v>74</v>
      </c>
      <c r="BN45" s="1">
        <v>1.294259E7</v>
      </c>
      <c r="BO45" s="1" t="s">
        <v>74</v>
      </c>
      <c r="BP45" s="1" t="s">
        <v>74</v>
      </c>
      <c r="BQ45" s="1" t="s">
        <v>74</v>
      </c>
      <c r="BR45" s="1" t="s">
        <v>74</v>
      </c>
      <c r="BS45" s="1" t="s">
        <v>539</v>
      </c>
      <c r="BT45" s="1" t="str">
        <f>HYPERLINK("https%3A%2F%2Fwww.webofscience.com%2Fwos%2Fwoscc%2Ffull-record%2FWOS:000184666700006","View Full Record in Web of Science")</f>
        <v>View Full Record in Web of Science</v>
      </c>
    </row>
    <row r="46" ht="12.75" customHeight="1">
      <c r="A46" s="1" t="s">
        <v>72</v>
      </c>
      <c r="B46" s="1" t="s">
        <v>540</v>
      </c>
      <c r="C46" s="1" t="s">
        <v>74</v>
      </c>
      <c r="D46" s="1" t="s">
        <v>74</v>
      </c>
      <c r="E46" s="1" t="s">
        <v>74</v>
      </c>
      <c r="F46" s="1" t="s">
        <v>540</v>
      </c>
      <c r="G46" s="1" t="s">
        <v>74</v>
      </c>
      <c r="H46" s="1" t="s">
        <v>74</v>
      </c>
      <c r="I46" s="1" t="s">
        <v>541</v>
      </c>
      <c r="J46" s="1" t="s">
        <v>542</v>
      </c>
      <c r="K46" s="1" t="s">
        <v>74</v>
      </c>
      <c r="L46" s="1" t="s">
        <v>74</v>
      </c>
      <c r="M46" s="1" t="s">
        <v>74</v>
      </c>
      <c r="N46" s="1" t="s">
        <v>74</v>
      </c>
      <c r="O46" s="1" t="s">
        <v>74</v>
      </c>
      <c r="P46" s="1" t="s">
        <v>74</v>
      </c>
      <c r="Q46" s="1" t="s">
        <v>74</v>
      </c>
      <c r="R46" s="1" t="s">
        <v>74</v>
      </c>
      <c r="S46" s="1" t="s">
        <v>74</v>
      </c>
      <c r="T46" s="1" t="s">
        <v>74</v>
      </c>
      <c r="U46" s="1" t="s">
        <v>74</v>
      </c>
      <c r="V46" s="1" t="s">
        <v>543</v>
      </c>
      <c r="W46" s="1" t="s">
        <v>74</v>
      </c>
      <c r="X46" s="1" t="s">
        <v>74</v>
      </c>
      <c r="Y46" s="1" t="s">
        <v>74</v>
      </c>
      <c r="Z46" s="1" t="s">
        <v>74</v>
      </c>
      <c r="AA46" s="1" t="s">
        <v>544</v>
      </c>
      <c r="AB46" s="1" t="s">
        <v>545</v>
      </c>
      <c r="AC46" s="1" t="s">
        <v>74</v>
      </c>
      <c r="AD46" s="1" t="s">
        <v>74</v>
      </c>
      <c r="AE46" s="1" t="s">
        <v>74</v>
      </c>
      <c r="AF46" s="1" t="s">
        <v>74</v>
      </c>
      <c r="AG46" s="1" t="s">
        <v>74</v>
      </c>
      <c r="AH46" s="1" t="s">
        <v>74</v>
      </c>
      <c r="AI46" s="1" t="s">
        <v>74</v>
      </c>
      <c r="AJ46" s="1" t="s">
        <v>74</v>
      </c>
      <c r="AK46" s="1" t="s">
        <v>74</v>
      </c>
      <c r="AL46" s="1" t="s">
        <v>74</v>
      </c>
      <c r="AM46" s="1" t="s">
        <v>74</v>
      </c>
      <c r="AN46" s="1" t="s">
        <v>74</v>
      </c>
      <c r="AO46" s="1" t="s">
        <v>546</v>
      </c>
      <c r="AP46" s="1" t="s">
        <v>74</v>
      </c>
      <c r="AQ46" s="1" t="s">
        <v>74</v>
      </c>
      <c r="AR46" s="1" t="s">
        <v>74</v>
      </c>
      <c r="AS46" s="1" t="s">
        <v>74</v>
      </c>
      <c r="AT46" s="1" t="s">
        <v>74</v>
      </c>
      <c r="AU46" s="1">
        <v>1992.0</v>
      </c>
      <c r="AV46" s="1">
        <v>17.0</v>
      </c>
      <c r="AW46" s="1">
        <v>5.0</v>
      </c>
      <c r="AX46" s="1" t="s">
        <v>74</v>
      </c>
      <c r="AY46" s="1" t="s">
        <v>74</v>
      </c>
      <c r="AZ46" s="1" t="s">
        <v>74</v>
      </c>
      <c r="BA46" s="1" t="s">
        <v>74</v>
      </c>
      <c r="BB46" s="1">
        <v>299.0</v>
      </c>
      <c r="BC46" s="1">
        <v>311.0</v>
      </c>
      <c r="BD46" s="1" t="s">
        <v>74</v>
      </c>
      <c r="BE46" s="1" t="s">
        <v>547</v>
      </c>
      <c r="BF46" s="2" t="str">
        <f>HYPERLINK("http://dx.doi.org/10.3109/10715769209079523","http://dx.doi.org/10.3109/10715769209079523")</f>
        <v>http://dx.doi.org/10.3109/10715769209079523</v>
      </c>
      <c r="BG46" s="1" t="s">
        <v>74</v>
      </c>
      <c r="BH46" s="1" t="s">
        <v>74</v>
      </c>
      <c r="BI46" s="1" t="s">
        <v>74</v>
      </c>
      <c r="BJ46" s="1" t="s">
        <v>74</v>
      </c>
      <c r="BK46" s="1" t="s">
        <v>74</v>
      </c>
      <c r="BL46" s="1" t="s">
        <v>74</v>
      </c>
      <c r="BM46" s="1" t="s">
        <v>74</v>
      </c>
      <c r="BN46" s="1">
        <v>1483581.0</v>
      </c>
      <c r="BO46" s="1" t="s">
        <v>74</v>
      </c>
      <c r="BP46" s="1" t="s">
        <v>74</v>
      </c>
      <c r="BQ46" s="1" t="s">
        <v>74</v>
      </c>
      <c r="BR46" s="1" t="s">
        <v>74</v>
      </c>
      <c r="BS46" s="1" t="s">
        <v>548</v>
      </c>
      <c r="BT46" s="1" t="str">
        <f>HYPERLINK("https%3A%2F%2Fwww.webofscience.com%2Fwos%2Fwoscc%2Ffull-record%2FWOS:A1992KD03400002","View Full Record in Web of Science")</f>
        <v>View Full Record in Web of Science</v>
      </c>
    </row>
    <row r="47" ht="12.75" customHeight="1">
      <c r="A47" s="1" t="s">
        <v>72</v>
      </c>
      <c r="B47" s="1" t="s">
        <v>549</v>
      </c>
      <c r="C47" s="1" t="s">
        <v>74</v>
      </c>
      <c r="D47" s="1" t="s">
        <v>74</v>
      </c>
      <c r="E47" s="1" t="s">
        <v>74</v>
      </c>
      <c r="F47" s="1" t="s">
        <v>550</v>
      </c>
      <c r="G47" s="1" t="s">
        <v>74</v>
      </c>
      <c r="H47" s="1" t="s">
        <v>74</v>
      </c>
      <c r="I47" s="1" t="s">
        <v>551</v>
      </c>
      <c r="J47" s="1" t="s">
        <v>552</v>
      </c>
      <c r="K47" s="1" t="s">
        <v>74</v>
      </c>
      <c r="L47" s="1" t="s">
        <v>74</v>
      </c>
      <c r="M47" s="1" t="s">
        <v>74</v>
      </c>
      <c r="N47" s="1" t="s">
        <v>74</v>
      </c>
      <c r="O47" s="1" t="s">
        <v>74</v>
      </c>
      <c r="P47" s="1" t="s">
        <v>74</v>
      </c>
      <c r="Q47" s="1" t="s">
        <v>74</v>
      </c>
      <c r="R47" s="1" t="s">
        <v>74</v>
      </c>
      <c r="S47" s="1" t="s">
        <v>74</v>
      </c>
      <c r="T47" s="1" t="s">
        <v>74</v>
      </c>
      <c r="U47" s="1" t="s">
        <v>74</v>
      </c>
      <c r="V47" s="1" t="s">
        <v>553</v>
      </c>
      <c r="W47" s="1" t="s">
        <v>74</v>
      </c>
      <c r="X47" s="1" t="s">
        <v>74</v>
      </c>
      <c r="Y47" s="1" t="s">
        <v>74</v>
      </c>
      <c r="Z47" s="1" t="s">
        <v>74</v>
      </c>
      <c r="AA47" s="1" t="s">
        <v>554</v>
      </c>
      <c r="AB47" s="1" t="s">
        <v>555</v>
      </c>
      <c r="AC47" s="1" t="s">
        <v>74</v>
      </c>
      <c r="AD47" s="1" t="s">
        <v>74</v>
      </c>
      <c r="AE47" s="1" t="s">
        <v>74</v>
      </c>
      <c r="AF47" s="1" t="s">
        <v>74</v>
      </c>
      <c r="AG47" s="1" t="s">
        <v>74</v>
      </c>
      <c r="AH47" s="1" t="s">
        <v>74</v>
      </c>
      <c r="AI47" s="1" t="s">
        <v>74</v>
      </c>
      <c r="AJ47" s="1" t="s">
        <v>74</v>
      </c>
      <c r="AK47" s="1" t="s">
        <v>74</v>
      </c>
      <c r="AL47" s="1" t="s">
        <v>74</v>
      </c>
      <c r="AM47" s="1" t="s">
        <v>74</v>
      </c>
      <c r="AN47" s="1" t="s">
        <v>74</v>
      </c>
      <c r="AO47" s="1" t="s">
        <v>74</v>
      </c>
      <c r="AP47" s="1" t="s">
        <v>556</v>
      </c>
      <c r="AQ47" s="1" t="s">
        <v>74</v>
      </c>
      <c r="AR47" s="1" t="s">
        <v>74</v>
      </c>
      <c r="AS47" s="1" t="s">
        <v>74</v>
      </c>
      <c r="AT47" s="1" t="s">
        <v>82</v>
      </c>
      <c r="AU47" s="1">
        <v>2024.0</v>
      </c>
      <c r="AV47" s="1">
        <v>14.0</v>
      </c>
      <c r="AW47" s="1">
        <v>6.0</v>
      </c>
      <c r="AX47" s="1" t="s">
        <v>74</v>
      </c>
      <c r="AY47" s="1" t="s">
        <v>74</v>
      </c>
      <c r="AZ47" s="1" t="s">
        <v>74</v>
      </c>
      <c r="BA47" s="1" t="s">
        <v>74</v>
      </c>
      <c r="BB47" s="1" t="s">
        <v>74</v>
      </c>
      <c r="BC47" s="1" t="s">
        <v>74</v>
      </c>
      <c r="BD47" s="1">
        <v>696.0</v>
      </c>
      <c r="BE47" s="1" t="s">
        <v>557</v>
      </c>
      <c r="BF47" s="2" t="str">
        <f>HYPERLINK("http://dx.doi.org/10.3390/met14060696","http://dx.doi.org/10.3390/met14060696")</f>
        <v>http://dx.doi.org/10.3390/met14060696</v>
      </c>
      <c r="BG47" s="1" t="s">
        <v>74</v>
      </c>
      <c r="BH47" s="1" t="s">
        <v>74</v>
      </c>
      <c r="BI47" s="1" t="s">
        <v>74</v>
      </c>
      <c r="BJ47" s="1" t="s">
        <v>74</v>
      </c>
      <c r="BK47" s="1" t="s">
        <v>74</v>
      </c>
      <c r="BL47" s="1" t="s">
        <v>74</v>
      </c>
      <c r="BM47" s="1" t="s">
        <v>74</v>
      </c>
      <c r="BN47" s="1" t="s">
        <v>74</v>
      </c>
      <c r="BO47" s="1" t="s">
        <v>74</v>
      </c>
      <c r="BP47" s="1" t="s">
        <v>74</v>
      </c>
      <c r="BQ47" s="1" t="s">
        <v>74</v>
      </c>
      <c r="BR47" s="1" t="s">
        <v>74</v>
      </c>
      <c r="BS47" s="1" t="s">
        <v>558</v>
      </c>
      <c r="BT47" s="1" t="str">
        <f>HYPERLINK("https%3A%2F%2Fwww.webofscience.com%2Fwos%2Fwoscc%2Ffull-record%2FWOS:001256525600001","View Full Record in Web of Science")</f>
        <v>View Full Record in Web of Science</v>
      </c>
    </row>
    <row r="48" ht="12.75" customHeight="1">
      <c r="A48" s="1" t="s">
        <v>72</v>
      </c>
      <c r="B48" s="1" t="s">
        <v>559</v>
      </c>
      <c r="C48" s="1" t="s">
        <v>74</v>
      </c>
      <c r="D48" s="1" t="s">
        <v>74</v>
      </c>
      <c r="E48" s="1" t="s">
        <v>74</v>
      </c>
      <c r="F48" s="1" t="s">
        <v>560</v>
      </c>
      <c r="G48" s="1" t="s">
        <v>74</v>
      </c>
      <c r="H48" s="1" t="s">
        <v>74</v>
      </c>
      <c r="I48" s="1" t="s">
        <v>561</v>
      </c>
      <c r="J48" s="1" t="s">
        <v>562</v>
      </c>
      <c r="K48" s="1" t="s">
        <v>74</v>
      </c>
      <c r="L48" s="1" t="s">
        <v>74</v>
      </c>
      <c r="M48" s="1" t="s">
        <v>74</v>
      </c>
      <c r="N48" s="1" t="s">
        <v>74</v>
      </c>
      <c r="O48" s="1" t="s">
        <v>74</v>
      </c>
      <c r="P48" s="1" t="s">
        <v>74</v>
      </c>
      <c r="Q48" s="1" t="s">
        <v>74</v>
      </c>
      <c r="R48" s="1" t="s">
        <v>74</v>
      </c>
      <c r="S48" s="1" t="s">
        <v>74</v>
      </c>
      <c r="T48" s="1" t="s">
        <v>74</v>
      </c>
      <c r="U48" s="1" t="s">
        <v>74</v>
      </c>
      <c r="V48" s="1" t="s">
        <v>563</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564</v>
      </c>
      <c r="AP48" s="1" t="s">
        <v>74</v>
      </c>
      <c r="AQ48" s="1" t="s">
        <v>74</v>
      </c>
      <c r="AR48" s="1" t="s">
        <v>74</v>
      </c>
      <c r="AS48" s="1" t="s">
        <v>74</v>
      </c>
      <c r="AT48" s="1" t="s">
        <v>565</v>
      </c>
      <c r="AU48" s="1">
        <v>2020.0</v>
      </c>
      <c r="AV48" s="1">
        <v>148.0</v>
      </c>
      <c r="AW48" s="1" t="s">
        <v>74</v>
      </c>
      <c r="AX48" s="1" t="s">
        <v>74</v>
      </c>
      <c r="AY48" s="1" t="s">
        <v>74</v>
      </c>
      <c r="AZ48" s="1" t="s">
        <v>74</v>
      </c>
      <c r="BA48" s="1" t="s">
        <v>74</v>
      </c>
      <c r="BB48" s="1" t="s">
        <v>74</v>
      </c>
      <c r="BC48" s="1" t="s">
        <v>74</v>
      </c>
      <c r="BD48" s="1">
        <v>106177.0</v>
      </c>
      <c r="BE48" s="1" t="s">
        <v>566</v>
      </c>
      <c r="BF48" s="2" t="str">
        <f>HYPERLINK("http://dx.doi.org/10.1016/j.mineng.2019.106177","http://dx.doi.org/10.1016/j.mineng.2019.106177")</f>
        <v>http://dx.doi.org/10.1016/j.mineng.2019.106177</v>
      </c>
      <c r="BG48" s="1" t="s">
        <v>74</v>
      </c>
      <c r="BH48" s="1" t="s">
        <v>74</v>
      </c>
      <c r="BI48" s="1" t="s">
        <v>74</v>
      </c>
      <c r="BJ48" s="1" t="s">
        <v>74</v>
      </c>
      <c r="BK48" s="1" t="s">
        <v>74</v>
      </c>
      <c r="BL48" s="1" t="s">
        <v>74</v>
      </c>
      <c r="BM48" s="1" t="s">
        <v>74</v>
      </c>
      <c r="BN48" s="1" t="s">
        <v>74</v>
      </c>
      <c r="BO48" s="1" t="s">
        <v>74</v>
      </c>
      <c r="BP48" s="1" t="s">
        <v>74</v>
      </c>
      <c r="BQ48" s="1" t="s">
        <v>74</v>
      </c>
      <c r="BR48" s="1" t="s">
        <v>74</v>
      </c>
      <c r="BS48" s="1" t="s">
        <v>567</v>
      </c>
      <c r="BT48" s="1" t="str">
        <f>HYPERLINK("https%3A%2F%2Fwww.webofscience.com%2Fwos%2Fwoscc%2Ffull-record%2FWOS:000517854300007","View Full Record in Web of Science")</f>
        <v>View Full Record in Web of Science</v>
      </c>
    </row>
    <row r="49" ht="12.75" customHeight="1">
      <c r="A49" s="1" t="s">
        <v>72</v>
      </c>
      <c r="B49" s="1" t="s">
        <v>568</v>
      </c>
      <c r="C49" s="1" t="s">
        <v>74</v>
      </c>
      <c r="D49" s="1" t="s">
        <v>74</v>
      </c>
      <c r="E49" s="1" t="s">
        <v>74</v>
      </c>
      <c r="F49" s="1" t="s">
        <v>569</v>
      </c>
      <c r="G49" s="1" t="s">
        <v>74</v>
      </c>
      <c r="H49" s="1" t="s">
        <v>74</v>
      </c>
      <c r="I49" s="1" t="s">
        <v>570</v>
      </c>
      <c r="J49" s="1" t="s">
        <v>268</v>
      </c>
      <c r="K49" s="1" t="s">
        <v>74</v>
      </c>
      <c r="L49" s="1" t="s">
        <v>74</v>
      </c>
      <c r="M49" s="1" t="s">
        <v>74</v>
      </c>
      <c r="N49" s="1" t="s">
        <v>74</v>
      </c>
      <c r="O49" s="1" t="s">
        <v>74</v>
      </c>
      <c r="P49" s="1" t="s">
        <v>74</v>
      </c>
      <c r="Q49" s="1" t="s">
        <v>74</v>
      </c>
      <c r="R49" s="1" t="s">
        <v>74</v>
      </c>
      <c r="S49" s="1" t="s">
        <v>74</v>
      </c>
      <c r="T49" s="1" t="s">
        <v>74</v>
      </c>
      <c r="U49" s="1" t="s">
        <v>74</v>
      </c>
      <c r="V49" s="1" t="s">
        <v>571</v>
      </c>
      <c r="W49" s="1" t="s">
        <v>74</v>
      </c>
      <c r="X49" s="1" t="s">
        <v>74</v>
      </c>
      <c r="Y49" s="1" t="s">
        <v>74</v>
      </c>
      <c r="Z49" s="1" t="s">
        <v>74</v>
      </c>
      <c r="AA49" s="1" t="s">
        <v>572</v>
      </c>
      <c r="AB49" s="1" t="s">
        <v>573</v>
      </c>
      <c r="AC49" s="1" t="s">
        <v>74</v>
      </c>
      <c r="AD49" s="1" t="s">
        <v>74</v>
      </c>
      <c r="AE49" s="1" t="s">
        <v>74</v>
      </c>
      <c r="AF49" s="1" t="s">
        <v>74</v>
      </c>
      <c r="AG49" s="1" t="s">
        <v>74</v>
      </c>
      <c r="AH49" s="1" t="s">
        <v>74</v>
      </c>
      <c r="AI49" s="1" t="s">
        <v>74</v>
      </c>
      <c r="AJ49" s="1" t="s">
        <v>74</v>
      </c>
      <c r="AK49" s="1" t="s">
        <v>74</v>
      </c>
      <c r="AL49" s="1" t="s">
        <v>74</v>
      </c>
      <c r="AM49" s="1" t="s">
        <v>74</v>
      </c>
      <c r="AN49" s="1" t="s">
        <v>74</v>
      </c>
      <c r="AO49" s="1" t="s">
        <v>272</v>
      </c>
      <c r="AP49" s="1" t="s">
        <v>273</v>
      </c>
      <c r="AQ49" s="1" t="s">
        <v>74</v>
      </c>
      <c r="AR49" s="1" t="s">
        <v>74</v>
      </c>
      <c r="AS49" s="1" t="s">
        <v>74</v>
      </c>
      <c r="AT49" s="1" t="s">
        <v>574</v>
      </c>
      <c r="AU49" s="1">
        <v>2019.0</v>
      </c>
      <c r="AV49" s="1">
        <v>475.0</v>
      </c>
      <c r="AW49" s="1" t="s">
        <v>74</v>
      </c>
      <c r="AX49" s="1" t="s">
        <v>74</v>
      </c>
      <c r="AY49" s="1" t="s">
        <v>74</v>
      </c>
      <c r="AZ49" s="1" t="s">
        <v>74</v>
      </c>
      <c r="BA49" s="1" t="s">
        <v>74</v>
      </c>
      <c r="BB49" s="1">
        <v>271.0</v>
      </c>
      <c r="BC49" s="1">
        <v>275.0</v>
      </c>
      <c r="BD49" s="1" t="s">
        <v>74</v>
      </c>
      <c r="BE49" s="1" t="s">
        <v>575</v>
      </c>
      <c r="BF49" s="2" t="str">
        <f>HYPERLINK("http://dx.doi.org/10.1016/j.jmmm.2018.11.075","http://dx.doi.org/10.1016/j.jmmm.2018.11.075")</f>
        <v>http://dx.doi.org/10.1016/j.jmmm.2018.11.075</v>
      </c>
      <c r="BG49" s="1" t="s">
        <v>74</v>
      </c>
      <c r="BH49" s="1" t="s">
        <v>74</v>
      </c>
      <c r="BI49" s="1" t="s">
        <v>74</v>
      </c>
      <c r="BJ49" s="1" t="s">
        <v>74</v>
      </c>
      <c r="BK49" s="1" t="s">
        <v>74</v>
      </c>
      <c r="BL49" s="1" t="s">
        <v>74</v>
      </c>
      <c r="BM49" s="1" t="s">
        <v>74</v>
      </c>
      <c r="BN49" s="1" t="s">
        <v>74</v>
      </c>
      <c r="BO49" s="1" t="s">
        <v>74</v>
      </c>
      <c r="BP49" s="1" t="s">
        <v>74</v>
      </c>
      <c r="BQ49" s="1" t="s">
        <v>74</v>
      </c>
      <c r="BR49" s="1" t="s">
        <v>74</v>
      </c>
      <c r="BS49" s="1" t="s">
        <v>576</v>
      </c>
      <c r="BT49" s="1" t="str">
        <f>HYPERLINK("https%3A%2F%2Fwww.webofscience.com%2Fwos%2Fwoscc%2Ffull-record%2FWOS:000458152000043","View Full Record in Web of Science")</f>
        <v>View Full Record in Web of Science</v>
      </c>
    </row>
    <row r="50" ht="12.75" customHeight="1">
      <c r="A50" s="1" t="s">
        <v>72</v>
      </c>
      <c r="B50" s="1" t="s">
        <v>577</v>
      </c>
      <c r="C50" s="1" t="s">
        <v>74</v>
      </c>
      <c r="D50" s="1" t="s">
        <v>74</v>
      </c>
      <c r="E50" s="1" t="s">
        <v>74</v>
      </c>
      <c r="F50" s="1" t="s">
        <v>578</v>
      </c>
      <c r="G50" s="1" t="s">
        <v>74</v>
      </c>
      <c r="H50" s="1" t="s">
        <v>74</v>
      </c>
      <c r="I50" s="1" t="s">
        <v>579</v>
      </c>
      <c r="J50" s="1" t="s">
        <v>580</v>
      </c>
      <c r="K50" s="1" t="s">
        <v>74</v>
      </c>
      <c r="L50" s="1" t="s">
        <v>74</v>
      </c>
      <c r="M50" s="1" t="s">
        <v>74</v>
      </c>
      <c r="N50" s="1" t="s">
        <v>74</v>
      </c>
      <c r="O50" s="1" t="s">
        <v>74</v>
      </c>
      <c r="P50" s="1" t="s">
        <v>74</v>
      </c>
      <c r="Q50" s="1" t="s">
        <v>74</v>
      </c>
      <c r="R50" s="1" t="s">
        <v>74</v>
      </c>
      <c r="S50" s="1" t="s">
        <v>74</v>
      </c>
      <c r="T50" s="1" t="s">
        <v>74</v>
      </c>
      <c r="U50" s="1" t="s">
        <v>74</v>
      </c>
      <c r="V50" s="1" t="s">
        <v>581</v>
      </c>
      <c r="W50" s="1" t="s">
        <v>74</v>
      </c>
      <c r="X50" s="1" t="s">
        <v>74</v>
      </c>
      <c r="Y50" s="1" t="s">
        <v>74</v>
      </c>
      <c r="Z50" s="1" t="s">
        <v>74</v>
      </c>
      <c r="AA50" s="1" t="s">
        <v>582</v>
      </c>
      <c r="AB50" s="1" t="s">
        <v>583</v>
      </c>
      <c r="AC50" s="1" t="s">
        <v>74</v>
      </c>
      <c r="AD50" s="1" t="s">
        <v>74</v>
      </c>
      <c r="AE50" s="1" t="s">
        <v>74</v>
      </c>
      <c r="AF50" s="1" t="s">
        <v>74</v>
      </c>
      <c r="AG50" s="1" t="s">
        <v>74</v>
      </c>
      <c r="AH50" s="1" t="s">
        <v>74</v>
      </c>
      <c r="AI50" s="1" t="s">
        <v>74</v>
      </c>
      <c r="AJ50" s="1" t="s">
        <v>74</v>
      </c>
      <c r="AK50" s="1" t="s">
        <v>74</v>
      </c>
      <c r="AL50" s="1" t="s">
        <v>74</v>
      </c>
      <c r="AM50" s="1" t="s">
        <v>74</v>
      </c>
      <c r="AN50" s="1" t="s">
        <v>74</v>
      </c>
      <c r="AO50" s="1" t="s">
        <v>584</v>
      </c>
      <c r="AP50" s="1" t="s">
        <v>585</v>
      </c>
      <c r="AQ50" s="1" t="s">
        <v>74</v>
      </c>
      <c r="AR50" s="1" t="s">
        <v>74</v>
      </c>
      <c r="AS50" s="1" t="s">
        <v>74</v>
      </c>
      <c r="AT50" s="1" t="s">
        <v>94</v>
      </c>
      <c r="AU50" s="1">
        <v>2017.0</v>
      </c>
      <c r="AV50" s="1">
        <v>34.0</v>
      </c>
      <c r="AW50" s="1">
        <v>1.0</v>
      </c>
      <c r="AX50" s="1" t="s">
        <v>74</v>
      </c>
      <c r="AY50" s="1" t="s">
        <v>74</v>
      </c>
      <c r="AZ50" s="1" t="s">
        <v>74</v>
      </c>
      <c r="BA50" s="1" t="s">
        <v>74</v>
      </c>
      <c r="BB50" s="1">
        <v>3.0</v>
      </c>
      <c r="BC50" s="1">
        <v>17.0</v>
      </c>
      <c r="BD50" s="1" t="s">
        <v>74</v>
      </c>
      <c r="BE50" s="1" t="s">
        <v>586</v>
      </c>
      <c r="BF50" s="2" t="str">
        <f>HYPERLINK("http://dx.doi.org/10.1002/yea.3210","http://dx.doi.org/10.1002/yea.3210")</f>
        <v>http://dx.doi.org/10.1002/yea.3210</v>
      </c>
      <c r="BG50" s="1" t="s">
        <v>74</v>
      </c>
      <c r="BH50" s="1" t="s">
        <v>74</v>
      </c>
      <c r="BI50" s="1" t="s">
        <v>74</v>
      </c>
      <c r="BJ50" s="1" t="s">
        <v>74</v>
      </c>
      <c r="BK50" s="1" t="s">
        <v>74</v>
      </c>
      <c r="BL50" s="1" t="s">
        <v>74</v>
      </c>
      <c r="BM50" s="1" t="s">
        <v>74</v>
      </c>
      <c r="BN50" s="1">
        <v>2.76687E7</v>
      </c>
      <c r="BO50" s="1" t="s">
        <v>74</v>
      </c>
      <c r="BP50" s="1" t="s">
        <v>74</v>
      </c>
      <c r="BQ50" s="1" t="s">
        <v>74</v>
      </c>
      <c r="BR50" s="1" t="s">
        <v>74</v>
      </c>
      <c r="BS50" s="1" t="s">
        <v>587</v>
      </c>
      <c r="BT50" s="1" t="str">
        <f>HYPERLINK("https%3A%2F%2Fwww.webofscience.com%2Fwos%2Fwoscc%2Ffull-record%2FWOS:000394278700001","View Full Record in Web of Science")</f>
        <v>View Full Record in Web of Science</v>
      </c>
    </row>
    <row r="51" ht="12.75" customHeight="1">
      <c r="A51" s="1" t="s">
        <v>72</v>
      </c>
      <c r="B51" s="1" t="s">
        <v>588</v>
      </c>
      <c r="C51" s="1" t="s">
        <v>74</v>
      </c>
      <c r="D51" s="1" t="s">
        <v>74</v>
      </c>
      <c r="E51" s="1" t="s">
        <v>74</v>
      </c>
      <c r="F51" s="1" t="s">
        <v>589</v>
      </c>
      <c r="G51" s="1" t="s">
        <v>74</v>
      </c>
      <c r="H51" s="1" t="s">
        <v>74</v>
      </c>
      <c r="I51" s="1" t="s">
        <v>590</v>
      </c>
      <c r="J51" s="1" t="s">
        <v>591</v>
      </c>
      <c r="K51" s="1" t="s">
        <v>74</v>
      </c>
      <c r="L51" s="1" t="s">
        <v>74</v>
      </c>
      <c r="M51" s="1" t="s">
        <v>74</v>
      </c>
      <c r="N51" s="1" t="s">
        <v>74</v>
      </c>
      <c r="O51" s="1" t="s">
        <v>74</v>
      </c>
      <c r="P51" s="1" t="s">
        <v>74</v>
      </c>
      <c r="Q51" s="1" t="s">
        <v>74</v>
      </c>
      <c r="R51" s="1" t="s">
        <v>74</v>
      </c>
      <c r="S51" s="1" t="s">
        <v>74</v>
      </c>
      <c r="T51" s="1" t="s">
        <v>74</v>
      </c>
      <c r="U51" s="1" t="s">
        <v>74</v>
      </c>
      <c r="V51" s="1" t="s">
        <v>592</v>
      </c>
      <c r="W51" s="1" t="s">
        <v>74</v>
      </c>
      <c r="X51" s="1" t="s">
        <v>74</v>
      </c>
      <c r="Y51" s="1" t="s">
        <v>74</v>
      </c>
      <c r="Z51" s="1" t="s">
        <v>74</v>
      </c>
      <c r="AA51" s="1" t="s">
        <v>74</v>
      </c>
      <c r="AB51" s="1" t="s">
        <v>593</v>
      </c>
      <c r="AC51" s="1" t="s">
        <v>74</v>
      </c>
      <c r="AD51" s="1" t="s">
        <v>74</v>
      </c>
      <c r="AE51" s="1" t="s">
        <v>74</v>
      </c>
      <c r="AF51" s="1" t="s">
        <v>74</v>
      </c>
      <c r="AG51" s="1" t="s">
        <v>74</v>
      </c>
      <c r="AH51" s="1" t="s">
        <v>74</v>
      </c>
      <c r="AI51" s="1" t="s">
        <v>74</v>
      </c>
      <c r="AJ51" s="1" t="s">
        <v>74</v>
      </c>
      <c r="AK51" s="1" t="s">
        <v>74</v>
      </c>
      <c r="AL51" s="1" t="s">
        <v>74</v>
      </c>
      <c r="AM51" s="1" t="s">
        <v>74</v>
      </c>
      <c r="AN51" s="1" t="s">
        <v>74</v>
      </c>
      <c r="AO51" s="1" t="s">
        <v>594</v>
      </c>
      <c r="AP51" s="1" t="s">
        <v>595</v>
      </c>
      <c r="AQ51" s="1" t="s">
        <v>74</v>
      </c>
      <c r="AR51" s="1" t="s">
        <v>74</v>
      </c>
      <c r="AS51" s="1" t="s">
        <v>74</v>
      </c>
      <c r="AT51" s="1" t="s">
        <v>183</v>
      </c>
      <c r="AU51" s="1">
        <v>2014.0</v>
      </c>
      <c r="AV51" s="1">
        <v>106.0</v>
      </c>
      <c r="AW51" s="1">
        <v>4.0</v>
      </c>
      <c r="AX51" s="1" t="s">
        <v>74</v>
      </c>
      <c r="AY51" s="1" t="s">
        <v>74</v>
      </c>
      <c r="AZ51" s="1" t="s">
        <v>74</v>
      </c>
      <c r="BA51" s="1" t="s">
        <v>74</v>
      </c>
      <c r="BB51" s="1" t="s">
        <v>74</v>
      </c>
      <c r="BC51" s="1" t="s">
        <v>74</v>
      </c>
      <c r="BD51" s="1">
        <v>46001.0</v>
      </c>
      <c r="BE51" s="1" t="s">
        <v>596</v>
      </c>
      <c r="BF51" s="2" t="str">
        <f>HYPERLINK("http://dx.doi.org/10.1209/0295-5075/106/46001","http://dx.doi.org/10.1209/0295-5075/106/46001")</f>
        <v>http://dx.doi.org/10.1209/0295-5075/106/46001</v>
      </c>
      <c r="BG51" s="1" t="s">
        <v>74</v>
      </c>
      <c r="BH51" s="1" t="s">
        <v>74</v>
      </c>
      <c r="BI51" s="1" t="s">
        <v>74</v>
      </c>
      <c r="BJ51" s="1" t="s">
        <v>74</v>
      </c>
      <c r="BK51" s="1" t="s">
        <v>74</v>
      </c>
      <c r="BL51" s="1" t="s">
        <v>74</v>
      </c>
      <c r="BM51" s="1" t="s">
        <v>74</v>
      </c>
      <c r="BN51" s="1" t="s">
        <v>74</v>
      </c>
      <c r="BO51" s="1" t="s">
        <v>74</v>
      </c>
      <c r="BP51" s="1" t="s">
        <v>74</v>
      </c>
      <c r="BQ51" s="1" t="s">
        <v>74</v>
      </c>
      <c r="BR51" s="1" t="s">
        <v>74</v>
      </c>
      <c r="BS51" s="1" t="s">
        <v>597</v>
      </c>
      <c r="BT51" s="1" t="str">
        <f>HYPERLINK("https%3A%2F%2Fwww.webofscience.com%2Fwos%2Fwoscc%2Ffull-record%2FWOS:000337348100014","View Full Record in Web of Science")</f>
        <v>View Full Record in Web of Science</v>
      </c>
    </row>
    <row r="52" ht="12.75" customHeight="1">
      <c r="A52" s="1" t="s">
        <v>72</v>
      </c>
      <c r="B52" s="1" t="s">
        <v>598</v>
      </c>
      <c r="C52" s="1" t="s">
        <v>74</v>
      </c>
      <c r="D52" s="1" t="s">
        <v>74</v>
      </c>
      <c r="E52" s="1" t="s">
        <v>74</v>
      </c>
      <c r="F52" s="1" t="s">
        <v>599</v>
      </c>
      <c r="G52" s="1" t="s">
        <v>74</v>
      </c>
      <c r="H52" s="1" t="s">
        <v>74</v>
      </c>
      <c r="I52" s="1" t="s">
        <v>600</v>
      </c>
      <c r="J52" s="1" t="s">
        <v>601</v>
      </c>
      <c r="K52" s="1" t="s">
        <v>74</v>
      </c>
      <c r="L52" s="1" t="s">
        <v>74</v>
      </c>
      <c r="M52" s="1" t="s">
        <v>74</v>
      </c>
      <c r="N52" s="1" t="s">
        <v>74</v>
      </c>
      <c r="O52" s="1" t="s">
        <v>74</v>
      </c>
      <c r="P52" s="1" t="s">
        <v>74</v>
      </c>
      <c r="Q52" s="1" t="s">
        <v>74</v>
      </c>
      <c r="R52" s="1" t="s">
        <v>74</v>
      </c>
      <c r="S52" s="1" t="s">
        <v>74</v>
      </c>
      <c r="T52" s="1" t="s">
        <v>74</v>
      </c>
      <c r="U52" s="1" t="s">
        <v>74</v>
      </c>
      <c r="V52" s="1" t="s">
        <v>602</v>
      </c>
      <c r="W52" s="1" t="s">
        <v>74</v>
      </c>
      <c r="X52" s="1" t="s">
        <v>74</v>
      </c>
      <c r="Y52" s="1" t="s">
        <v>74</v>
      </c>
      <c r="Z52" s="1" t="s">
        <v>74</v>
      </c>
      <c r="AA52" s="1" t="s">
        <v>603</v>
      </c>
      <c r="AB52" s="1" t="s">
        <v>604</v>
      </c>
      <c r="AC52" s="1" t="s">
        <v>74</v>
      </c>
      <c r="AD52" s="1" t="s">
        <v>74</v>
      </c>
      <c r="AE52" s="1" t="s">
        <v>74</v>
      </c>
      <c r="AF52" s="1" t="s">
        <v>74</v>
      </c>
      <c r="AG52" s="1" t="s">
        <v>74</v>
      </c>
      <c r="AH52" s="1" t="s">
        <v>74</v>
      </c>
      <c r="AI52" s="1" t="s">
        <v>74</v>
      </c>
      <c r="AJ52" s="1" t="s">
        <v>74</v>
      </c>
      <c r="AK52" s="1" t="s">
        <v>74</v>
      </c>
      <c r="AL52" s="1" t="s">
        <v>74</v>
      </c>
      <c r="AM52" s="1" t="s">
        <v>74</v>
      </c>
      <c r="AN52" s="1" t="s">
        <v>74</v>
      </c>
      <c r="AO52" s="1" t="s">
        <v>605</v>
      </c>
      <c r="AP52" s="1" t="s">
        <v>606</v>
      </c>
      <c r="AQ52" s="1" t="s">
        <v>74</v>
      </c>
      <c r="AR52" s="1" t="s">
        <v>74</v>
      </c>
      <c r="AS52" s="1" t="s">
        <v>74</v>
      </c>
      <c r="AT52" s="1" t="s">
        <v>607</v>
      </c>
      <c r="AU52" s="1">
        <v>2011.0</v>
      </c>
      <c r="AV52" s="1">
        <v>30.0</v>
      </c>
      <c r="AW52" s="1">
        <v>2.0</v>
      </c>
      <c r="AX52" s="1" t="s">
        <v>74</v>
      </c>
      <c r="AY52" s="1" t="s">
        <v>74</v>
      </c>
      <c r="AZ52" s="1" t="s">
        <v>74</v>
      </c>
      <c r="BA52" s="1" t="s">
        <v>74</v>
      </c>
      <c r="BB52" s="1">
        <v>143.0</v>
      </c>
      <c r="BC52" s="1">
        <v>147.0</v>
      </c>
      <c r="BD52" s="1" t="s">
        <v>74</v>
      </c>
      <c r="BE52" s="1" t="s">
        <v>608</v>
      </c>
      <c r="BF52" s="2" t="str">
        <f>HYPERLINK("http://dx.doi.org/10.1007/s10930-011-9315-3","http://dx.doi.org/10.1007/s10930-011-9315-3")</f>
        <v>http://dx.doi.org/10.1007/s10930-011-9315-3</v>
      </c>
      <c r="BG52" s="1" t="s">
        <v>74</v>
      </c>
      <c r="BH52" s="1" t="s">
        <v>74</v>
      </c>
      <c r="BI52" s="1" t="s">
        <v>74</v>
      </c>
      <c r="BJ52" s="1" t="s">
        <v>74</v>
      </c>
      <c r="BK52" s="1" t="s">
        <v>74</v>
      </c>
      <c r="BL52" s="1" t="s">
        <v>74</v>
      </c>
      <c r="BM52" s="1" t="s">
        <v>74</v>
      </c>
      <c r="BN52" s="1">
        <v>2.1336975E7</v>
      </c>
      <c r="BO52" s="1" t="s">
        <v>74</v>
      </c>
      <c r="BP52" s="1" t="s">
        <v>74</v>
      </c>
      <c r="BQ52" s="1" t="s">
        <v>74</v>
      </c>
      <c r="BR52" s="1" t="s">
        <v>74</v>
      </c>
      <c r="BS52" s="1" t="s">
        <v>609</v>
      </c>
      <c r="BT52" s="1" t="str">
        <f>HYPERLINK("https%3A%2F%2Fwww.webofscience.com%2Fwos%2Fwoscc%2Ffull-record%2FWOS:000287751600010","View Full Record in Web of Science")</f>
        <v>View Full Record in Web of Science</v>
      </c>
    </row>
    <row r="53" ht="12.75" customHeight="1">
      <c r="A53" s="1" t="s">
        <v>72</v>
      </c>
      <c r="B53" s="1" t="s">
        <v>610</v>
      </c>
      <c r="C53" s="1" t="s">
        <v>74</v>
      </c>
      <c r="D53" s="1" t="s">
        <v>74</v>
      </c>
      <c r="E53" s="1" t="s">
        <v>74</v>
      </c>
      <c r="F53" s="1" t="s">
        <v>611</v>
      </c>
      <c r="G53" s="1" t="s">
        <v>74</v>
      </c>
      <c r="H53" s="1" t="s">
        <v>74</v>
      </c>
      <c r="I53" s="1" t="s">
        <v>612</v>
      </c>
      <c r="J53" s="1" t="s">
        <v>613</v>
      </c>
      <c r="K53" s="1" t="s">
        <v>74</v>
      </c>
      <c r="L53" s="1" t="s">
        <v>74</v>
      </c>
      <c r="M53" s="1" t="s">
        <v>74</v>
      </c>
      <c r="N53" s="1" t="s">
        <v>74</v>
      </c>
      <c r="O53" s="1" t="s">
        <v>74</v>
      </c>
      <c r="P53" s="1" t="s">
        <v>74</v>
      </c>
      <c r="Q53" s="1" t="s">
        <v>74</v>
      </c>
      <c r="R53" s="1" t="s">
        <v>74</v>
      </c>
      <c r="S53" s="1" t="s">
        <v>74</v>
      </c>
      <c r="T53" s="1" t="s">
        <v>74</v>
      </c>
      <c r="U53" s="1" t="s">
        <v>74</v>
      </c>
      <c r="V53" s="1" t="s">
        <v>614</v>
      </c>
      <c r="W53" s="1" t="s">
        <v>74</v>
      </c>
      <c r="X53" s="1" t="s">
        <v>74</v>
      </c>
      <c r="Y53" s="1" t="s">
        <v>74</v>
      </c>
      <c r="Z53" s="1" t="s">
        <v>74</v>
      </c>
      <c r="AA53" s="1" t="s">
        <v>615</v>
      </c>
      <c r="AB53" s="1" t="s">
        <v>616</v>
      </c>
      <c r="AC53" s="1" t="s">
        <v>74</v>
      </c>
      <c r="AD53" s="1" t="s">
        <v>74</v>
      </c>
      <c r="AE53" s="1" t="s">
        <v>74</v>
      </c>
      <c r="AF53" s="1" t="s">
        <v>74</v>
      </c>
      <c r="AG53" s="1" t="s">
        <v>74</v>
      </c>
      <c r="AH53" s="1" t="s">
        <v>74</v>
      </c>
      <c r="AI53" s="1" t="s">
        <v>74</v>
      </c>
      <c r="AJ53" s="1" t="s">
        <v>74</v>
      </c>
      <c r="AK53" s="1" t="s">
        <v>74</v>
      </c>
      <c r="AL53" s="1" t="s">
        <v>74</v>
      </c>
      <c r="AM53" s="1" t="s">
        <v>74</v>
      </c>
      <c r="AN53" s="1" t="s">
        <v>74</v>
      </c>
      <c r="AO53" s="1" t="s">
        <v>617</v>
      </c>
      <c r="AP53" s="1" t="s">
        <v>618</v>
      </c>
      <c r="AQ53" s="1" t="s">
        <v>74</v>
      </c>
      <c r="AR53" s="1" t="s">
        <v>74</v>
      </c>
      <c r="AS53" s="1" t="s">
        <v>74</v>
      </c>
      <c r="AT53" s="1" t="s">
        <v>607</v>
      </c>
      <c r="AU53" s="1">
        <v>2011.0</v>
      </c>
      <c r="AV53" s="1">
        <v>89.0</v>
      </c>
      <c r="AW53" s="1">
        <v>3.0</v>
      </c>
      <c r="AX53" s="1" t="s">
        <v>74</v>
      </c>
      <c r="AY53" s="1" t="s">
        <v>74</v>
      </c>
      <c r="AZ53" s="1" t="s">
        <v>74</v>
      </c>
      <c r="BA53" s="1" t="s">
        <v>74</v>
      </c>
      <c r="BB53" s="1">
        <v>771.0</v>
      </c>
      <c r="BC53" s="1">
        <v>780.0</v>
      </c>
      <c r="BD53" s="1" t="s">
        <v>74</v>
      </c>
      <c r="BE53" s="1" t="s">
        <v>619</v>
      </c>
      <c r="BF53" s="2" t="str">
        <f>HYPERLINK("http://dx.doi.org/10.1007/s00253-010-3063-8","http://dx.doi.org/10.1007/s00253-010-3063-8")</f>
        <v>http://dx.doi.org/10.1007/s00253-010-3063-8</v>
      </c>
      <c r="BG53" s="1" t="s">
        <v>74</v>
      </c>
      <c r="BH53" s="1" t="s">
        <v>74</v>
      </c>
      <c r="BI53" s="1" t="s">
        <v>74</v>
      </c>
      <c r="BJ53" s="1" t="s">
        <v>74</v>
      </c>
      <c r="BK53" s="1" t="s">
        <v>74</v>
      </c>
      <c r="BL53" s="1" t="s">
        <v>74</v>
      </c>
      <c r="BM53" s="1" t="s">
        <v>74</v>
      </c>
      <c r="BN53" s="1">
        <v>2.1191788E7</v>
      </c>
      <c r="BO53" s="1" t="s">
        <v>74</v>
      </c>
      <c r="BP53" s="1" t="s">
        <v>74</v>
      </c>
      <c r="BQ53" s="1" t="s">
        <v>74</v>
      </c>
      <c r="BR53" s="1" t="s">
        <v>74</v>
      </c>
      <c r="BS53" s="1" t="s">
        <v>620</v>
      </c>
      <c r="BT53" s="1" t="str">
        <f>HYPERLINK("https%3A%2F%2Fwww.webofscience.com%2Fwos%2Fwoscc%2Ffull-record%2FWOS:000286429400030","View Full Record in Web of Science")</f>
        <v>View Full Record in Web of Science</v>
      </c>
    </row>
    <row r="54" ht="12.75" customHeight="1">
      <c r="A54" s="1" t="s">
        <v>72</v>
      </c>
      <c r="B54" s="1" t="s">
        <v>621</v>
      </c>
      <c r="C54" s="1" t="s">
        <v>74</v>
      </c>
      <c r="D54" s="1" t="s">
        <v>74</v>
      </c>
      <c r="E54" s="1" t="s">
        <v>74</v>
      </c>
      <c r="F54" s="1" t="s">
        <v>622</v>
      </c>
      <c r="G54" s="1" t="s">
        <v>74</v>
      </c>
      <c r="H54" s="1" t="s">
        <v>74</v>
      </c>
      <c r="I54" s="1" t="s">
        <v>623</v>
      </c>
      <c r="J54" s="1" t="s">
        <v>624</v>
      </c>
      <c r="K54" s="1" t="s">
        <v>74</v>
      </c>
      <c r="L54" s="1" t="s">
        <v>74</v>
      </c>
      <c r="M54" s="1" t="s">
        <v>74</v>
      </c>
      <c r="N54" s="1" t="s">
        <v>74</v>
      </c>
      <c r="O54" s="1" t="s">
        <v>74</v>
      </c>
      <c r="P54" s="1" t="s">
        <v>74</v>
      </c>
      <c r="Q54" s="1" t="s">
        <v>74</v>
      </c>
      <c r="R54" s="1" t="s">
        <v>74</v>
      </c>
      <c r="S54" s="1" t="s">
        <v>74</v>
      </c>
      <c r="T54" s="1" t="s">
        <v>74</v>
      </c>
      <c r="U54" s="1" t="s">
        <v>74</v>
      </c>
      <c r="V54" s="1" t="s">
        <v>625</v>
      </c>
      <c r="W54" s="1" t="s">
        <v>74</v>
      </c>
      <c r="X54" s="1" t="s">
        <v>74</v>
      </c>
      <c r="Y54" s="1" t="s">
        <v>74</v>
      </c>
      <c r="Z54" s="1" t="s">
        <v>74</v>
      </c>
      <c r="AA54" s="1" t="s">
        <v>626</v>
      </c>
      <c r="AB54" s="1" t="s">
        <v>627</v>
      </c>
      <c r="AC54" s="1" t="s">
        <v>74</v>
      </c>
      <c r="AD54" s="1" t="s">
        <v>74</v>
      </c>
      <c r="AE54" s="1" t="s">
        <v>74</v>
      </c>
      <c r="AF54" s="1" t="s">
        <v>74</v>
      </c>
      <c r="AG54" s="1" t="s">
        <v>74</v>
      </c>
      <c r="AH54" s="1" t="s">
        <v>74</v>
      </c>
      <c r="AI54" s="1" t="s">
        <v>74</v>
      </c>
      <c r="AJ54" s="1" t="s">
        <v>74</v>
      </c>
      <c r="AK54" s="1" t="s">
        <v>74</v>
      </c>
      <c r="AL54" s="1" t="s">
        <v>74</v>
      </c>
      <c r="AM54" s="1" t="s">
        <v>74</v>
      </c>
      <c r="AN54" s="1" t="s">
        <v>74</v>
      </c>
      <c r="AO54" s="1" t="s">
        <v>628</v>
      </c>
      <c r="AP54" s="1" t="s">
        <v>629</v>
      </c>
      <c r="AQ54" s="1" t="s">
        <v>74</v>
      </c>
      <c r="AR54" s="1" t="s">
        <v>74</v>
      </c>
      <c r="AS54" s="1" t="s">
        <v>74</v>
      </c>
      <c r="AT54" s="1" t="s">
        <v>630</v>
      </c>
      <c r="AU54" s="1">
        <v>2006.0</v>
      </c>
      <c r="AV54" s="1">
        <v>66.0</v>
      </c>
      <c r="AW54" s="1">
        <v>2.0</v>
      </c>
      <c r="AX54" s="1" t="s">
        <v>74</v>
      </c>
      <c r="AY54" s="1" t="s">
        <v>74</v>
      </c>
      <c r="AZ54" s="1" t="s">
        <v>74</v>
      </c>
      <c r="BA54" s="1" t="s">
        <v>74</v>
      </c>
      <c r="BB54" s="1">
        <v>208.0</v>
      </c>
      <c r="BC54" s="1">
        <v>215.0</v>
      </c>
      <c r="BD54" s="1" t="s">
        <v>74</v>
      </c>
      <c r="BE54" s="1" t="s">
        <v>631</v>
      </c>
      <c r="BF54" s="2" t="str">
        <f>HYPERLINK("http://dx.doi.org/10.1016/j.carbpol.2006.03.007","http://dx.doi.org/10.1016/j.carbpol.2006.03.007")</f>
        <v>http://dx.doi.org/10.1016/j.carbpol.2006.03.007</v>
      </c>
      <c r="BG54" s="1" t="s">
        <v>74</v>
      </c>
      <c r="BH54" s="1" t="s">
        <v>74</v>
      </c>
      <c r="BI54" s="1" t="s">
        <v>74</v>
      </c>
      <c r="BJ54" s="1" t="s">
        <v>74</v>
      </c>
      <c r="BK54" s="1" t="s">
        <v>74</v>
      </c>
      <c r="BL54" s="1" t="s">
        <v>74</v>
      </c>
      <c r="BM54" s="1" t="s">
        <v>74</v>
      </c>
      <c r="BN54" s="1" t="s">
        <v>74</v>
      </c>
      <c r="BO54" s="1" t="s">
        <v>74</v>
      </c>
      <c r="BP54" s="1" t="s">
        <v>74</v>
      </c>
      <c r="BQ54" s="1" t="s">
        <v>74</v>
      </c>
      <c r="BR54" s="1" t="s">
        <v>74</v>
      </c>
      <c r="BS54" s="1" t="s">
        <v>632</v>
      </c>
      <c r="BT54" s="1" t="str">
        <f>HYPERLINK("https%3A%2F%2Fwww.webofscience.com%2Fwos%2Fwoscc%2Ffull-record%2FWOS:000241489900008","View Full Record in Web of Science")</f>
        <v>View Full Record in Web of Science</v>
      </c>
    </row>
    <row r="55" ht="12.75" customHeight="1">
      <c r="A55" s="1" t="s">
        <v>72</v>
      </c>
      <c r="B55" s="1" t="s">
        <v>633</v>
      </c>
      <c r="C55" s="1" t="s">
        <v>74</v>
      </c>
      <c r="D55" s="1" t="s">
        <v>74</v>
      </c>
      <c r="E55" s="1" t="s">
        <v>74</v>
      </c>
      <c r="F55" s="1" t="s">
        <v>633</v>
      </c>
      <c r="G55" s="1" t="s">
        <v>74</v>
      </c>
      <c r="H55" s="1" t="s">
        <v>74</v>
      </c>
      <c r="I55" s="1" t="s">
        <v>634</v>
      </c>
      <c r="J55" s="1" t="s">
        <v>635</v>
      </c>
      <c r="K55" s="1" t="s">
        <v>74</v>
      </c>
      <c r="L55" s="1" t="s">
        <v>74</v>
      </c>
      <c r="M55" s="1" t="s">
        <v>74</v>
      </c>
      <c r="N55" s="1" t="s">
        <v>74</v>
      </c>
      <c r="O55" s="1" t="s">
        <v>74</v>
      </c>
      <c r="P55" s="1" t="s">
        <v>74</v>
      </c>
      <c r="Q55" s="1" t="s">
        <v>74</v>
      </c>
      <c r="R55" s="1" t="s">
        <v>74</v>
      </c>
      <c r="S55" s="1" t="s">
        <v>74</v>
      </c>
      <c r="T55" s="1" t="s">
        <v>74</v>
      </c>
      <c r="U55" s="1" t="s">
        <v>74</v>
      </c>
      <c r="V55" s="1" t="s">
        <v>636</v>
      </c>
      <c r="W55" s="1" t="s">
        <v>74</v>
      </c>
      <c r="X55" s="1" t="s">
        <v>74</v>
      </c>
      <c r="Y55" s="1" t="s">
        <v>74</v>
      </c>
      <c r="Z55" s="1" t="s">
        <v>74</v>
      </c>
      <c r="AA55" s="1" t="s">
        <v>74</v>
      </c>
      <c r="AB55" s="1" t="s">
        <v>74</v>
      </c>
      <c r="AC55" s="1" t="s">
        <v>74</v>
      </c>
      <c r="AD55" s="1" t="s">
        <v>74</v>
      </c>
      <c r="AE55" s="1" t="s">
        <v>74</v>
      </c>
      <c r="AF55" s="1" t="s">
        <v>74</v>
      </c>
      <c r="AG55" s="1" t="s">
        <v>74</v>
      </c>
      <c r="AH55" s="1" t="s">
        <v>74</v>
      </c>
      <c r="AI55" s="1" t="s">
        <v>74</v>
      </c>
      <c r="AJ55" s="1" t="s">
        <v>74</v>
      </c>
      <c r="AK55" s="1" t="s">
        <v>74</v>
      </c>
      <c r="AL55" s="1" t="s">
        <v>74</v>
      </c>
      <c r="AM55" s="1" t="s">
        <v>74</v>
      </c>
      <c r="AN55" s="1" t="s">
        <v>74</v>
      </c>
      <c r="AO55" s="1" t="s">
        <v>637</v>
      </c>
      <c r="AP55" s="1" t="s">
        <v>74</v>
      </c>
      <c r="AQ55" s="1" t="s">
        <v>74</v>
      </c>
      <c r="AR55" s="1" t="s">
        <v>74</v>
      </c>
      <c r="AS55" s="1" t="s">
        <v>74</v>
      </c>
      <c r="AT55" s="1" t="s">
        <v>638</v>
      </c>
      <c r="AU55" s="1">
        <v>2004.0</v>
      </c>
      <c r="AV55" s="1">
        <v>40.0</v>
      </c>
      <c r="AW55" s="1">
        <v>6.0</v>
      </c>
      <c r="AX55" s="1" t="s">
        <v>74</v>
      </c>
      <c r="AY55" s="1" t="s">
        <v>74</v>
      </c>
      <c r="AZ55" s="1" t="s">
        <v>74</v>
      </c>
      <c r="BA55" s="1" t="s">
        <v>74</v>
      </c>
      <c r="BB55" s="1">
        <v>431.0</v>
      </c>
      <c r="BC55" s="1">
        <v>435.0</v>
      </c>
      <c r="BD55" s="1" t="s">
        <v>74</v>
      </c>
      <c r="BE55" s="1" t="s">
        <v>639</v>
      </c>
      <c r="BF55" s="2" t="str">
        <f>HYPERLINK("http://dx.doi.org/10.3989/revmetalm.2004.v40.i6.302","http://dx.doi.org/10.3989/revmetalm.2004.v40.i6.302")</f>
        <v>http://dx.doi.org/10.3989/revmetalm.2004.v40.i6.302</v>
      </c>
      <c r="BG55" s="1" t="s">
        <v>74</v>
      </c>
      <c r="BH55" s="1" t="s">
        <v>74</v>
      </c>
      <c r="BI55" s="1" t="s">
        <v>74</v>
      </c>
      <c r="BJ55" s="1" t="s">
        <v>74</v>
      </c>
      <c r="BK55" s="1" t="s">
        <v>74</v>
      </c>
      <c r="BL55" s="1" t="s">
        <v>74</v>
      </c>
      <c r="BM55" s="1" t="s">
        <v>74</v>
      </c>
      <c r="BN55" s="1" t="s">
        <v>74</v>
      </c>
      <c r="BO55" s="1" t="s">
        <v>74</v>
      </c>
      <c r="BP55" s="1" t="s">
        <v>74</v>
      </c>
      <c r="BQ55" s="1" t="s">
        <v>74</v>
      </c>
      <c r="BR55" s="1" t="s">
        <v>74</v>
      </c>
      <c r="BS55" s="1" t="s">
        <v>640</v>
      </c>
      <c r="BT55" s="1" t="str">
        <f>HYPERLINK("https%3A%2F%2Fwww.webofscience.com%2Fwos%2Fwoscc%2Ffull-record%2FWOS:000227616500007","View Full Record in Web of Science")</f>
        <v>View Full Record in Web of Science</v>
      </c>
    </row>
    <row r="56" ht="12.75" customHeight="1">
      <c r="A56" s="1" t="s">
        <v>72</v>
      </c>
      <c r="B56" s="1" t="s">
        <v>641</v>
      </c>
      <c r="C56" s="1" t="s">
        <v>74</v>
      </c>
      <c r="D56" s="1" t="s">
        <v>74</v>
      </c>
      <c r="E56" s="1" t="s">
        <v>74</v>
      </c>
      <c r="F56" s="1" t="s">
        <v>641</v>
      </c>
      <c r="G56" s="1" t="s">
        <v>74</v>
      </c>
      <c r="H56" s="1" t="s">
        <v>74</v>
      </c>
      <c r="I56" s="1" t="s">
        <v>642</v>
      </c>
      <c r="J56" s="1" t="s">
        <v>643</v>
      </c>
      <c r="K56" s="1" t="s">
        <v>74</v>
      </c>
      <c r="L56" s="1" t="s">
        <v>74</v>
      </c>
      <c r="M56" s="1" t="s">
        <v>74</v>
      </c>
      <c r="N56" s="1" t="s">
        <v>74</v>
      </c>
      <c r="O56" s="1" t="s">
        <v>74</v>
      </c>
      <c r="P56" s="1" t="s">
        <v>74</v>
      </c>
      <c r="Q56" s="1" t="s">
        <v>74</v>
      </c>
      <c r="R56" s="1" t="s">
        <v>74</v>
      </c>
      <c r="S56" s="1" t="s">
        <v>74</v>
      </c>
      <c r="T56" s="1" t="s">
        <v>74</v>
      </c>
      <c r="U56" s="1" t="s">
        <v>74</v>
      </c>
      <c r="V56" s="1" t="s">
        <v>644</v>
      </c>
      <c r="W56" s="1" t="s">
        <v>74</v>
      </c>
      <c r="X56" s="1" t="s">
        <v>74</v>
      </c>
      <c r="Y56" s="1" t="s">
        <v>74</v>
      </c>
      <c r="Z56" s="1" t="s">
        <v>74</v>
      </c>
      <c r="AA56" s="1" t="s">
        <v>645</v>
      </c>
      <c r="AB56" s="1" t="s">
        <v>74</v>
      </c>
      <c r="AC56" s="1" t="s">
        <v>74</v>
      </c>
      <c r="AD56" s="1" t="s">
        <v>74</v>
      </c>
      <c r="AE56" s="1" t="s">
        <v>74</v>
      </c>
      <c r="AF56" s="1" t="s">
        <v>74</v>
      </c>
      <c r="AG56" s="1" t="s">
        <v>74</v>
      </c>
      <c r="AH56" s="1" t="s">
        <v>74</v>
      </c>
      <c r="AI56" s="1" t="s">
        <v>74</v>
      </c>
      <c r="AJ56" s="1" t="s">
        <v>74</v>
      </c>
      <c r="AK56" s="1" t="s">
        <v>74</v>
      </c>
      <c r="AL56" s="1" t="s">
        <v>74</v>
      </c>
      <c r="AM56" s="1" t="s">
        <v>74</v>
      </c>
      <c r="AN56" s="1" t="s">
        <v>74</v>
      </c>
      <c r="AO56" s="1" t="s">
        <v>646</v>
      </c>
      <c r="AP56" s="1" t="s">
        <v>74</v>
      </c>
      <c r="AQ56" s="1" t="s">
        <v>74</v>
      </c>
      <c r="AR56" s="1" t="s">
        <v>74</v>
      </c>
      <c r="AS56" s="1" t="s">
        <v>74</v>
      </c>
      <c r="AT56" s="1" t="s">
        <v>106</v>
      </c>
      <c r="AU56" s="1">
        <v>2003.0</v>
      </c>
      <c r="AV56" s="1">
        <v>42.0</v>
      </c>
      <c r="AW56" s="1">
        <v>9.0</v>
      </c>
      <c r="AX56" s="1" t="s">
        <v>74</v>
      </c>
      <c r="AY56" s="1" t="s">
        <v>74</v>
      </c>
      <c r="AZ56" s="1" t="s">
        <v>74</v>
      </c>
      <c r="BA56" s="1" t="s">
        <v>74</v>
      </c>
      <c r="BB56" s="1">
        <v>2496.0</v>
      </c>
      <c r="BC56" s="1">
        <v>2501.0</v>
      </c>
      <c r="BD56" s="1" t="s">
        <v>74</v>
      </c>
      <c r="BE56" s="1" t="s">
        <v>647</v>
      </c>
      <c r="BF56" s="2" t="str">
        <f>HYPERLINK("http://dx.doi.org/10.1117/1.1596434","http://dx.doi.org/10.1117/1.1596434")</f>
        <v>http://dx.doi.org/10.1117/1.1596434</v>
      </c>
      <c r="BG56" s="1" t="s">
        <v>74</v>
      </c>
      <c r="BH56" s="1" t="s">
        <v>74</v>
      </c>
      <c r="BI56" s="1" t="s">
        <v>74</v>
      </c>
      <c r="BJ56" s="1" t="s">
        <v>74</v>
      </c>
      <c r="BK56" s="1" t="s">
        <v>74</v>
      </c>
      <c r="BL56" s="1" t="s">
        <v>74</v>
      </c>
      <c r="BM56" s="1" t="s">
        <v>74</v>
      </c>
      <c r="BN56" s="1" t="s">
        <v>74</v>
      </c>
      <c r="BO56" s="1" t="s">
        <v>74</v>
      </c>
      <c r="BP56" s="1" t="s">
        <v>74</v>
      </c>
      <c r="BQ56" s="1" t="s">
        <v>74</v>
      </c>
      <c r="BR56" s="1" t="s">
        <v>74</v>
      </c>
      <c r="BS56" s="1" t="s">
        <v>648</v>
      </c>
      <c r="BT56" s="1" t="str">
        <f>HYPERLINK("https%3A%2F%2Fwww.webofscience.com%2Fwos%2Fwoscc%2Ffull-record%2FWOS:000185295800008","View Full Record in Web of Science")</f>
        <v>View Full Record in Web of Science</v>
      </c>
    </row>
    <row r="57" ht="12.75" customHeight="1">
      <c r="A57" s="1" t="s">
        <v>72</v>
      </c>
      <c r="B57" s="1" t="s">
        <v>649</v>
      </c>
      <c r="C57" s="1" t="s">
        <v>74</v>
      </c>
      <c r="D57" s="1" t="s">
        <v>74</v>
      </c>
      <c r="E57" s="1" t="s">
        <v>74</v>
      </c>
      <c r="F57" s="1" t="s">
        <v>649</v>
      </c>
      <c r="G57" s="1" t="s">
        <v>74</v>
      </c>
      <c r="H57" s="1" t="s">
        <v>74</v>
      </c>
      <c r="I57" s="1" t="s">
        <v>650</v>
      </c>
      <c r="J57" s="1" t="s">
        <v>651</v>
      </c>
      <c r="K57" s="1" t="s">
        <v>74</v>
      </c>
      <c r="L57" s="1" t="s">
        <v>74</v>
      </c>
      <c r="M57" s="1" t="s">
        <v>74</v>
      </c>
      <c r="N57" s="1" t="s">
        <v>74</v>
      </c>
      <c r="O57" s="1" t="s">
        <v>74</v>
      </c>
      <c r="P57" s="1" t="s">
        <v>74</v>
      </c>
      <c r="Q57" s="1" t="s">
        <v>74</v>
      </c>
      <c r="R57" s="1" t="s">
        <v>74</v>
      </c>
      <c r="S57" s="1" t="s">
        <v>74</v>
      </c>
      <c r="T57" s="1" t="s">
        <v>74</v>
      </c>
      <c r="U57" s="1" t="s">
        <v>74</v>
      </c>
      <c r="V57" s="1" t="s">
        <v>652</v>
      </c>
      <c r="W57" s="1" t="s">
        <v>74</v>
      </c>
      <c r="X57" s="1" t="s">
        <v>74</v>
      </c>
      <c r="Y57" s="1" t="s">
        <v>74</v>
      </c>
      <c r="Z57" s="1" t="s">
        <v>74</v>
      </c>
      <c r="AA57" s="1" t="s">
        <v>653</v>
      </c>
      <c r="AB57" s="1" t="s">
        <v>654</v>
      </c>
      <c r="AC57" s="1" t="s">
        <v>74</v>
      </c>
      <c r="AD57" s="1" t="s">
        <v>74</v>
      </c>
      <c r="AE57" s="1" t="s">
        <v>74</v>
      </c>
      <c r="AF57" s="1" t="s">
        <v>74</v>
      </c>
      <c r="AG57" s="1" t="s">
        <v>74</v>
      </c>
      <c r="AH57" s="1" t="s">
        <v>74</v>
      </c>
      <c r="AI57" s="1" t="s">
        <v>74</v>
      </c>
      <c r="AJ57" s="1" t="s">
        <v>74</v>
      </c>
      <c r="AK57" s="1" t="s">
        <v>74</v>
      </c>
      <c r="AL57" s="1" t="s">
        <v>74</v>
      </c>
      <c r="AM57" s="1" t="s">
        <v>74</v>
      </c>
      <c r="AN57" s="1" t="s">
        <v>74</v>
      </c>
      <c r="AO57" s="1" t="s">
        <v>655</v>
      </c>
      <c r="AP57" s="1" t="s">
        <v>74</v>
      </c>
      <c r="AQ57" s="1" t="s">
        <v>74</v>
      </c>
      <c r="AR57" s="1" t="s">
        <v>74</v>
      </c>
      <c r="AS57" s="1" t="s">
        <v>74</v>
      </c>
      <c r="AT57" s="1" t="s">
        <v>74</v>
      </c>
      <c r="AU57" s="1">
        <v>2002.0</v>
      </c>
      <c r="AV57" s="1">
        <v>40.0</v>
      </c>
      <c r="AW57" s="1">
        <v>5.0</v>
      </c>
      <c r="AX57" s="1" t="s">
        <v>74</v>
      </c>
      <c r="AY57" s="1" t="s">
        <v>74</v>
      </c>
      <c r="AZ57" s="1" t="s">
        <v>74</v>
      </c>
      <c r="BA57" s="1" t="s">
        <v>74</v>
      </c>
      <c r="BB57" s="1">
        <v>781.0</v>
      </c>
      <c r="BC57" s="1">
        <v>790.0</v>
      </c>
      <c r="BD57" s="1" t="s">
        <v>656</v>
      </c>
      <c r="BE57" s="1" t="s">
        <v>657</v>
      </c>
      <c r="BF57" s="2" t="str">
        <f>HYPERLINK("http://dx.doi.org/10.1071/SR01069","http://dx.doi.org/10.1071/SR01069")</f>
        <v>http://dx.doi.org/10.1071/SR01069</v>
      </c>
      <c r="BG57" s="1" t="s">
        <v>74</v>
      </c>
      <c r="BH57" s="1" t="s">
        <v>74</v>
      </c>
      <c r="BI57" s="1" t="s">
        <v>74</v>
      </c>
      <c r="BJ57" s="1" t="s">
        <v>74</v>
      </c>
      <c r="BK57" s="1" t="s">
        <v>74</v>
      </c>
      <c r="BL57" s="1" t="s">
        <v>74</v>
      </c>
      <c r="BM57" s="1" t="s">
        <v>74</v>
      </c>
      <c r="BN57" s="1" t="s">
        <v>74</v>
      </c>
      <c r="BO57" s="1" t="s">
        <v>74</v>
      </c>
      <c r="BP57" s="1" t="s">
        <v>74</v>
      </c>
      <c r="BQ57" s="1" t="s">
        <v>74</v>
      </c>
      <c r="BR57" s="1" t="s">
        <v>74</v>
      </c>
      <c r="BS57" s="1" t="s">
        <v>658</v>
      </c>
      <c r="BT57" s="1" t="str">
        <f>HYPERLINK("https%3A%2F%2Fwww.webofscience.com%2Fwos%2Fwoscc%2Ffull-record%2FWOS:000177524300007","View Full Record in Web of Science")</f>
        <v>View Full Record in Web of Science</v>
      </c>
    </row>
    <row r="58" ht="12.75" customHeight="1">
      <c r="A58" s="1" t="s">
        <v>72</v>
      </c>
      <c r="B58" s="1" t="s">
        <v>659</v>
      </c>
      <c r="C58" s="1" t="s">
        <v>74</v>
      </c>
      <c r="D58" s="1" t="s">
        <v>74</v>
      </c>
      <c r="E58" s="1" t="s">
        <v>74</v>
      </c>
      <c r="F58" s="1" t="s">
        <v>659</v>
      </c>
      <c r="G58" s="1" t="s">
        <v>74</v>
      </c>
      <c r="H58" s="1" t="s">
        <v>74</v>
      </c>
      <c r="I58" s="1" t="s">
        <v>660</v>
      </c>
      <c r="J58" s="1" t="s">
        <v>661</v>
      </c>
      <c r="K58" s="1" t="s">
        <v>74</v>
      </c>
      <c r="L58" s="1" t="s">
        <v>74</v>
      </c>
      <c r="M58" s="1" t="s">
        <v>74</v>
      </c>
      <c r="N58" s="1" t="s">
        <v>74</v>
      </c>
      <c r="O58" s="1" t="s">
        <v>74</v>
      </c>
      <c r="P58" s="1" t="s">
        <v>74</v>
      </c>
      <c r="Q58" s="1" t="s">
        <v>74</v>
      </c>
      <c r="R58" s="1" t="s">
        <v>74</v>
      </c>
      <c r="S58" s="1" t="s">
        <v>74</v>
      </c>
      <c r="T58" s="1" t="s">
        <v>74</v>
      </c>
      <c r="U58" s="1" t="s">
        <v>74</v>
      </c>
      <c r="V58" s="1" t="s">
        <v>662</v>
      </c>
      <c r="W58" s="1" t="s">
        <v>74</v>
      </c>
      <c r="X58" s="1" t="s">
        <v>74</v>
      </c>
      <c r="Y58" s="1" t="s">
        <v>74</v>
      </c>
      <c r="Z58" s="1" t="s">
        <v>74</v>
      </c>
      <c r="AA58" s="1" t="s">
        <v>663</v>
      </c>
      <c r="AB58" s="1" t="s">
        <v>74</v>
      </c>
      <c r="AC58" s="1" t="s">
        <v>74</v>
      </c>
      <c r="AD58" s="1" t="s">
        <v>74</v>
      </c>
      <c r="AE58" s="1" t="s">
        <v>74</v>
      </c>
      <c r="AF58" s="1" t="s">
        <v>74</v>
      </c>
      <c r="AG58" s="1" t="s">
        <v>74</v>
      </c>
      <c r="AH58" s="1" t="s">
        <v>74</v>
      </c>
      <c r="AI58" s="1" t="s">
        <v>74</v>
      </c>
      <c r="AJ58" s="1" t="s">
        <v>74</v>
      </c>
      <c r="AK58" s="1" t="s">
        <v>74</v>
      </c>
      <c r="AL58" s="1" t="s">
        <v>74</v>
      </c>
      <c r="AM58" s="1" t="s">
        <v>74</v>
      </c>
      <c r="AN58" s="1" t="s">
        <v>74</v>
      </c>
      <c r="AO58" s="1" t="s">
        <v>664</v>
      </c>
      <c r="AP58" s="1" t="s">
        <v>74</v>
      </c>
      <c r="AQ58" s="1" t="s">
        <v>74</v>
      </c>
      <c r="AR58" s="1" t="s">
        <v>74</v>
      </c>
      <c r="AS58" s="1" t="s">
        <v>74</v>
      </c>
      <c r="AT58" s="1" t="s">
        <v>116</v>
      </c>
      <c r="AU58" s="1">
        <v>1999.0</v>
      </c>
      <c r="AV58" s="1">
        <v>263.0</v>
      </c>
      <c r="AW58" s="1">
        <v>1.0</v>
      </c>
      <c r="AX58" s="1" t="s">
        <v>74</v>
      </c>
      <c r="AY58" s="1" t="s">
        <v>74</v>
      </c>
      <c r="AZ58" s="1" t="s">
        <v>74</v>
      </c>
      <c r="BA58" s="1" t="s">
        <v>74</v>
      </c>
      <c r="BB58" s="1">
        <v>65.0</v>
      </c>
      <c r="BC58" s="1">
        <v>70.0</v>
      </c>
      <c r="BD58" s="1" t="s">
        <v>74</v>
      </c>
      <c r="BE58" s="1" t="s">
        <v>665</v>
      </c>
      <c r="BF58" s="2" t="str">
        <f>HYPERLINK("http://dx.doi.org/10.1046/j.1432-1327.1999.00453.x","http://dx.doi.org/10.1046/j.1432-1327.1999.00453.x")</f>
        <v>http://dx.doi.org/10.1046/j.1432-1327.1999.00453.x</v>
      </c>
      <c r="BG58" s="1" t="s">
        <v>74</v>
      </c>
      <c r="BH58" s="1" t="s">
        <v>74</v>
      </c>
      <c r="BI58" s="1" t="s">
        <v>74</v>
      </c>
      <c r="BJ58" s="1" t="s">
        <v>74</v>
      </c>
      <c r="BK58" s="1" t="s">
        <v>74</v>
      </c>
      <c r="BL58" s="1" t="s">
        <v>74</v>
      </c>
      <c r="BM58" s="1" t="s">
        <v>74</v>
      </c>
      <c r="BN58" s="1">
        <v>1.0429188E7</v>
      </c>
      <c r="BO58" s="1" t="s">
        <v>74</v>
      </c>
      <c r="BP58" s="1" t="s">
        <v>74</v>
      </c>
      <c r="BQ58" s="1" t="s">
        <v>74</v>
      </c>
      <c r="BR58" s="1" t="s">
        <v>74</v>
      </c>
      <c r="BS58" s="1" t="s">
        <v>666</v>
      </c>
      <c r="BT58" s="1" t="str">
        <f>HYPERLINK("https%3A%2F%2Fwww.webofscience.com%2Fwos%2Fwoscc%2Ffull-record%2FWOS:000081480800010","View Full Record in Web of Science")</f>
        <v>View Full Record in Web of Science</v>
      </c>
    </row>
    <row r="59" ht="12.75" customHeight="1">
      <c r="A59" s="1" t="s">
        <v>72</v>
      </c>
      <c r="B59" s="1" t="s">
        <v>667</v>
      </c>
      <c r="C59" s="1" t="s">
        <v>74</v>
      </c>
      <c r="D59" s="1" t="s">
        <v>74</v>
      </c>
      <c r="E59" s="1" t="s">
        <v>74</v>
      </c>
      <c r="F59" s="1" t="s">
        <v>667</v>
      </c>
      <c r="G59" s="1" t="s">
        <v>74</v>
      </c>
      <c r="H59" s="1" t="s">
        <v>74</v>
      </c>
      <c r="I59" s="1" t="s">
        <v>668</v>
      </c>
      <c r="J59" s="1" t="s">
        <v>669</v>
      </c>
      <c r="K59" s="1" t="s">
        <v>74</v>
      </c>
      <c r="L59" s="1" t="s">
        <v>74</v>
      </c>
      <c r="M59" s="1" t="s">
        <v>74</v>
      </c>
      <c r="N59" s="1" t="s">
        <v>74</v>
      </c>
      <c r="O59" s="1" t="s">
        <v>74</v>
      </c>
      <c r="P59" s="1" t="s">
        <v>74</v>
      </c>
      <c r="Q59" s="1" t="s">
        <v>74</v>
      </c>
      <c r="R59" s="1" t="s">
        <v>74</v>
      </c>
      <c r="S59" s="1" t="s">
        <v>74</v>
      </c>
      <c r="T59" s="1" t="s">
        <v>74</v>
      </c>
      <c r="U59" s="1" t="s">
        <v>74</v>
      </c>
      <c r="V59" s="1" t="s">
        <v>74</v>
      </c>
      <c r="W59" s="1" t="s">
        <v>74</v>
      </c>
      <c r="X59" s="1" t="s">
        <v>74</v>
      </c>
      <c r="Y59" s="1" t="s">
        <v>74</v>
      </c>
      <c r="Z59" s="1" t="s">
        <v>74</v>
      </c>
      <c r="AA59" s="1" t="s">
        <v>74</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670</v>
      </c>
      <c r="AP59" s="1" t="s">
        <v>74</v>
      </c>
      <c r="AQ59" s="1" t="s">
        <v>74</v>
      </c>
      <c r="AR59" s="1" t="s">
        <v>74</v>
      </c>
      <c r="AS59" s="1" t="s">
        <v>74</v>
      </c>
      <c r="AT59" s="1" t="s">
        <v>319</v>
      </c>
      <c r="AU59" s="1">
        <v>1988.0</v>
      </c>
      <c r="AV59" s="1">
        <v>122.0</v>
      </c>
      <c r="AW59" s="1">
        <v>1.0</v>
      </c>
      <c r="AX59" s="1" t="s">
        <v>74</v>
      </c>
      <c r="AY59" s="1" t="s">
        <v>74</v>
      </c>
      <c r="AZ59" s="1" t="s">
        <v>74</v>
      </c>
      <c r="BA59" s="1" t="s">
        <v>74</v>
      </c>
      <c r="BB59" s="1">
        <v>201.0</v>
      </c>
      <c r="BC59" s="1">
        <v>208.0</v>
      </c>
      <c r="BD59" s="1" t="s">
        <v>74</v>
      </c>
      <c r="BE59" s="1" t="s">
        <v>671</v>
      </c>
      <c r="BF59" s="2" t="str">
        <f>HYPERLINK("http://dx.doi.org/10.1016/0021-9797(88)90303-7","http://dx.doi.org/10.1016/0021-9797(88)90303-7")</f>
        <v>http://dx.doi.org/10.1016/0021-9797(88)90303-7</v>
      </c>
      <c r="BG59" s="1" t="s">
        <v>74</v>
      </c>
      <c r="BH59" s="1" t="s">
        <v>74</v>
      </c>
      <c r="BI59" s="1" t="s">
        <v>74</v>
      </c>
      <c r="BJ59" s="1" t="s">
        <v>74</v>
      </c>
      <c r="BK59" s="1" t="s">
        <v>74</v>
      </c>
      <c r="BL59" s="1" t="s">
        <v>74</v>
      </c>
      <c r="BM59" s="1" t="s">
        <v>74</v>
      </c>
      <c r="BN59" s="1" t="s">
        <v>74</v>
      </c>
      <c r="BO59" s="1" t="s">
        <v>74</v>
      </c>
      <c r="BP59" s="1" t="s">
        <v>74</v>
      </c>
      <c r="BQ59" s="1" t="s">
        <v>74</v>
      </c>
      <c r="BR59" s="1" t="s">
        <v>74</v>
      </c>
      <c r="BS59" s="1" t="s">
        <v>672</v>
      </c>
      <c r="BT59" s="1" t="str">
        <f>HYPERLINK("https%3A%2F%2Fwww.webofscience.com%2Fwos%2Fwoscc%2Ffull-record%2FWOS:A1988M370600023","View Full Record in Web of Science")</f>
        <v>View Full Record in Web of Science</v>
      </c>
    </row>
    <row r="60" ht="12.75" customHeight="1">
      <c r="A60" s="1" t="s">
        <v>72</v>
      </c>
      <c r="B60" s="1" t="s">
        <v>673</v>
      </c>
      <c r="C60" s="1" t="s">
        <v>74</v>
      </c>
      <c r="D60" s="1" t="s">
        <v>74</v>
      </c>
      <c r="E60" s="1" t="s">
        <v>74</v>
      </c>
      <c r="F60" s="1" t="s">
        <v>674</v>
      </c>
      <c r="G60" s="1" t="s">
        <v>74</v>
      </c>
      <c r="H60" s="1" t="s">
        <v>74</v>
      </c>
      <c r="I60" s="1" t="s">
        <v>675</v>
      </c>
      <c r="J60" s="1" t="s">
        <v>676</v>
      </c>
      <c r="K60" s="1" t="s">
        <v>74</v>
      </c>
      <c r="L60" s="1" t="s">
        <v>74</v>
      </c>
      <c r="M60" s="1" t="s">
        <v>74</v>
      </c>
      <c r="N60" s="1" t="s">
        <v>74</v>
      </c>
      <c r="O60" s="1" t="s">
        <v>74</v>
      </c>
      <c r="P60" s="1" t="s">
        <v>74</v>
      </c>
      <c r="Q60" s="1" t="s">
        <v>74</v>
      </c>
      <c r="R60" s="1" t="s">
        <v>74</v>
      </c>
      <c r="S60" s="1" t="s">
        <v>74</v>
      </c>
      <c r="T60" s="1" t="s">
        <v>74</v>
      </c>
      <c r="U60" s="1" t="s">
        <v>74</v>
      </c>
      <c r="V60" s="1" t="s">
        <v>677</v>
      </c>
      <c r="W60" s="1" t="s">
        <v>74</v>
      </c>
      <c r="X60" s="1" t="s">
        <v>74</v>
      </c>
      <c r="Y60" s="1" t="s">
        <v>74</v>
      </c>
      <c r="Z60" s="1" t="s">
        <v>74</v>
      </c>
      <c r="AA60" s="1" t="s">
        <v>74</v>
      </c>
      <c r="AB60" s="1" t="s">
        <v>74</v>
      </c>
      <c r="AC60" s="1" t="s">
        <v>74</v>
      </c>
      <c r="AD60" s="1" t="s">
        <v>74</v>
      </c>
      <c r="AE60" s="1" t="s">
        <v>74</v>
      </c>
      <c r="AF60" s="1" t="s">
        <v>74</v>
      </c>
      <c r="AG60" s="1" t="s">
        <v>74</v>
      </c>
      <c r="AH60" s="1" t="s">
        <v>74</v>
      </c>
      <c r="AI60" s="1" t="s">
        <v>74</v>
      </c>
      <c r="AJ60" s="1" t="s">
        <v>74</v>
      </c>
      <c r="AK60" s="1" t="s">
        <v>74</v>
      </c>
      <c r="AL60" s="1" t="s">
        <v>74</v>
      </c>
      <c r="AM60" s="1" t="s">
        <v>74</v>
      </c>
      <c r="AN60" s="1" t="s">
        <v>74</v>
      </c>
      <c r="AO60" s="1" t="s">
        <v>678</v>
      </c>
      <c r="AP60" s="1" t="s">
        <v>679</v>
      </c>
      <c r="AQ60" s="1" t="s">
        <v>74</v>
      </c>
      <c r="AR60" s="1" t="s">
        <v>74</v>
      </c>
      <c r="AS60" s="1" t="s">
        <v>74</v>
      </c>
      <c r="AT60" s="1" t="s">
        <v>680</v>
      </c>
      <c r="AU60" s="1">
        <v>2024.0</v>
      </c>
      <c r="AV60" s="1" t="s">
        <v>74</v>
      </c>
      <c r="AW60" s="1">
        <v>70.0</v>
      </c>
      <c r="AX60" s="1" t="s">
        <v>74</v>
      </c>
      <c r="AY60" s="1" t="s">
        <v>74</v>
      </c>
      <c r="AZ60" s="1" t="s">
        <v>74</v>
      </c>
      <c r="BA60" s="1" t="s">
        <v>74</v>
      </c>
      <c r="BB60" s="1" t="s">
        <v>74</v>
      </c>
      <c r="BC60" s="1" t="s">
        <v>74</v>
      </c>
      <c r="BD60" s="1">
        <v>1451.0</v>
      </c>
      <c r="BE60" s="1" t="s">
        <v>681</v>
      </c>
      <c r="BF60" s="2" t="str">
        <f>HYPERLINK("http://dx.doi.org/10.3989/isegoria.2024.70.1451","http://dx.doi.org/10.3989/isegoria.2024.70.1451")</f>
        <v>http://dx.doi.org/10.3989/isegoria.2024.70.1451</v>
      </c>
      <c r="BG60" s="1" t="s">
        <v>74</v>
      </c>
      <c r="BH60" s="1" t="s">
        <v>74</v>
      </c>
      <c r="BI60" s="1" t="s">
        <v>74</v>
      </c>
      <c r="BJ60" s="1" t="s">
        <v>74</v>
      </c>
      <c r="BK60" s="1" t="s">
        <v>74</v>
      </c>
      <c r="BL60" s="1" t="s">
        <v>74</v>
      </c>
      <c r="BM60" s="1" t="s">
        <v>74</v>
      </c>
      <c r="BN60" s="1" t="s">
        <v>74</v>
      </c>
      <c r="BO60" s="1" t="s">
        <v>74</v>
      </c>
      <c r="BP60" s="1" t="s">
        <v>74</v>
      </c>
      <c r="BQ60" s="1" t="s">
        <v>74</v>
      </c>
      <c r="BR60" s="1" t="s">
        <v>74</v>
      </c>
      <c r="BS60" s="1" t="s">
        <v>682</v>
      </c>
      <c r="BT60" s="1" t="str">
        <f>HYPERLINK("https%3A%2F%2Fwww.webofscience.com%2Fwos%2Fwoscc%2Ffull-record%2FWOS:001367162400028","View Full Record in Web of Science")</f>
        <v>View Full Record in Web of Science</v>
      </c>
    </row>
    <row r="61" ht="12.75" customHeight="1">
      <c r="A61" s="1" t="s">
        <v>72</v>
      </c>
      <c r="B61" s="1" t="s">
        <v>683</v>
      </c>
      <c r="C61" s="1" t="s">
        <v>74</v>
      </c>
      <c r="D61" s="1" t="s">
        <v>74</v>
      </c>
      <c r="E61" s="1" t="s">
        <v>74</v>
      </c>
      <c r="F61" s="1" t="s">
        <v>684</v>
      </c>
      <c r="G61" s="1" t="s">
        <v>74</v>
      </c>
      <c r="H61" s="1" t="s">
        <v>74</v>
      </c>
      <c r="I61" s="1" t="s">
        <v>685</v>
      </c>
      <c r="J61" s="1" t="s">
        <v>686</v>
      </c>
      <c r="K61" s="1" t="s">
        <v>74</v>
      </c>
      <c r="L61" s="1" t="s">
        <v>74</v>
      </c>
      <c r="M61" s="1" t="s">
        <v>74</v>
      </c>
      <c r="N61" s="1" t="s">
        <v>74</v>
      </c>
      <c r="O61" s="1" t="s">
        <v>74</v>
      </c>
      <c r="P61" s="1" t="s">
        <v>74</v>
      </c>
      <c r="Q61" s="1" t="s">
        <v>74</v>
      </c>
      <c r="R61" s="1" t="s">
        <v>74</v>
      </c>
      <c r="S61" s="1" t="s">
        <v>74</v>
      </c>
      <c r="T61" s="1" t="s">
        <v>74</v>
      </c>
      <c r="U61" s="1" t="s">
        <v>74</v>
      </c>
      <c r="V61" s="1" t="s">
        <v>687</v>
      </c>
      <c r="W61" s="1" t="s">
        <v>74</v>
      </c>
      <c r="X61" s="1" t="s">
        <v>74</v>
      </c>
      <c r="Y61" s="1" t="s">
        <v>74</v>
      </c>
      <c r="Z61" s="1" t="s">
        <v>74</v>
      </c>
      <c r="AA61" s="1" t="s">
        <v>688</v>
      </c>
      <c r="AB61" s="1" t="s">
        <v>689</v>
      </c>
      <c r="AC61" s="1" t="s">
        <v>74</v>
      </c>
      <c r="AD61" s="1" t="s">
        <v>74</v>
      </c>
      <c r="AE61" s="1" t="s">
        <v>74</v>
      </c>
      <c r="AF61" s="1" t="s">
        <v>74</v>
      </c>
      <c r="AG61" s="1" t="s">
        <v>74</v>
      </c>
      <c r="AH61" s="1" t="s">
        <v>74</v>
      </c>
      <c r="AI61" s="1" t="s">
        <v>74</v>
      </c>
      <c r="AJ61" s="1" t="s">
        <v>74</v>
      </c>
      <c r="AK61" s="1" t="s">
        <v>74</v>
      </c>
      <c r="AL61" s="1" t="s">
        <v>74</v>
      </c>
      <c r="AM61" s="1" t="s">
        <v>74</v>
      </c>
      <c r="AN61" s="1" t="s">
        <v>74</v>
      </c>
      <c r="AO61" s="1" t="s">
        <v>690</v>
      </c>
      <c r="AP61" s="1" t="s">
        <v>691</v>
      </c>
      <c r="AQ61" s="1" t="s">
        <v>74</v>
      </c>
      <c r="AR61" s="1" t="s">
        <v>74</v>
      </c>
      <c r="AS61" s="1" t="s">
        <v>74</v>
      </c>
      <c r="AT61" s="1" t="s">
        <v>82</v>
      </c>
      <c r="AU61" s="1">
        <v>2023.0</v>
      </c>
      <c r="AV61" s="1">
        <v>129.0</v>
      </c>
      <c r="AW61" s="1">
        <v>6.0</v>
      </c>
      <c r="AX61" s="1" t="s">
        <v>74</v>
      </c>
      <c r="AY61" s="1" t="s">
        <v>74</v>
      </c>
      <c r="AZ61" s="1" t="s">
        <v>74</v>
      </c>
      <c r="BA61" s="1" t="s">
        <v>74</v>
      </c>
      <c r="BB61" s="1" t="s">
        <v>74</v>
      </c>
      <c r="BC61" s="1" t="s">
        <v>74</v>
      </c>
      <c r="BD61" s="1">
        <v>88.0</v>
      </c>
      <c r="BE61" s="1" t="s">
        <v>692</v>
      </c>
      <c r="BF61" s="2" t="str">
        <f>HYPERLINK("http://dx.doi.org/10.1007/s00340-023-08021-y","http://dx.doi.org/10.1007/s00340-023-08021-y")</f>
        <v>http://dx.doi.org/10.1007/s00340-023-08021-y</v>
      </c>
      <c r="BG61" s="1" t="s">
        <v>74</v>
      </c>
      <c r="BH61" s="1" t="s">
        <v>74</v>
      </c>
      <c r="BI61" s="1" t="s">
        <v>74</v>
      </c>
      <c r="BJ61" s="1" t="s">
        <v>74</v>
      </c>
      <c r="BK61" s="1" t="s">
        <v>74</v>
      </c>
      <c r="BL61" s="1" t="s">
        <v>74</v>
      </c>
      <c r="BM61" s="1" t="s">
        <v>74</v>
      </c>
      <c r="BN61" s="1" t="s">
        <v>74</v>
      </c>
      <c r="BO61" s="1" t="s">
        <v>74</v>
      </c>
      <c r="BP61" s="1" t="s">
        <v>74</v>
      </c>
      <c r="BQ61" s="1" t="s">
        <v>74</v>
      </c>
      <c r="BR61" s="1" t="s">
        <v>74</v>
      </c>
      <c r="BS61" s="1" t="s">
        <v>693</v>
      </c>
      <c r="BT61" s="1" t="str">
        <f>HYPERLINK("https%3A%2F%2Fwww.webofscience.com%2Fwos%2Fwoscc%2Ffull-record%2FWOS:000984854900001","View Full Record in Web of Science")</f>
        <v>View Full Record in Web of Science</v>
      </c>
    </row>
    <row r="62" ht="12.75" customHeight="1">
      <c r="A62" s="1" t="s">
        <v>72</v>
      </c>
      <c r="B62" s="1" t="s">
        <v>694</v>
      </c>
      <c r="C62" s="1" t="s">
        <v>74</v>
      </c>
      <c r="D62" s="1" t="s">
        <v>74</v>
      </c>
      <c r="E62" s="1" t="s">
        <v>74</v>
      </c>
      <c r="F62" s="1" t="s">
        <v>695</v>
      </c>
      <c r="G62" s="1" t="s">
        <v>74</v>
      </c>
      <c r="H62" s="1" t="s">
        <v>74</v>
      </c>
      <c r="I62" s="1" t="s">
        <v>696</v>
      </c>
      <c r="J62" s="1" t="s">
        <v>697</v>
      </c>
      <c r="K62" s="1" t="s">
        <v>74</v>
      </c>
      <c r="L62" s="1" t="s">
        <v>74</v>
      </c>
      <c r="M62" s="1" t="s">
        <v>74</v>
      </c>
      <c r="N62" s="1" t="s">
        <v>74</v>
      </c>
      <c r="O62" s="1" t="s">
        <v>74</v>
      </c>
      <c r="P62" s="1" t="s">
        <v>74</v>
      </c>
      <c r="Q62" s="1" t="s">
        <v>74</v>
      </c>
      <c r="R62" s="1" t="s">
        <v>74</v>
      </c>
      <c r="S62" s="1" t="s">
        <v>74</v>
      </c>
      <c r="T62" s="1" t="s">
        <v>74</v>
      </c>
      <c r="U62" s="1" t="s">
        <v>74</v>
      </c>
      <c r="V62" s="1" t="s">
        <v>698</v>
      </c>
      <c r="W62" s="1" t="s">
        <v>74</v>
      </c>
      <c r="X62" s="1" t="s">
        <v>74</v>
      </c>
      <c r="Y62" s="1" t="s">
        <v>74</v>
      </c>
      <c r="Z62" s="1" t="s">
        <v>74</v>
      </c>
      <c r="AA62" s="1" t="s">
        <v>74</v>
      </c>
      <c r="AB62" s="1" t="s">
        <v>74</v>
      </c>
      <c r="AC62" s="1" t="s">
        <v>74</v>
      </c>
      <c r="AD62" s="1" t="s">
        <v>74</v>
      </c>
      <c r="AE62" s="1" t="s">
        <v>74</v>
      </c>
      <c r="AF62" s="1" t="s">
        <v>74</v>
      </c>
      <c r="AG62" s="1" t="s">
        <v>74</v>
      </c>
      <c r="AH62" s="1" t="s">
        <v>74</v>
      </c>
      <c r="AI62" s="1" t="s">
        <v>74</v>
      </c>
      <c r="AJ62" s="1" t="s">
        <v>74</v>
      </c>
      <c r="AK62" s="1" t="s">
        <v>74</v>
      </c>
      <c r="AL62" s="1" t="s">
        <v>74</v>
      </c>
      <c r="AM62" s="1" t="s">
        <v>74</v>
      </c>
      <c r="AN62" s="1" t="s">
        <v>74</v>
      </c>
      <c r="AO62" s="1" t="s">
        <v>699</v>
      </c>
      <c r="AP62" s="1" t="s">
        <v>700</v>
      </c>
      <c r="AQ62" s="1" t="s">
        <v>74</v>
      </c>
      <c r="AR62" s="1" t="s">
        <v>74</v>
      </c>
      <c r="AS62" s="1" t="s">
        <v>74</v>
      </c>
      <c r="AT62" s="1" t="s">
        <v>701</v>
      </c>
      <c r="AU62" s="1">
        <v>2023.0</v>
      </c>
      <c r="AV62" s="1" t="s">
        <v>74</v>
      </c>
      <c r="AW62" s="1">
        <v>88.0</v>
      </c>
      <c r="AX62" s="1" t="s">
        <v>74</v>
      </c>
      <c r="AY62" s="1" t="s">
        <v>74</v>
      </c>
      <c r="AZ62" s="1" t="s">
        <v>74</v>
      </c>
      <c r="BA62" s="1" t="s">
        <v>74</v>
      </c>
      <c r="BB62" s="1">
        <v>69.0</v>
      </c>
      <c r="BC62" s="1">
        <v>92.0</v>
      </c>
      <c r="BD62" s="1" t="s">
        <v>74</v>
      </c>
      <c r="BE62" s="1" t="s">
        <v>702</v>
      </c>
      <c r="BF62" s="2" t="str">
        <f>HYPERLINK("http://dx.doi.org/10.7440/histcrit88.2023.03","http://dx.doi.org/10.7440/histcrit88.2023.03")</f>
        <v>http://dx.doi.org/10.7440/histcrit88.2023.03</v>
      </c>
      <c r="BG62" s="1" t="s">
        <v>74</v>
      </c>
      <c r="BH62" s="1" t="s">
        <v>74</v>
      </c>
      <c r="BI62" s="1" t="s">
        <v>74</v>
      </c>
      <c r="BJ62" s="1" t="s">
        <v>74</v>
      </c>
      <c r="BK62" s="1" t="s">
        <v>74</v>
      </c>
      <c r="BL62" s="1" t="s">
        <v>74</v>
      </c>
      <c r="BM62" s="1" t="s">
        <v>74</v>
      </c>
      <c r="BN62" s="1" t="s">
        <v>74</v>
      </c>
      <c r="BO62" s="1" t="s">
        <v>74</v>
      </c>
      <c r="BP62" s="1" t="s">
        <v>74</v>
      </c>
      <c r="BQ62" s="1" t="s">
        <v>74</v>
      </c>
      <c r="BR62" s="1" t="s">
        <v>74</v>
      </c>
      <c r="BS62" s="1" t="s">
        <v>703</v>
      </c>
      <c r="BT62" s="1" t="str">
        <f>HYPERLINK("https%3A%2F%2Fwww.webofscience.com%2Fwos%2Fwoscc%2Ffull-record%2FWOS:000979868800003","View Full Record in Web of Science")</f>
        <v>View Full Record in Web of Science</v>
      </c>
    </row>
    <row r="63" ht="12.75" customHeight="1">
      <c r="A63" s="1" t="s">
        <v>72</v>
      </c>
      <c r="B63" s="1" t="s">
        <v>704</v>
      </c>
      <c r="C63" s="1" t="s">
        <v>74</v>
      </c>
      <c r="D63" s="1" t="s">
        <v>74</v>
      </c>
      <c r="E63" s="1" t="s">
        <v>74</v>
      </c>
      <c r="F63" s="1" t="s">
        <v>705</v>
      </c>
      <c r="G63" s="1" t="s">
        <v>74</v>
      </c>
      <c r="H63" s="1" t="s">
        <v>74</v>
      </c>
      <c r="I63" s="1" t="s">
        <v>706</v>
      </c>
      <c r="J63" s="1" t="s">
        <v>707</v>
      </c>
      <c r="K63" s="1" t="s">
        <v>74</v>
      </c>
      <c r="L63" s="1" t="s">
        <v>74</v>
      </c>
      <c r="M63" s="1" t="s">
        <v>74</v>
      </c>
      <c r="N63" s="1" t="s">
        <v>74</v>
      </c>
      <c r="O63" s="1" t="s">
        <v>74</v>
      </c>
      <c r="P63" s="1" t="s">
        <v>74</v>
      </c>
      <c r="Q63" s="1" t="s">
        <v>74</v>
      </c>
      <c r="R63" s="1" t="s">
        <v>74</v>
      </c>
      <c r="S63" s="1" t="s">
        <v>74</v>
      </c>
      <c r="T63" s="1" t="s">
        <v>74</v>
      </c>
      <c r="U63" s="1" t="s">
        <v>74</v>
      </c>
      <c r="V63" s="1" t="s">
        <v>708</v>
      </c>
      <c r="W63" s="1" t="s">
        <v>74</v>
      </c>
      <c r="X63" s="1" t="s">
        <v>74</v>
      </c>
      <c r="Y63" s="1" t="s">
        <v>74</v>
      </c>
      <c r="Z63" s="1" t="s">
        <v>74</v>
      </c>
      <c r="AA63" s="1" t="s">
        <v>709</v>
      </c>
      <c r="AB63" s="1" t="s">
        <v>74</v>
      </c>
      <c r="AC63" s="1" t="s">
        <v>74</v>
      </c>
      <c r="AD63" s="1" t="s">
        <v>74</v>
      </c>
      <c r="AE63" s="1" t="s">
        <v>74</v>
      </c>
      <c r="AF63" s="1" t="s">
        <v>74</v>
      </c>
      <c r="AG63" s="1" t="s">
        <v>74</v>
      </c>
      <c r="AH63" s="1" t="s">
        <v>74</v>
      </c>
      <c r="AI63" s="1" t="s">
        <v>74</v>
      </c>
      <c r="AJ63" s="1" t="s">
        <v>74</v>
      </c>
      <c r="AK63" s="1" t="s">
        <v>74</v>
      </c>
      <c r="AL63" s="1" t="s">
        <v>74</v>
      </c>
      <c r="AM63" s="1" t="s">
        <v>74</v>
      </c>
      <c r="AN63" s="1" t="s">
        <v>74</v>
      </c>
      <c r="AO63" s="1" t="s">
        <v>710</v>
      </c>
      <c r="AP63" s="1" t="s">
        <v>711</v>
      </c>
      <c r="AQ63" s="1" t="s">
        <v>74</v>
      </c>
      <c r="AR63" s="1" t="s">
        <v>74</v>
      </c>
      <c r="AS63" s="1" t="s">
        <v>74</v>
      </c>
      <c r="AT63" s="1" t="s">
        <v>74</v>
      </c>
      <c r="AU63" s="1">
        <v>2023.0</v>
      </c>
      <c r="AV63" s="1" t="s">
        <v>74</v>
      </c>
      <c r="AW63" s="1">
        <v>71.0</v>
      </c>
      <c r="AX63" s="1" t="s">
        <v>74</v>
      </c>
      <c r="AY63" s="1" t="s">
        <v>74</v>
      </c>
      <c r="AZ63" s="1" t="s">
        <v>74</v>
      </c>
      <c r="BA63" s="1" t="s">
        <v>74</v>
      </c>
      <c r="BB63" s="1">
        <v>121.0</v>
      </c>
      <c r="BC63" s="1">
        <v>152.0</v>
      </c>
      <c r="BD63" s="1" t="s">
        <v>74</v>
      </c>
      <c r="BE63" s="1" t="s">
        <v>712</v>
      </c>
      <c r="BF63" s="2" t="str">
        <f>HYPERLINK("http://dx.doi.org/10.1387/hc.22585","http://dx.doi.org/10.1387/hc.22585")</f>
        <v>http://dx.doi.org/10.1387/hc.22585</v>
      </c>
      <c r="BG63" s="1" t="s">
        <v>74</v>
      </c>
      <c r="BH63" s="1" t="s">
        <v>74</v>
      </c>
      <c r="BI63" s="1" t="s">
        <v>74</v>
      </c>
      <c r="BJ63" s="1" t="s">
        <v>74</v>
      </c>
      <c r="BK63" s="1" t="s">
        <v>74</v>
      </c>
      <c r="BL63" s="1" t="s">
        <v>74</v>
      </c>
      <c r="BM63" s="1" t="s">
        <v>74</v>
      </c>
      <c r="BN63" s="1" t="s">
        <v>74</v>
      </c>
      <c r="BO63" s="1" t="s">
        <v>74</v>
      </c>
      <c r="BP63" s="1" t="s">
        <v>74</v>
      </c>
      <c r="BQ63" s="1" t="s">
        <v>74</v>
      </c>
      <c r="BR63" s="1" t="s">
        <v>74</v>
      </c>
      <c r="BS63" s="1" t="s">
        <v>713</v>
      </c>
      <c r="BT63" s="1" t="str">
        <f>HYPERLINK("https%3A%2F%2Fwww.webofscience.com%2Fwos%2Fwoscc%2Ffull-record%2FWOS:000934068800005","View Full Record in Web of Science")</f>
        <v>View Full Record in Web of Science</v>
      </c>
    </row>
    <row r="64" ht="12.75" customHeight="1">
      <c r="A64" s="1" t="s">
        <v>72</v>
      </c>
      <c r="B64" s="1" t="s">
        <v>714</v>
      </c>
      <c r="C64" s="1" t="s">
        <v>74</v>
      </c>
      <c r="D64" s="1" t="s">
        <v>74</v>
      </c>
      <c r="E64" s="1" t="s">
        <v>74</v>
      </c>
      <c r="F64" s="1" t="s">
        <v>715</v>
      </c>
      <c r="G64" s="1" t="s">
        <v>74</v>
      </c>
      <c r="H64" s="1" t="s">
        <v>74</v>
      </c>
      <c r="I64" s="1" t="s">
        <v>716</v>
      </c>
      <c r="J64" s="1" t="s">
        <v>268</v>
      </c>
      <c r="K64" s="1" t="s">
        <v>74</v>
      </c>
      <c r="L64" s="1" t="s">
        <v>74</v>
      </c>
      <c r="M64" s="1" t="s">
        <v>74</v>
      </c>
      <c r="N64" s="1" t="s">
        <v>74</v>
      </c>
      <c r="O64" s="1" t="s">
        <v>74</v>
      </c>
      <c r="P64" s="1" t="s">
        <v>74</v>
      </c>
      <c r="Q64" s="1" t="s">
        <v>74</v>
      </c>
      <c r="R64" s="1" t="s">
        <v>74</v>
      </c>
      <c r="S64" s="1" t="s">
        <v>74</v>
      </c>
      <c r="T64" s="1" t="s">
        <v>74</v>
      </c>
      <c r="U64" s="1" t="s">
        <v>74</v>
      </c>
      <c r="V64" s="1" t="s">
        <v>717</v>
      </c>
      <c r="W64" s="1" t="s">
        <v>74</v>
      </c>
      <c r="X64" s="1" t="s">
        <v>74</v>
      </c>
      <c r="Y64" s="1" t="s">
        <v>74</v>
      </c>
      <c r="Z64" s="1" t="s">
        <v>74</v>
      </c>
      <c r="AA64" s="1" t="s">
        <v>718</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272</v>
      </c>
      <c r="AP64" s="1" t="s">
        <v>273</v>
      </c>
      <c r="AQ64" s="1" t="s">
        <v>74</v>
      </c>
      <c r="AR64" s="1" t="s">
        <v>74</v>
      </c>
      <c r="AS64" s="1" t="s">
        <v>74</v>
      </c>
      <c r="AT64" s="1" t="s">
        <v>719</v>
      </c>
      <c r="AU64" s="1">
        <v>2022.0</v>
      </c>
      <c r="AV64" s="1">
        <v>562.0</v>
      </c>
      <c r="AW64" s="1" t="s">
        <v>74</v>
      </c>
      <c r="AX64" s="1" t="s">
        <v>74</v>
      </c>
      <c r="AY64" s="1" t="s">
        <v>74</v>
      </c>
      <c r="AZ64" s="1" t="s">
        <v>74</v>
      </c>
      <c r="BA64" s="1" t="s">
        <v>74</v>
      </c>
      <c r="BB64" s="1" t="s">
        <v>74</v>
      </c>
      <c r="BC64" s="1" t="s">
        <v>74</v>
      </c>
      <c r="BD64" s="1">
        <v>169788.0</v>
      </c>
      <c r="BE64" s="1" t="s">
        <v>720</v>
      </c>
      <c r="BF64" s="2" t="str">
        <f>HYPERLINK("http://dx.doi.org/10.1016/j.jmmm.2022.169788","http://dx.doi.org/10.1016/j.jmmm.2022.169788")</f>
        <v>http://dx.doi.org/10.1016/j.jmmm.2022.169788</v>
      </c>
      <c r="BG64" s="1" t="s">
        <v>74</v>
      </c>
      <c r="BH64" s="1" t="s">
        <v>721</v>
      </c>
      <c r="BI64" s="1" t="s">
        <v>74</v>
      </c>
      <c r="BJ64" s="1" t="s">
        <v>74</v>
      </c>
      <c r="BK64" s="1" t="s">
        <v>74</v>
      </c>
      <c r="BL64" s="1" t="s">
        <v>74</v>
      </c>
      <c r="BM64" s="1" t="s">
        <v>74</v>
      </c>
      <c r="BN64" s="1" t="s">
        <v>74</v>
      </c>
      <c r="BO64" s="1" t="s">
        <v>74</v>
      </c>
      <c r="BP64" s="1" t="s">
        <v>74</v>
      </c>
      <c r="BQ64" s="1" t="s">
        <v>74</v>
      </c>
      <c r="BR64" s="1" t="s">
        <v>74</v>
      </c>
      <c r="BS64" s="1" t="s">
        <v>722</v>
      </c>
      <c r="BT64" s="1" t="str">
        <f>HYPERLINK("https%3A%2F%2Fwww.webofscience.com%2Fwos%2Fwoscc%2Ffull-record%2FWOS:000858989800005","View Full Record in Web of Science")</f>
        <v>View Full Record in Web of Science</v>
      </c>
    </row>
    <row r="65" ht="12.75" customHeight="1">
      <c r="A65" s="1" t="s">
        <v>72</v>
      </c>
      <c r="B65" s="1" t="s">
        <v>723</v>
      </c>
      <c r="C65" s="1" t="s">
        <v>74</v>
      </c>
      <c r="D65" s="1" t="s">
        <v>74</v>
      </c>
      <c r="E65" s="1" t="s">
        <v>74</v>
      </c>
      <c r="F65" s="1" t="s">
        <v>724</v>
      </c>
      <c r="G65" s="1" t="s">
        <v>74</v>
      </c>
      <c r="H65" s="1" t="s">
        <v>74</v>
      </c>
      <c r="I65" s="1" t="s">
        <v>725</v>
      </c>
      <c r="J65" s="1" t="s">
        <v>726</v>
      </c>
      <c r="K65" s="1" t="s">
        <v>74</v>
      </c>
      <c r="L65" s="1" t="s">
        <v>74</v>
      </c>
      <c r="M65" s="1" t="s">
        <v>74</v>
      </c>
      <c r="N65" s="1" t="s">
        <v>74</v>
      </c>
      <c r="O65" s="1" t="s">
        <v>74</v>
      </c>
      <c r="P65" s="1" t="s">
        <v>74</v>
      </c>
      <c r="Q65" s="1" t="s">
        <v>74</v>
      </c>
      <c r="R65" s="1" t="s">
        <v>74</v>
      </c>
      <c r="S65" s="1" t="s">
        <v>74</v>
      </c>
      <c r="T65" s="1" t="s">
        <v>74</v>
      </c>
      <c r="U65" s="1" t="s">
        <v>74</v>
      </c>
      <c r="V65" s="1" t="s">
        <v>727</v>
      </c>
      <c r="W65" s="1" t="s">
        <v>74</v>
      </c>
      <c r="X65" s="1" t="s">
        <v>74</v>
      </c>
      <c r="Y65" s="1" t="s">
        <v>74</v>
      </c>
      <c r="Z65" s="1" t="s">
        <v>74</v>
      </c>
      <c r="AA65" s="1" t="s">
        <v>74</v>
      </c>
      <c r="AB65" s="1" t="s">
        <v>728</v>
      </c>
      <c r="AC65" s="1" t="s">
        <v>74</v>
      </c>
      <c r="AD65" s="1" t="s">
        <v>74</v>
      </c>
      <c r="AE65" s="1" t="s">
        <v>74</v>
      </c>
      <c r="AF65" s="1" t="s">
        <v>74</v>
      </c>
      <c r="AG65" s="1" t="s">
        <v>74</v>
      </c>
      <c r="AH65" s="1" t="s">
        <v>74</v>
      </c>
      <c r="AI65" s="1" t="s">
        <v>74</v>
      </c>
      <c r="AJ65" s="1" t="s">
        <v>74</v>
      </c>
      <c r="AK65" s="1" t="s">
        <v>74</v>
      </c>
      <c r="AL65" s="1" t="s">
        <v>74</v>
      </c>
      <c r="AM65" s="1" t="s">
        <v>74</v>
      </c>
      <c r="AN65" s="1" t="s">
        <v>74</v>
      </c>
      <c r="AO65" s="1" t="s">
        <v>729</v>
      </c>
      <c r="AP65" s="1" t="s">
        <v>730</v>
      </c>
      <c r="AQ65" s="1" t="s">
        <v>74</v>
      </c>
      <c r="AR65" s="1" t="s">
        <v>74</v>
      </c>
      <c r="AS65" s="1" t="s">
        <v>74</v>
      </c>
      <c r="AT65" s="1" t="s">
        <v>160</v>
      </c>
      <c r="AU65" s="1">
        <v>2021.0</v>
      </c>
      <c r="AV65" s="1" t="s">
        <v>74</v>
      </c>
      <c r="AW65" s="1">
        <v>85.0</v>
      </c>
      <c r="AX65" s="1" t="s">
        <v>74</v>
      </c>
      <c r="AY65" s="1" t="s">
        <v>74</v>
      </c>
      <c r="AZ65" s="1" t="s">
        <v>74</v>
      </c>
      <c r="BA65" s="1" t="s">
        <v>74</v>
      </c>
      <c r="BB65" s="1">
        <v>99.0</v>
      </c>
      <c r="BC65" s="1">
        <v>127.0</v>
      </c>
      <c r="BD65" s="1" t="s">
        <v>74</v>
      </c>
      <c r="BE65" s="1" t="s">
        <v>731</v>
      </c>
      <c r="BF65" s="2" t="str">
        <f>HYPERLINK("http://dx.doi.org/10.26882/histagrar.085e03l","http://dx.doi.org/10.26882/histagrar.085e03l")</f>
        <v>http://dx.doi.org/10.26882/histagrar.085e03l</v>
      </c>
      <c r="BG65" s="1" t="s">
        <v>74</v>
      </c>
      <c r="BH65" s="1" t="s">
        <v>74</v>
      </c>
      <c r="BI65" s="1" t="s">
        <v>74</v>
      </c>
      <c r="BJ65" s="1" t="s">
        <v>74</v>
      </c>
      <c r="BK65" s="1" t="s">
        <v>74</v>
      </c>
      <c r="BL65" s="1" t="s">
        <v>74</v>
      </c>
      <c r="BM65" s="1" t="s">
        <v>74</v>
      </c>
      <c r="BN65" s="1" t="s">
        <v>74</v>
      </c>
      <c r="BO65" s="1" t="s">
        <v>74</v>
      </c>
      <c r="BP65" s="1" t="s">
        <v>74</v>
      </c>
      <c r="BQ65" s="1" t="s">
        <v>74</v>
      </c>
      <c r="BR65" s="1" t="s">
        <v>74</v>
      </c>
      <c r="BS65" s="1" t="s">
        <v>732</v>
      </c>
      <c r="BT65" s="1" t="str">
        <f>HYPERLINK("https%3A%2F%2Fwww.webofscience.com%2Fwos%2Fwoscc%2Ffull-record%2FWOS:000722209100004","View Full Record in Web of Science")</f>
        <v>View Full Record in Web of Science</v>
      </c>
    </row>
    <row r="66" ht="12.75" customHeight="1">
      <c r="A66" s="1" t="s">
        <v>72</v>
      </c>
      <c r="B66" s="1" t="s">
        <v>733</v>
      </c>
      <c r="C66" s="1" t="s">
        <v>74</v>
      </c>
      <c r="D66" s="1" t="s">
        <v>74</v>
      </c>
      <c r="E66" s="1" t="s">
        <v>74</v>
      </c>
      <c r="F66" s="1" t="s">
        <v>734</v>
      </c>
      <c r="G66" s="1" t="s">
        <v>74</v>
      </c>
      <c r="H66" s="1" t="s">
        <v>74</v>
      </c>
      <c r="I66" s="1" t="s">
        <v>735</v>
      </c>
      <c r="J66" s="1" t="s">
        <v>736</v>
      </c>
      <c r="K66" s="1" t="s">
        <v>74</v>
      </c>
      <c r="L66" s="1" t="s">
        <v>74</v>
      </c>
      <c r="M66" s="1" t="s">
        <v>74</v>
      </c>
      <c r="N66" s="1" t="s">
        <v>74</v>
      </c>
      <c r="O66" s="1" t="s">
        <v>74</v>
      </c>
      <c r="P66" s="1" t="s">
        <v>74</v>
      </c>
      <c r="Q66" s="1" t="s">
        <v>74</v>
      </c>
      <c r="R66" s="1" t="s">
        <v>74</v>
      </c>
      <c r="S66" s="1" t="s">
        <v>74</v>
      </c>
      <c r="T66" s="1" t="s">
        <v>74</v>
      </c>
      <c r="U66" s="1" t="s">
        <v>74</v>
      </c>
      <c r="V66" s="1" t="s">
        <v>737</v>
      </c>
      <c r="W66" s="1" t="s">
        <v>74</v>
      </c>
      <c r="X66" s="1" t="s">
        <v>74</v>
      </c>
      <c r="Y66" s="1" t="s">
        <v>74</v>
      </c>
      <c r="Z66" s="1" t="s">
        <v>74</v>
      </c>
      <c r="AA66" s="1" t="s">
        <v>738</v>
      </c>
      <c r="AB66" s="1" t="s">
        <v>739</v>
      </c>
      <c r="AC66" s="1" t="s">
        <v>74</v>
      </c>
      <c r="AD66" s="1" t="s">
        <v>74</v>
      </c>
      <c r="AE66" s="1" t="s">
        <v>74</v>
      </c>
      <c r="AF66" s="1" t="s">
        <v>74</v>
      </c>
      <c r="AG66" s="1" t="s">
        <v>74</v>
      </c>
      <c r="AH66" s="1" t="s">
        <v>74</v>
      </c>
      <c r="AI66" s="1" t="s">
        <v>74</v>
      </c>
      <c r="AJ66" s="1" t="s">
        <v>74</v>
      </c>
      <c r="AK66" s="1" t="s">
        <v>74</v>
      </c>
      <c r="AL66" s="1" t="s">
        <v>74</v>
      </c>
      <c r="AM66" s="1" t="s">
        <v>74</v>
      </c>
      <c r="AN66" s="1" t="s">
        <v>74</v>
      </c>
      <c r="AO66" s="1" t="s">
        <v>740</v>
      </c>
      <c r="AP66" s="1" t="s">
        <v>741</v>
      </c>
      <c r="AQ66" s="1" t="s">
        <v>74</v>
      </c>
      <c r="AR66" s="1" t="s">
        <v>74</v>
      </c>
      <c r="AS66" s="1" t="s">
        <v>74</v>
      </c>
      <c r="AT66" s="1" t="s">
        <v>94</v>
      </c>
      <c r="AU66" s="1">
        <v>2022.0</v>
      </c>
      <c r="AV66" s="1">
        <v>343.0</v>
      </c>
      <c r="AW66" s="1" t="s">
        <v>74</v>
      </c>
      <c r="AX66" s="1" t="s">
        <v>74</v>
      </c>
      <c r="AY66" s="1" t="s">
        <v>74</v>
      </c>
      <c r="AZ66" s="1" t="s">
        <v>74</v>
      </c>
      <c r="BA66" s="1" t="s">
        <v>74</v>
      </c>
      <c r="BB66" s="1" t="s">
        <v>74</v>
      </c>
      <c r="BC66" s="1" t="s">
        <v>74</v>
      </c>
      <c r="BD66" s="1">
        <v>126112.0</v>
      </c>
      <c r="BE66" s="1" t="s">
        <v>742</v>
      </c>
      <c r="BF66" s="2" t="str">
        <f>HYPERLINK("http://dx.doi.org/10.1016/j.biortech.2021.126112","http://dx.doi.org/10.1016/j.biortech.2021.126112")</f>
        <v>http://dx.doi.org/10.1016/j.biortech.2021.126112</v>
      </c>
      <c r="BG66" s="1" t="s">
        <v>74</v>
      </c>
      <c r="BH66" s="1" t="s">
        <v>743</v>
      </c>
      <c r="BI66" s="1" t="s">
        <v>74</v>
      </c>
      <c r="BJ66" s="1" t="s">
        <v>74</v>
      </c>
      <c r="BK66" s="1" t="s">
        <v>74</v>
      </c>
      <c r="BL66" s="1" t="s">
        <v>74</v>
      </c>
      <c r="BM66" s="1" t="s">
        <v>74</v>
      </c>
      <c r="BN66" s="1">
        <v>3.4648962E7</v>
      </c>
      <c r="BO66" s="1" t="s">
        <v>74</v>
      </c>
      <c r="BP66" s="1" t="s">
        <v>74</v>
      </c>
      <c r="BQ66" s="1" t="s">
        <v>74</v>
      </c>
      <c r="BR66" s="1" t="s">
        <v>74</v>
      </c>
      <c r="BS66" s="1" t="s">
        <v>744</v>
      </c>
      <c r="BT66" s="1" t="str">
        <f>HYPERLINK("https%3A%2F%2Fwww.webofscience.com%2Fwos%2Fwoscc%2Ffull-record%2FWOS:000711753400007","View Full Record in Web of Science")</f>
        <v>View Full Record in Web of Science</v>
      </c>
    </row>
    <row r="67" ht="12.75" customHeight="1">
      <c r="A67" s="1" t="s">
        <v>72</v>
      </c>
      <c r="B67" s="1" t="s">
        <v>745</v>
      </c>
      <c r="C67" s="1" t="s">
        <v>74</v>
      </c>
      <c r="D67" s="1" t="s">
        <v>74</v>
      </c>
      <c r="E67" s="1" t="s">
        <v>74</v>
      </c>
      <c r="F67" s="1" t="s">
        <v>746</v>
      </c>
      <c r="G67" s="1" t="s">
        <v>74</v>
      </c>
      <c r="H67" s="1" t="s">
        <v>74</v>
      </c>
      <c r="I67" s="1" t="s">
        <v>747</v>
      </c>
      <c r="J67" s="1" t="s">
        <v>748</v>
      </c>
      <c r="K67" s="1" t="s">
        <v>74</v>
      </c>
      <c r="L67" s="1" t="s">
        <v>74</v>
      </c>
      <c r="M67" s="1" t="s">
        <v>74</v>
      </c>
      <c r="N67" s="1" t="s">
        <v>74</v>
      </c>
      <c r="O67" s="1" t="s">
        <v>74</v>
      </c>
      <c r="P67" s="1" t="s">
        <v>74</v>
      </c>
      <c r="Q67" s="1" t="s">
        <v>74</v>
      </c>
      <c r="R67" s="1" t="s">
        <v>74</v>
      </c>
      <c r="S67" s="1" t="s">
        <v>74</v>
      </c>
      <c r="T67" s="1" t="s">
        <v>74</v>
      </c>
      <c r="U67" s="1" t="s">
        <v>74</v>
      </c>
      <c r="V67" s="1" t="s">
        <v>749</v>
      </c>
      <c r="W67" s="1" t="s">
        <v>74</v>
      </c>
      <c r="X67" s="1" t="s">
        <v>74</v>
      </c>
      <c r="Y67" s="1" t="s">
        <v>74</v>
      </c>
      <c r="Z67" s="1" t="s">
        <v>74</v>
      </c>
      <c r="AA67" s="1" t="s">
        <v>750</v>
      </c>
      <c r="AB67" s="1" t="s">
        <v>751</v>
      </c>
      <c r="AC67" s="1" t="s">
        <v>74</v>
      </c>
      <c r="AD67" s="1" t="s">
        <v>74</v>
      </c>
      <c r="AE67" s="1" t="s">
        <v>74</v>
      </c>
      <c r="AF67" s="1" t="s">
        <v>74</v>
      </c>
      <c r="AG67" s="1" t="s">
        <v>74</v>
      </c>
      <c r="AH67" s="1" t="s">
        <v>74</v>
      </c>
      <c r="AI67" s="1" t="s">
        <v>74</v>
      </c>
      <c r="AJ67" s="1" t="s">
        <v>74</v>
      </c>
      <c r="AK67" s="1" t="s">
        <v>74</v>
      </c>
      <c r="AL67" s="1" t="s">
        <v>74</v>
      </c>
      <c r="AM67" s="1" t="s">
        <v>74</v>
      </c>
      <c r="AN67" s="1" t="s">
        <v>74</v>
      </c>
      <c r="AO67" s="1" t="s">
        <v>752</v>
      </c>
      <c r="AP67" s="1" t="s">
        <v>753</v>
      </c>
      <c r="AQ67" s="1" t="s">
        <v>74</v>
      </c>
      <c r="AR67" s="1" t="s">
        <v>74</v>
      </c>
      <c r="AS67" s="1" t="s">
        <v>74</v>
      </c>
      <c r="AT67" s="1" t="s">
        <v>106</v>
      </c>
      <c r="AU67" s="1">
        <v>2021.0</v>
      </c>
      <c r="AV67" s="1">
        <v>81.0</v>
      </c>
      <c r="AW67" s="1">
        <v>3.0</v>
      </c>
      <c r="AX67" s="1" t="s">
        <v>74</v>
      </c>
      <c r="AY67" s="1" t="s">
        <v>74</v>
      </c>
      <c r="AZ67" s="1" t="s">
        <v>74</v>
      </c>
      <c r="BA67" s="1" t="s">
        <v>74</v>
      </c>
      <c r="BB67" s="1">
        <v>723.0</v>
      </c>
      <c r="BC67" s="1">
        <v>762.0</v>
      </c>
      <c r="BD67" s="1" t="s">
        <v>754</v>
      </c>
      <c r="BE67" s="1" t="s">
        <v>755</v>
      </c>
      <c r="BF67" s="2" t="str">
        <f>HYPERLINK("http://dx.doi.org/10.1017/S0022050721000383","http://dx.doi.org/10.1017/S0022050721000383")</f>
        <v>http://dx.doi.org/10.1017/S0022050721000383</v>
      </c>
      <c r="BG67" s="1" t="s">
        <v>74</v>
      </c>
      <c r="BH67" s="1" t="s">
        <v>74</v>
      </c>
      <c r="BI67" s="1" t="s">
        <v>74</v>
      </c>
      <c r="BJ67" s="1" t="s">
        <v>74</v>
      </c>
      <c r="BK67" s="1" t="s">
        <v>74</v>
      </c>
      <c r="BL67" s="1" t="s">
        <v>74</v>
      </c>
      <c r="BM67" s="1" t="s">
        <v>74</v>
      </c>
      <c r="BN67" s="1" t="s">
        <v>74</v>
      </c>
      <c r="BO67" s="1" t="s">
        <v>74</v>
      </c>
      <c r="BP67" s="1" t="s">
        <v>74</v>
      </c>
      <c r="BQ67" s="1" t="s">
        <v>74</v>
      </c>
      <c r="BR67" s="1" t="s">
        <v>74</v>
      </c>
      <c r="BS67" s="1" t="s">
        <v>756</v>
      </c>
      <c r="BT67" s="1" t="str">
        <f>HYPERLINK("https%3A%2F%2Fwww.webofscience.com%2Fwos%2Fwoscc%2Ffull-record%2FWOS:000692172200005","View Full Record in Web of Science")</f>
        <v>View Full Record in Web of Science</v>
      </c>
    </row>
    <row r="68" ht="12.75" customHeight="1">
      <c r="A68" s="1" t="s">
        <v>72</v>
      </c>
      <c r="B68" s="1" t="s">
        <v>757</v>
      </c>
      <c r="C68" s="1" t="s">
        <v>74</v>
      </c>
      <c r="D68" s="1" t="s">
        <v>74</v>
      </c>
      <c r="E68" s="1" t="s">
        <v>74</v>
      </c>
      <c r="F68" s="1" t="s">
        <v>758</v>
      </c>
      <c r="G68" s="1" t="s">
        <v>74</v>
      </c>
      <c r="H68" s="1" t="s">
        <v>74</v>
      </c>
      <c r="I68" s="1" t="s">
        <v>759</v>
      </c>
      <c r="J68" s="1" t="s">
        <v>760</v>
      </c>
      <c r="K68" s="1" t="s">
        <v>74</v>
      </c>
      <c r="L68" s="1" t="s">
        <v>74</v>
      </c>
      <c r="M68" s="1" t="s">
        <v>74</v>
      </c>
      <c r="N68" s="1" t="s">
        <v>74</v>
      </c>
      <c r="O68" s="1" t="s">
        <v>74</v>
      </c>
      <c r="P68" s="1" t="s">
        <v>74</v>
      </c>
      <c r="Q68" s="1" t="s">
        <v>74</v>
      </c>
      <c r="R68" s="1" t="s">
        <v>74</v>
      </c>
      <c r="S68" s="1" t="s">
        <v>74</v>
      </c>
      <c r="T68" s="1" t="s">
        <v>74</v>
      </c>
      <c r="U68" s="1" t="s">
        <v>74</v>
      </c>
      <c r="V68" s="1" t="s">
        <v>761</v>
      </c>
      <c r="W68" s="1" t="s">
        <v>74</v>
      </c>
      <c r="X68" s="1" t="s">
        <v>74</v>
      </c>
      <c r="Y68" s="1" t="s">
        <v>74</v>
      </c>
      <c r="Z68" s="1" t="s">
        <v>74</v>
      </c>
      <c r="AA68" s="1" t="s">
        <v>74</v>
      </c>
      <c r="AB68" s="1" t="s">
        <v>74</v>
      </c>
      <c r="AC68" s="1" t="s">
        <v>74</v>
      </c>
      <c r="AD68" s="1" t="s">
        <v>74</v>
      </c>
      <c r="AE68" s="1" t="s">
        <v>74</v>
      </c>
      <c r="AF68" s="1" t="s">
        <v>74</v>
      </c>
      <c r="AG68" s="1" t="s">
        <v>74</v>
      </c>
      <c r="AH68" s="1" t="s">
        <v>74</v>
      </c>
      <c r="AI68" s="1" t="s">
        <v>74</v>
      </c>
      <c r="AJ68" s="1" t="s">
        <v>74</v>
      </c>
      <c r="AK68" s="1" t="s">
        <v>74</v>
      </c>
      <c r="AL68" s="1" t="s">
        <v>74</v>
      </c>
      <c r="AM68" s="1" t="s">
        <v>74</v>
      </c>
      <c r="AN68" s="1" t="s">
        <v>74</v>
      </c>
      <c r="AO68" s="1" t="s">
        <v>762</v>
      </c>
      <c r="AP68" s="1" t="s">
        <v>74</v>
      </c>
      <c r="AQ68" s="1" t="s">
        <v>74</v>
      </c>
      <c r="AR68" s="1" t="s">
        <v>74</v>
      </c>
      <c r="AS68" s="1" t="s">
        <v>74</v>
      </c>
      <c r="AT68" s="1" t="s">
        <v>183</v>
      </c>
      <c r="AU68" s="1">
        <v>2021.0</v>
      </c>
      <c r="AV68" s="1">
        <v>8.0</v>
      </c>
      <c r="AW68" s="1">
        <v>23.0</v>
      </c>
      <c r="AX68" s="1" t="s">
        <v>74</v>
      </c>
      <c r="AY68" s="1" t="s">
        <v>74</v>
      </c>
      <c r="AZ68" s="1" t="s">
        <v>74</v>
      </c>
      <c r="BA68" s="1" t="s">
        <v>74</v>
      </c>
      <c r="BB68" s="1">
        <v>171.0</v>
      </c>
      <c r="BC68" s="1">
        <v>182.0</v>
      </c>
      <c r="BD68" s="1" t="s">
        <v>74</v>
      </c>
      <c r="BE68" s="1" t="s">
        <v>763</v>
      </c>
      <c r="BF68" s="2" t="str">
        <f>HYPERLINK("http://dx.doi.org/10.35588/rivar.v8i23.4953","http://dx.doi.org/10.35588/rivar.v8i23.4953")</f>
        <v>http://dx.doi.org/10.35588/rivar.v8i23.4953</v>
      </c>
      <c r="BG68" s="1" t="s">
        <v>74</v>
      </c>
      <c r="BH68" s="1" t="s">
        <v>74</v>
      </c>
      <c r="BI68" s="1" t="s">
        <v>74</v>
      </c>
      <c r="BJ68" s="1" t="s">
        <v>74</v>
      </c>
      <c r="BK68" s="1" t="s">
        <v>74</v>
      </c>
      <c r="BL68" s="1" t="s">
        <v>74</v>
      </c>
      <c r="BM68" s="1" t="s">
        <v>74</v>
      </c>
      <c r="BN68" s="1" t="s">
        <v>74</v>
      </c>
      <c r="BO68" s="1" t="s">
        <v>74</v>
      </c>
      <c r="BP68" s="1" t="s">
        <v>74</v>
      </c>
      <c r="BQ68" s="1" t="s">
        <v>74</v>
      </c>
      <c r="BR68" s="1" t="s">
        <v>74</v>
      </c>
      <c r="BS68" s="1" t="s">
        <v>764</v>
      </c>
      <c r="BT68" s="1" t="str">
        <f>HYPERLINK("https%3A%2F%2Fwww.webofscience.com%2Fwos%2Fwoscc%2Ffull-record%2FWOS:000662316900010","View Full Record in Web of Science")</f>
        <v>View Full Record in Web of Science</v>
      </c>
    </row>
    <row r="69" ht="12.75" customHeight="1">
      <c r="A69" s="1" t="s">
        <v>241</v>
      </c>
      <c r="B69" s="1" t="s">
        <v>765</v>
      </c>
      <c r="C69" s="1" t="s">
        <v>74</v>
      </c>
      <c r="D69" s="1" t="s">
        <v>766</v>
      </c>
      <c r="E69" s="1" t="s">
        <v>74</v>
      </c>
      <c r="F69" s="1" t="s">
        <v>767</v>
      </c>
      <c r="G69" s="1" t="s">
        <v>74</v>
      </c>
      <c r="H69" s="1" t="s">
        <v>74</v>
      </c>
      <c r="I69" s="1" t="s">
        <v>768</v>
      </c>
      <c r="J69" s="1" t="s">
        <v>769</v>
      </c>
      <c r="K69" s="1" t="s">
        <v>74</v>
      </c>
      <c r="L69" s="1" t="s">
        <v>74</v>
      </c>
      <c r="M69" s="1" t="s">
        <v>74</v>
      </c>
      <c r="N69" s="1" t="s">
        <v>74</v>
      </c>
      <c r="O69" s="1" t="s">
        <v>770</v>
      </c>
      <c r="P69" s="1" t="s">
        <v>771</v>
      </c>
      <c r="Q69" s="1" t="s">
        <v>772</v>
      </c>
      <c r="R69" s="1" t="s">
        <v>74</v>
      </c>
      <c r="S69" s="1" t="s">
        <v>74</v>
      </c>
      <c r="T69" s="1" t="s">
        <v>74</v>
      </c>
      <c r="U69" s="1" t="s">
        <v>74</v>
      </c>
      <c r="V69" s="1" t="s">
        <v>773</v>
      </c>
      <c r="W69" s="1" t="s">
        <v>74</v>
      </c>
      <c r="X69" s="1" t="s">
        <v>74</v>
      </c>
      <c r="Y69" s="1" t="s">
        <v>74</v>
      </c>
      <c r="Z69" s="1" t="s">
        <v>74</v>
      </c>
      <c r="AA69" s="1" t="s">
        <v>774</v>
      </c>
      <c r="AB69" s="1" t="s">
        <v>775</v>
      </c>
      <c r="AC69" s="1" t="s">
        <v>74</v>
      </c>
      <c r="AD69" s="1" t="s">
        <v>74</v>
      </c>
      <c r="AE69" s="1" t="s">
        <v>74</v>
      </c>
      <c r="AF69" s="1" t="s">
        <v>74</v>
      </c>
      <c r="AG69" s="1" t="s">
        <v>74</v>
      </c>
      <c r="AH69" s="1" t="s">
        <v>74</v>
      </c>
      <c r="AI69" s="1" t="s">
        <v>74</v>
      </c>
      <c r="AJ69" s="1" t="s">
        <v>74</v>
      </c>
      <c r="AK69" s="1" t="s">
        <v>74</v>
      </c>
      <c r="AL69" s="1" t="s">
        <v>74</v>
      </c>
      <c r="AM69" s="1" t="s">
        <v>74</v>
      </c>
      <c r="AN69" s="1" t="s">
        <v>74</v>
      </c>
      <c r="AO69" s="1" t="s">
        <v>74</v>
      </c>
      <c r="AP69" s="1" t="s">
        <v>74</v>
      </c>
      <c r="AQ69" s="1" t="s">
        <v>776</v>
      </c>
      <c r="AR69" s="1" t="s">
        <v>74</v>
      </c>
      <c r="AS69" s="1" t="s">
        <v>74</v>
      </c>
      <c r="AT69" s="1" t="s">
        <v>74</v>
      </c>
      <c r="AU69" s="1">
        <v>2021.0</v>
      </c>
      <c r="AV69" s="1" t="s">
        <v>74</v>
      </c>
      <c r="AW69" s="1" t="s">
        <v>74</v>
      </c>
      <c r="AX69" s="1" t="s">
        <v>74</v>
      </c>
      <c r="AY69" s="1" t="s">
        <v>74</v>
      </c>
      <c r="AZ69" s="1" t="s">
        <v>74</v>
      </c>
      <c r="BA69" s="1" t="s">
        <v>74</v>
      </c>
      <c r="BB69" s="1">
        <v>3.0</v>
      </c>
      <c r="BC69" s="1">
        <v>11.0</v>
      </c>
      <c r="BD69" s="1" t="s">
        <v>74</v>
      </c>
      <c r="BE69" s="1" t="s">
        <v>777</v>
      </c>
      <c r="BF69" s="2" t="str">
        <f>HYPERLINK("http://dx.doi.org/10.1201/9781003188476-1","http://dx.doi.org/10.1201/9781003188476-1")</f>
        <v>http://dx.doi.org/10.1201/9781003188476-1</v>
      </c>
      <c r="BG69" s="1" t="s">
        <v>74</v>
      </c>
      <c r="BH69" s="1" t="s">
        <v>74</v>
      </c>
      <c r="BI69" s="1" t="s">
        <v>74</v>
      </c>
      <c r="BJ69" s="1" t="s">
        <v>74</v>
      </c>
      <c r="BK69" s="1" t="s">
        <v>74</v>
      </c>
      <c r="BL69" s="1" t="s">
        <v>74</v>
      </c>
      <c r="BM69" s="1" t="s">
        <v>74</v>
      </c>
      <c r="BN69" s="1" t="s">
        <v>74</v>
      </c>
      <c r="BO69" s="1" t="s">
        <v>74</v>
      </c>
      <c r="BP69" s="1" t="s">
        <v>74</v>
      </c>
      <c r="BQ69" s="1" t="s">
        <v>74</v>
      </c>
      <c r="BR69" s="1" t="s">
        <v>74</v>
      </c>
      <c r="BS69" s="1" t="s">
        <v>778</v>
      </c>
      <c r="BT69" s="1" t="str">
        <f>HYPERLINK("https%3A%2F%2Fwww.webofscience.com%2Fwos%2Fwoscc%2Ffull-record%2FWOS:001228498700001","View Full Record in Web of Science")</f>
        <v>View Full Record in Web of Science</v>
      </c>
    </row>
    <row r="70" ht="12.75" customHeight="1">
      <c r="A70" s="1" t="s">
        <v>241</v>
      </c>
      <c r="B70" s="1" t="s">
        <v>779</v>
      </c>
      <c r="C70" s="1" t="s">
        <v>74</v>
      </c>
      <c r="D70" s="1" t="s">
        <v>74</v>
      </c>
      <c r="E70" s="1" t="s">
        <v>427</v>
      </c>
      <c r="F70" s="1" t="s">
        <v>780</v>
      </c>
      <c r="G70" s="1" t="s">
        <v>74</v>
      </c>
      <c r="H70" s="1" t="s">
        <v>74</v>
      </c>
      <c r="I70" s="1" t="s">
        <v>781</v>
      </c>
      <c r="J70" s="1" t="s">
        <v>782</v>
      </c>
      <c r="K70" s="1" t="s">
        <v>74</v>
      </c>
      <c r="L70" s="1" t="s">
        <v>74</v>
      </c>
      <c r="M70" s="1" t="s">
        <v>74</v>
      </c>
      <c r="N70" s="1" t="s">
        <v>74</v>
      </c>
      <c r="O70" s="1" t="s">
        <v>783</v>
      </c>
      <c r="P70" s="1" t="s">
        <v>784</v>
      </c>
      <c r="Q70" s="1" t="s">
        <v>785</v>
      </c>
      <c r="R70" s="1" t="s">
        <v>786</v>
      </c>
      <c r="S70" s="1" t="s">
        <v>74</v>
      </c>
      <c r="T70" s="1" t="s">
        <v>74</v>
      </c>
      <c r="U70" s="1" t="s">
        <v>74</v>
      </c>
      <c r="V70" s="1" t="s">
        <v>787</v>
      </c>
      <c r="W70" s="1" t="s">
        <v>74</v>
      </c>
      <c r="X70" s="1" t="s">
        <v>74</v>
      </c>
      <c r="Y70" s="1" t="s">
        <v>74</v>
      </c>
      <c r="Z70" s="1" t="s">
        <v>74</v>
      </c>
      <c r="AA70" s="1" t="s">
        <v>74</v>
      </c>
      <c r="AB70" s="1" t="s">
        <v>788</v>
      </c>
      <c r="AC70" s="1" t="s">
        <v>74</v>
      </c>
      <c r="AD70" s="1" t="s">
        <v>74</v>
      </c>
      <c r="AE70" s="1" t="s">
        <v>74</v>
      </c>
      <c r="AF70" s="1" t="s">
        <v>74</v>
      </c>
      <c r="AG70" s="1" t="s">
        <v>74</v>
      </c>
      <c r="AH70" s="1" t="s">
        <v>74</v>
      </c>
      <c r="AI70" s="1" t="s">
        <v>74</v>
      </c>
      <c r="AJ70" s="1" t="s">
        <v>74</v>
      </c>
      <c r="AK70" s="1" t="s">
        <v>74</v>
      </c>
      <c r="AL70" s="1" t="s">
        <v>74</v>
      </c>
      <c r="AM70" s="1" t="s">
        <v>74</v>
      </c>
      <c r="AN70" s="1" t="s">
        <v>74</v>
      </c>
      <c r="AO70" s="1" t="s">
        <v>74</v>
      </c>
      <c r="AP70" s="1" t="s">
        <v>74</v>
      </c>
      <c r="AQ70" s="1" t="s">
        <v>789</v>
      </c>
      <c r="AR70" s="1" t="s">
        <v>74</v>
      </c>
      <c r="AS70" s="1" t="s">
        <v>74</v>
      </c>
      <c r="AT70" s="1" t="s">
        <v>74</v>
      </c>
      <c r="AU70" s="1">
        <v>2019.0</v>
      </c>
      <c r="AV70" s="1" t="s">
        <v>74</v>
      </c>
      <c r="AW70" s="1" t="s">
        <v>74</v>
      </c>
      <c r="AX70" s="1" t="s">
        <v>74</v>
      </c>
      <c r="AY70" s="1" t="s">
        <v>74</v>
      </c>
      <c r="AZ70" s="1" t="s">
        <v>74</v>
      </c>
      <c r="BA70" s="1" t="s">
        <v>74</v>
      </c>
      <c r="BB70" s="1" t="s">
        <v>74</v>
      </c>
      <c r="BC70" s="1" t="s">
        <v>74</v>
      </c>
      <c r="BD70" s="1" t="s">
        <v>74</v>
      </c>
      <c r="BE70" s="1" t="s">
        <v>790</v>
      </c>
      <c r="BF70" s="2" t="str">
        <f>HYPERLINK("http://dx.doi.org/10.1109/chilecon47746.2019.8987984","http://dx.doi.org/10.1109/chilecon47746.2019.8987984")</f>
        <v>http://dx.doi.org/10.1109/chilecon47746.2019.8987984</v>
      </c>
      <c r="BG70" s="1" t="s">
        <v>74</v>
      </c>
      <c r="BH70" s="1" t="s">
        <v>74</v>
      </c>
      <c r="BI70" s="1" t="s">
        <v>74</v>
      </c>
      <c r="BJ70" s="1" t="s">
        <v>74</v>
      </c>
      <c r="BK70" s="1" t="s">
        <v>74</v>
      </c>
      <c r="BL70" s="1" t="s">
        <v>74</v>
      </c>
      <c r="BM70" s="1" t="s">
        <v>74</v>
      </c>
      <c r="BN70" s="1" t="s">
        <v>74</v>
      </c>
      <c r="BO70" s="1" t="s">
        <v>74</v>
      </c>
      <c r="BP70" s="1" t="s">
        <v>74</v>
      </c>
      <c r="BQ70" s="1" t="s">
        <v>74</v>
      </c>
      <c r="BR70" s="1" t="s">
        <v>74</v>
      </c>
      <c r="BS70" s="1" t="s">
        <v>791</v>
      </c>
      <c r="BT70" s="1" t="str">
        <f>HYPERLINK("https%3A%2F%2Fwww.webofscience.com%2Fwos%2Fwoscc%2Ffull-record%2FWOS:000542919100091","View Full Record in Web of Science")</f>
        <v>View Full Record in Web of Science</v>
      </c>
    </row>
    <row r="71" ht="12.75" customHeight="1">
      <c r="A71" s="1" t="s">
        <v>72</v>
      </c>
      <c r="B71" s="1" t="s">
        <v>792</v>
      </c>
      <c r="C71" s="1" t="s">
        <v>74</v>
      </c>
      <c r="D71" s="1" t="s">
        <v>74</v>
      </c>
      <c r="E71" s="1" t="s">
        <v>74</v>
      </c>
      <c r="F71" s="1" t="s">
        <v>793</v>
      </c>
      <c r="G71" s="1" t="s">
        <v>74</v>
      </c>
      <c r="H71" s="1" t="s">
        <v>74</v>
      </c>
      <c r="I71" s="1" t="s">
        <v>794</v>
      </c>
      <c r="J71" s="1" t="s">
        <v>795</v>
      </c>
      <c r="K71" s="1" t="s">
        <v>74</v>
      </c>
      <c r="L71" s="1" t="s">
        <v>74</v>
      </c>
      <c r="M71" s="1" t="s">
        <v>74</v>
      </c>
      <c r="N71" s="1" t="s">
        <v>74</v>
      </c>
      <c r="O71" s="1" t="s">
        <v>74</v>
      </c>
      <c r="P71" s="1" t="s">
        <v>74</v>
      </c>
      <c r="Q71" s="1" t="s">
        <v>74</v>
      </c>
      <c r="R71" s="1" t="s">
        <v>74</v>
      </c>
      <c r="S71" s="1" t="s">
        <v>74</v>
      </c>
      <c r="T71" s="1" t="s">
        <v>74</v>
      </c>
      <c r="U71" s="1" t="s">
        <v>74</v>
      </c>
      <c r="V71" s="1" t="s">
        <v>796</v>
      </c>
      <c r="W71" s="1" t="s">
        <v>74</v>
      </c>
      <c r="X71" s="1" t="s">
        <v>74</v>
      </c>
      <c r="Y71" s="1" t="s">
        <v>74</v>
      </c>
      <c r="Z71" s="1" t="s">
        <v>74</v>
      </c>
      <c r="AA71" s="1" t="s">
        <v>102</v>
      </c>
      <c r="AB71" s="1" t="s">
        <v>797</v>
      </c>
      <c r="AC71" s="1" t="s">
        <v>74</v>
      </c>
      <c r="AD71" s="1" t="s">
        <v>74</v>
      </c>
      <c r="AE71" s="1" t="s">
        <v>74</v>
      </c>
      <c r="AF71" s="1" t="s">
        <v>74</v>
      </c>
      <c r="AG71" s="1" t="s">
        <v>74</v>
      </c>
      <c r="AH71" s="1" t="s">
        <v>74</v>
      </c>
      <c r="AI71" s="1" t="s">
        <v>74</v>
      </c>
      <c r="AJ71" s="1" t="s">
        <v>74</v>
      </c>
      <c r="AK71" s="1" t="s">
        <v>74</v>
      </c>
      <c r="AL71" s="1" t="s">
        <v>74</v>
      </c>
      <c r="AM71" s="1" t="s">
        <v>74</v>
      </c>
      <c r="AN71" s="1" t="s">
        <v>74</v>
      </c>
      <c r="AO71" s="1" t="s">
        <v>798</v>
      </c>
      <c r="AP71" s="1" t="s">
        <v>799</v>
      </c>
      <c r="AQ71" s="1" t="s">
        <v>74</v>
      </c>
      <c r="AR71" s="1" t="s">
        <v>74</v>
      </c>
      <c r="AS71" s="1" t="s">
        <v>74</v>
      </c>
      <c r="AT71" s="1" t="s">
        <v>800</v>
      </c>
      <c r="AU71" s="1">
        <v>2018.0</v>
      </c>
      <c r="AV71" s="1">
        <v>245.0</v>
      </c>
      <c r="AW71" s="1" t="s">
        <v>74</v>
      </c>
      <c r="AX71" s="1" t="s">
        <v>74</v>
      </c>
      <c r="AY71" s="1" t="s">
        <v>74</v>
      </c>
      <c r="AZ71" s="1" t="s">
        <v>74</v>
      </c>
      <c r="BA71" s="1" t="s">
        <v>74</v>
      </c>
      <c r="BB71" s="1">
        <v>240.0</v>
      </c>
      <c r="BC71" s="1">
        <v>245.0</v>
      </c>
      <c r="BD71" s="1" t="s">
        <v>74</v>
      </c>
      <c r="BE71" s="1" t="s">
        <v>801</v>
      </c>
      <c r="BF71" s="2" t="str">
        <f>HYPERLINK("http://dx.doi.org/10.1016/j.foodchem.2017.10.094","http://dx.doi.org/10.1016/j.foodchem.2017.10.094")</f>
        <v>http://dx.doi.org/10.1016/j.foodchem.2017.10.094</v>
      </c>
      <c r="BG71" s="1" t="s">
        <v>74</v>
      </c>
      <c r="BH71" s="1" t="s">
        <v>74</v>
      </c>
      <c r="BI71" s="1" t="s">
        <v>74</v>
      </c>
      <c r="BJ71" s="1" t="s">
        <v>74</v>
      </c>
      <c r="BK71" s="1" t="s">
        <v>74</v>
      </c>
      <c r="BL71" s="1" t="s">
        <v>74</v>
      </c>
      <c r="BM71" s="1" t="s">
        <v>74</v>
      </c>
      <c r="BN71" s="1">
        <v>2.9287366E7</v>
      </c>
      <c r="BO71" s="1" t="s">
        <v>74</v>
      </c>
      <c r="BP71" s="1" t="s">
        <v>74</v>
      </c>
      <c r="BQ71" s="1" t="s">
        <v>74</v>
      </c>
      <c r="BR71" s="1" t="s">
        <v>74</v>
      </c>
      <c r="BS71" s="1" t="s">
        <v>802</v>
      </c>
      <c r="BT71" s="1" t="str">
        <f>HYPERLINK("https%3A%2F%2Fwww.webofscience.com%2Fwos%2Fwoscc%2Ffull-record%2FWOS:000418471100029","View Full Record in Web of Science")</f>
        <v>View Full Record in Web of Science</v>
      </c>
    </row>
    <row r="72" ht="12.75" customHeight="1">
      <c r="A72" s="1" t="s">
        <v>72</v>
      </c>
      <c r="B72" s="1" t="s">
        <v>803</v>
      </c>
      <c r="C72" s="1" t="s">
        <v>74</v>
      </c>
      <c r="D72" s="1" t="s">
        <v>74</v>
      </c>
      <c r="E72" s="1" t="s">
        <v>74</v>
      </c>
      <c r="F72" s="1" t="s">
        <v>804</v>
      </c>
      <c r="G72" s="1" t="s">
        <v>74</v>
      </c>
      <c r="H72" s="1" t="s">
        <v>74</v>
      </c>
      <c r="I72" s="1" t="s">
        <v>805</v>
      </c>
      <c r="J72" s="1" t="s">
        <v>806</v>
      </c>
      <c r="K72" s="1" t="s">
        <v>74</v>
      </c>
      <c r="L72" s="1" t="s">
        <v>74</v>
      </c>
      <c r="M72" s="1" t="s">
        <v>74</v>
      </c>
      <c r="N72" s="1" t="s">
        <v>74</v>
      </c>
      <c r="O72" s="1" t="s">
        <v>74</v>
      </c>
      <c r="P72" s="1" t="s">
        <v>74</v>
      </c>
      <c r="Q72" s="1" t="s">
        <v>74</v>
      </c>
      <c r="R72" s="1" t="s">
        <v>74</v>
      </c>
      <c r="S72" s="1" t="s">
        <v>74</v>
      </c>
      <c r="T72" s="1" t="s">
        <v>74</v>
      </c>
      <c r="U72" s="1" t="s">
        <v>74</v>
      </c>
      <c r="V72" s="1" t="s">
        <v>807</v>
      </c>
      <c r="W72" s="1" t="s">
        <v>74</v>
      </c>
      <c r="X72" s="1" t="s">
        <v>74</v>
      </c>
      <c r="Y72" s="1" t="s">
        <v>74</v>
      </c>
      <c r="Z72" s="1" t="s">
        <v>74</v>
      </c>
      <c r="AA72" s="1" t="s">
        <v>808</v>
      </c>
      <c r="AB72" s="1" t="s">
        <v>809</v>
      </c>
      <c r="AC72" s="1" t="s">
        <v>74</v>
      </c>
      <c r="AD72" s="1" t="s">
        <v>74</v>
      </c>
      <c r="AE72" s="1" t="s">
        <v>74</v>
      </c>
      <c r="AF72" s="1" t="s">
        <v>74</v>
      </c>
      <c r="AG72" s="1" t="s">
        <v>74</v>
      </c>
      <c r="AH72" s="1" t="s">
        <v>74</v>
      </c>
      <c r="AI72" s="1" t="s">
        <v>74</v>
      </c>
      <c r="AJ72" s="1" t="s">
        <v>74</v>
      </c>
      <c r="AK72" s="1" t="s">
        <v>74</v>
      </c>
      <c r="AL72" s="1" t="s">
        <v>74</v>
      </c>
      <c r="AM72" s="1" t="s">
        <v>74</v>
      </c>
      <c r="AN72" s="1" t="s">
        <v>74</v>
      </c>
      <c r="AO72" s="1" t="s">
        <v>810</v>
      </c>
      <c r="AP72" s="1" t="s">
        <v>74</v>
      </c>
      <c r="AQ72" s="1" t="s">
        <v>74</v>
      </c>
      <c r="AR72" s="1" t="s">
        <v>74</v>
      </c>
      <c r="AS72" s="1" t="s">
        <v>74</v>
      </c>
      <c r="AT72" s="1" t="s">
        <v>319</v>
      </c>
      <c r="AU72" s="1">
        <v>2018.0</v>
      </c>
      <c r="AV72" s="1">
        <v>16.0</v>
      </c>
      <c r="AW72" s="1">
        <v>3.0</v>
      </c>
      <c r="AX72" s="1" t="s">
        <v>74</v>
      </c>
      <c r="AY72" s="1" t="s">
        <v>74</v>
      </c>
      <c r="AZ72" s="1" t="s">
        <v>74</v>
      </c>
      <c r="BA72" s="1" t="s">
        <v>74</v>
      </c>
      <c r="BB72" s="1">
        <v>735.0</v>
      </c>
      <c r="BC72" s="1">
        <v>740.0</v>
      </c>
      <c r="BD72" s="1" t="s">
        <v>74</v>
      </c>
      <c r="BE72" s="1" t="s">
        <v>811</v>
      </c>
      <c r="BF72" s="2" t="str">
        <f>HYPERLINK("http://dx.doi.org/10.1109/TLA.2018.8358649","http://dx.doi.org/10.1109/TLA.2018.8358649")</f>
        <v>http://dx.doi.org/10.1109/TLA.2018.8358649</v>
      </c>
      <c r="BG72" s="1" t="s">
        <v>74</v>
      </c>
      <c r="BH72" s="1" t="s">
        <v>74</v>
      </c>
      <c r="BI72" s="1" t="s">
        <v>74</v>
      </c>
      <c r="BJ72" s="1" t="s">
        <v>74</v>
      </c>
      <c r="BK72" s="1" t="s">
        <v>74</v>
      </c>
      <c r="BL72" s="1" t="s">
        <v>74</v>
      </c>
      <c r="BM72" s="1" t="s">
        <v>74</v>
      </c>
      <c r="BN72" s="1" t="s">
        <v>74</v>
      </c>
      <c r="BO72" s="1" t="s">
        <v>74</v>
      </c>
      <c r="BP72" s="1" t="s">
        <v>74</v>
      </c>
      <c r="BQ72" s="1" t="s">
        <v>74</v>
      </c>
      <c r="BR72" s="1" t="s">
        <v>74</v>
      </c>
      <c r="BS72" s="1" t="s">
        <v>812</v>
      </c>
      <c r="BT72" s="1" t="str">
        <f>HYPERLINK("https%3A%2F%2Fwww.webofscience.com%2Fwos%2Fwoscc%2Ffull-record%2FWOS:000432210400007","View Full Record in Web of Science")</f>
        <v>View Full Record in Web of Science</v>
      </c>
    </row>
    <row r="73" ht="12.75" customHeight="1">
      <c r="A73" s="1" t="s">
        <v>241</v>
      </c>
      <c r="B73" s="1" t="s">
        <v>813</v>
      </c>
      <c r="C73" s="1" t="s">
        <v>74</v>
      </c>
      <c r="D73" s="1" t="s">
        <v>74</v>
      </c>
      <c r="E73" s="1" t="s">
        <v>814</v>
      </c>
      <c r="F73" s="1" t="s">
        <v>815</v>
      </c>
      <c r="G73" s="1" t="s">
        <v>74</v>
      </c>
      <c r="H73" s="1" t="s">
        <v>74</v>
      </c>
      <c r="I73" s="1" t="s">
        <v>816</v>
      </c>
      <c r="J73" s="1" t="s">
        <v>817</v>
      </c>
      <c r="K73" s="1" t="s">
        <v>74</v>
      </c>
      <c r="L73" s="1" t="s">
        <v>74</v>
      </c>
      <c r="M73" s="1" t="s">
        <v>74</v>
      </c>
      <c r="N73" s="1" t="s">
        <v>74</v>
      </c>
      <c r="O73" s="1" t="s">
        <v>818</v>
      </c>
      <c r="P73" s="1" t="s">
        <v>819</v>
      </c>
      <c r="Q73" s="1" t="s">
        <v>820</v>
      </c>
      <c r="R73" s="1" t="s">
        <v>814</v>
      </c>
      <c r="S73" s="1" t="s">
        <v>74</v>
      </c>
      <c r="T73" s="1" t="s">
        <v>74</v>
      </c>
      <c r="U73" s="1" t="s">
        <v>74</v>
      </c>
      <c r="V73" s="1" t="s">
        <v>821</v>
      </c>
      <c r="W73" s="1" t="s">
        <v>74</v>
      </c>
      <c r="X73" s="1" t="s">
        <v>74</v>
      </c>
      <c r="Y73" s="1" t="s">
        <v>74</v>
      </c>
      <c r="Z73" s="1" t="s">
        <v>74</v>
      </c>
      <c r="AA73" s="1" t="s">
        <v>74</v>
      </c>
      <c r="AB73" s="1" t="s">
        <v>74</v>
      </c>
      <c r="AC73" s="1" t="s">
        <v>74</v>
      </c>
      <c r="AD73" s="1" t="s">
        <v>74</v>
      </c>
      <c r="AE73" s="1" t="s">
        <v>74</v>
      </c>
      <c r="AF73" s="1" t="s">
        <v>74</v>
      </c>
      <c r="AG73" s="1" t="s">
        <v>74</v>
      </c>
      <c r="AH73" s="1" t="s">
        <v>74</v>
      </c>
      <c r="AI73" s="1" t="s">
        <v>74</v>
      </c>
      <c r="AJ73" s="1" t="s">
        <v>74</v>
      </c>
      <c r="AK73" s="1" t="s">
        <v>74</v>
      </c>
      <c r="AL73" s="1" t="s">
        <v>74</v>
      </c>
      <c r="AM73" s="1" t="s">
        <v>74</v>
      </c>
      <c r="AN73" s="1" t="s">
        <v>74</v>
      </c>
      <c r="AO73" s="1" t="s">
        <v>74</v>
      </c>
      <c r="AP73" s="1" t="s">
        <v>74</v>
      </c>
      <c r="AQ73" s="1" t="s">
        <v>822</v>
      </c>
      <c r="AR73" s="1" t="s">
        <v>74</v>
      </c>
      <c r="AS73" s="1" t="s">
        <v>74</v>
      </c>
      <c r="AT73" s="1" t="s">
        <v>74</v>
      </c>
      <c r="AU73" s="1">
        <v>2018.0</v>
      </c>
      <c r="AV73" s="1" t="s">
        <v>74</v>
      </c>
      <c r="AW73" s="1" t="s">
        <v>74</v>
      </c>
      <c r="AX73" s="1" t="s">
        <v>74</v>
      </c>
      <c r="AY73" s="1" t="s">
        <v>74</v>
      </c>
      <c r="AZ73" s="1" t="s">
        <v>74</v>
      </c>
      <c r="BA73" s="1" t="s">
        <v>74</v>
      </c>
      <c r="BB73" s="1" t="s">
        <v>74</v>
      </c>
      <c r="BC73" s="1" t="s">
        <v>74</v>
      </c>
      <c r="BD73" s="1" t="s">
        <v>823</v>
      </c>
      <c r="BE73" s="1" t="s">
        <v>74</v>
      </c>
      <c r="BF73" s="1" t="s">
        <v>74</v>
      </c>
      <c r="BG73" s="1" t="s">
        <v>74</v>
      </c>
      <c r="BH73" s="1" t="s">
        <v>74</v>
      </c>
      <c r="BI73" s="1" t="s">
        <v>74</v>
      </c>
      <c r="BJ73" s="1" t="s">
        <v>74</v>
      </c>
      <c r="BK73" s="1" t="s">
        <v>74</v>
      </c>
      <c r="BL73" s="1" t="s">
        <v>74</v>
      </c>
      <c r="BM73" s="1" t="s">
        <v>74</v>
      </c>
      <c r="BN73" s="1" t="s">
        <v>74</v>
      </c>
      <c r="BO73" s="1" t="s">
        <v>74</v>
      </c>
      <c r="BP73" s="1" t="s">
        <v>74</v>
      </c>
      <c r="BQ73" s="1" t="s">
        <v>74</v>
      </c>
      <c r="BR73" s="1" t="s">
        <v>74</v>
      </c>
      <c r="BS73" s="1" t="s">
        <v>824</v>
      </c>
      <c r="BT73" s="1" t="str">
        <f>HYPERLINK("https%3A%2F%2Fwww.webofscience.com%2Fwos%2Fwoscc%2Ffull-record%2FWOS:000428485600032","View Full Record in Web of Science")</f>
        <v>View Full Record in Web of Science</v>
      </c>
    </row>
    <row r="74" ht="12.75" customHeight="1">
      <c r="A74" s="1" t="s">
        <v>72</v>
      </c>
      <c r="B74" s="1" t="s">
        <v>825</v>
      </c>
      <c r="C74" s="1" t="s">
        <v>74</v>
      </c>
      <c r="D74" s="1" t="s">
        <v>74</v>
      </c>
      <c r="E74" s="1" t="s">
        <v>74</v>
      </c>
      <c r="F74" s="1" t="s">
        <v>826</v>
      </c>
      <c r="G74" s="1" t="s">
        <v>74</v>
      </c>
      <c r="H74" s="1" t="s">
        <v>74</v>
      </c>
      <c r="I74" s="1" t="s">
        <v>827</v>
      </c>
      <c r="J74" s="1" t="s">
        <v>828</v>
      </c>
      <c r="K74" s="1" t="s">
        <v>74</v>
      </c>
      <c r="L74" s="1" t="s">
        <v>74</v>
      </c>
      <c r="M74" s="1" t="s">
        <v>74</v>
      </c>
      <c r="N74" s="1" t="s">
        <v>74</v>
      </c>
      <c r="O74" s="1" t="s">
        <v>74</v>
      </c>
      <c r="P74" s="1" t="s">
        <v>74</v>
      </c>
      <c r="Q74" s="1" t="s">
        <v>74</v>
      </c>
      <c r="R74" s="1" t="s">
        <v>74</v>
      </c>
      <c r="S74" s="1" t="s">
        <v>74</v>
      </c>
      <c r="T74" s="1" t="s">
        <v>74</v>
      </c>
      <c r="U74" s="1" t="s">
        <v>74</v>
      </c>
      <c r="V74" s="1" t="s">
        <v>829</v>
      </c>
      <c r="W74" s="1" t="s">
        <v>74</v>
      </c>
      <c r="X74" s="1" t="s">
        <v>74</v>
      </c>
      <c r="Y74" s="1" t="s">
        <v>74</v>
      </c>
      <c r="Z74" s="1" t="s">
        <v>74</v>
      </c>
      <c r="AA74" s="1" t="s">
        <v>830</v>
      </c>
      <c r="AB74" s="1" t="s">
        <v>831</v>
      </c>
      <c r="AC74" s="1" t="s">
        <v>74</v>
      </c>
      <c r="AD74" s="1" t="s">
        <v>74</v>
      </c>
      <c r="AE74" s="1" t="s">
        <v>74</v>
      </c>
      <c r="AF74" s="1" t="s">
        <v>74</v>
      </c>
      <c r="AG74" s="1" t="s">
        <v>74</v>
      </c>
      <c r="AH74" s="1" t="s">
        <v>74</v>
      </c>
      <c r="AI74" s="1" t="s">
        <v>74</v>
      </c>
      <c r="AJ74" s="1" t="s">
        <v>74</v>
      </c>
      <c r="AK74" s="1" t="s">
        <v>74</v>
      </c>
      <c r="AL74" s="1" t="s">
        <v>74</v>
      </c>
      <c r="AM74" s="1" t="s">
        <v>74</v>
      </c>
      <c r="AN74" s="1" t="s">
        <v>74</v>
      </c>
      <c r="AO74" s="1" t="s">
        <v>832</v>
      </c>
      <c r="AP74" s="1" t="s">
        <v>74</v>
      </c>
      <c r="AQ74" s="1" t="s">
        <v>74</v>
      </c>
      <c r="AR74" s="1" t="s">
        <v>74</v>
      </c>
      <c r="AS74" s="1" t="s">
        <v>74</v>
      </c>
      <c r="AT74" s="1" t="s">
        <v>106</v>
      </c>
      <c r="AU74" s="1">
        <v>2017.0</v>
      </c>
      <c r="AV74" s="1">
        <v>16.0</v>
      </c>
      <c r="AW74" s="1">
        <v>5.0</v>
      </c>
      <c r="AX74" s="1" t="s">
        <v>74</v>
      </c>
      <c r="AY74" s="1" t="s">
        <v>74</v>
      </c>
      <c r="AZ74" s="1" t="s">
        <v>74</v>
      </c>
      <c r="BA74" s="1" t="s">
        <v>74</v>
      </c>
      <c r="BB74" s="1">
        <v>486.0</v>
      </c>
      <c r="BC74" s="1">
        <v>492.0</v>
      </c>
      <c r="BD74" s="1" t="s">
        <v>74</v>
      </c>
      <c r="BE74" s="1" t="s">
        <v>74</v>
      </c>
      <c r="BF74" s="1" t="s">
        <v>74</v>
      </c>
      <c r="BG74" s="1" t="s">
        <v>74</v>
      </c>
      <c r="BH74" s="1" t="s">
        <v>74</v>
      </c>
      <c r="BI74" s="1" t="s">
        <v>74</v>
      </c>
      <c r="BJ74" s="1" t="s">
        <v>74</v>
      </c>
      <c r="BK74" s="1" t="s">
        <v>74</v>
      </c>
      <c r="BL74" s="1" t="s">
        <v>74</v>
      </c>
      <c r="BM74" s="1" t="s">
        <v>74</v>
      </c>
      <c r="BN74" s="1" t="s">
        <v>74</v>
      </c>
      <c r="BO74" s="1" t="s">
        <v>74</v>
      </c>
      <c r="BP74" s="1" t="s">
        <v>74</v>
      </c>
      <c r="BQ74" s="1" t="s">
        <v>74</v>
      </c>
      <c r="BR74" s="1" t="s">
        <v>74</v>
      </c>
      <c r="BS74" s="1" t="s">
        <v>833</v>
      </c>
      <c r="BT74" s="1" t="str">
        <f>HYPERLINK("https%3A%2F%2Fwww.webofscience.com%2Fwos%2Fwoscc%2Ffull-record%2FWOS:000410591200004","View Full Record in Web of Science")</f>
        <v>View Full Record in Web of Science</v>
      </c>
    </row>
    <row r="75" ht="12.75" customHeight="1">
      <c r="A75" s="1" t="s">
        <v>72</v>
      </c>
      <c r="B75" s="1" t="s">
        <v>834</v>
      </c>
      <c r="C75" s="1" t="s">
        <v>74</v>
      </c>
      <c r="D75" s="1" t="s">
        <v>74</v>
      </c>
      <c r="E75" s="1" t="s">
        <v>74</v>
      </c>
      <c r="F75" s="1" t="s">
        <v>835</v>
      </c>
      <c r="G75" s="1" t="s">
        <v>74</v>
      </c>
      <c r="H75" s="1" t="s">
        <v>74</v>
      </c>
      <c r="I75" s="1" t="s">
        <v>836</v>
      </c>
      <c r="J75" s="1" t="s">
        <v>837</v>
      </c>
      <c r="K75" s="1" t="s">
        <v>74</v>
      </c>
      <c r="L75" s="1" t="s">
        <v>74</v>
      </c>
      <c r="M75" s="1" t="s">
        <v>74</v>
      </c>
      <c r="N75" s="1" t="s">
        <v>74</v>
      </c>
      <c r="O75" s="1" t="s">
        <v>74</v>
      </c>
      <c r="P75" s="1" t="s">
        <v>74</v>
      </c>
      <c r="Q75" s="1" t="s">
        <v>74</v>
      </c>
      <c r="R75" s="1" t="s">
        <v>74</v>
      </c>
      <c r="S75" s="1" t="s">
        <v>74</v>
      </c>
      <c r="T75" s="1" t="s">
        <v>74</v>
      </c>
      <c r="U75" s="1" t="s">
        <v>74</v>
      </c>
      <c r="V75" s="1" t="s">
        <v>838</v>
      </c>
      <c r="W75" s="1" t="s">
        <v>74</v>
      </c>
      <c r="X75" s="1" t="s">
        <v>74</v>
      </c>
      <c r="Y75" s="1" t="s">
        <v>74</v>
      </c>
      <c r="Z75" s="1" t="s">
        <v>74</v>
      </c>
      <c r="AA75" s="1" t="s">
        <v>74</v>
      </c>
      <c r="AB75" s="1" t="s">
        <v>74</v>
      </c>
      <c r="AC75" s="1" t="s">
        <v>74</v>
      </c>
      <c r="AD75" s="1" t="s">
        <v>74</v>
      </c>
      <c r="AE75" s="1" t="s">
        <v>74</v>
      </c>
      <c r="AF75" s="1" t="s">
        <v>74</v>
      </c>
      <c r="AG75" s="1" t="s">
        <v>74</v>
      </c>
      <c r="AH75" s="1" t="s">
        <v>74</v>
      </c>
      <c r="AI75" s="1" t="s">
        <v>74</v>
      </c>
      <c r="AJ75" s="1" t="s">
        <v>74</v>
      </c>
      <c r="AK75" s="1" t="s">
        <v>74</v>
      </c>
      <c r="AL75" s="1" t="s">
        <v>74</v>
      </c>
      <c r="AM75" s="1" t="s">
        <v>74</v>
      </c>
      <c r="AN75" s="1" t="s">
        <v>74</v>
      </c>
      <c r="AO75" s="1" t="s">
        <v>839</v>
      </c>
      <c r="AP75" s="1" t="s">
        <v>74</v>
      </c>
      <c r="AQ75" s="1" t="s">
        <v>74</v>
      </c>
      <c r="AR75" s="1" t="s">
        <v>74</v>
      </c>
      <c r="AS75" s="1" t="s">
        <v>74</v>
      </c>
      <c r="AT75" s="1" t="s">
        <v>840</v>
      </c>
      <c r="AU75" s="1">
        <v>2017.0</v>
      </c>
      <c r="AV75" s="1">
        <v>7.0</v>
      </c>
      <c r="AW75" s="1" t="s">
        <v>74</v>
      </c>
      <c r="AX75" s="1" t="s">
        <v>74</v>
      </c>
      <c r="AY75" s="1" t="s">
        <v>74</v>
      </c>
      <c r="AZ75" s="1" t="s">
        <v>74</v>
      </c>
      <c r="BA75" s="1" t="s">
        <v>74</v>
      </c>
      <c r="BB75" s="1" t="s">
        <v>74</v>
      </c>
      <c r="BC75" s="1" t="s">
        <v>74</v>
      </c>
      <c r="BD75" s="1">
        <v>1756.0</v>
      </c>
      <c r="BE75" s="1" t="s">
        <v>841</v>
      </c>
      <c r="BF75" s="2" t="str">
        <f>HYPERLINK("http://dx.doi.org/10.1038/s41598-017-01970-3","http://dx.doi.org/10.1038/s41598-017-01970-3")</f>
        <v>http://dx.doi.org/10.1038/s41598-017-01970-3</v>
      </c>
      <c r="BG75" s="1" t="s">
        <v>74</v>
      </c>
      <c r="BH75" s="1" t="s">
        <v>74</v>
      </c>
      <c r="BI75" s="1" t="s">
        <v>74</v>
      </c>
      <c r="BJ75" s="1" t="s">
        <v>74</v>
      </c>
      <c r="BK75" s="1" t="s">
        <v>74</v>
      </c>
      <c r="BL75" s="1" t="s">
        <v>74</v>
      </c>
      <c r="BM75" s="1" t="s">
        <v>74</v>
      </c>
      <c r="BN75" s="1">
        <v>2.8496155E7</v>
      </c>
      <c r="BO75" s="1" t="s">
        <v>74</v>
      </c>
      <c r="BP75" s="1" t="s">
        <v>74</v>
      </c>
      <c r="BQ75" s="1" t="s">
        <v>74</v>
      </c>
      <c r="BR75" s="1" t="s">
        <v>74</v>
      </c>
      <c r="BS75" s="1" t="s">
        <v>842</v>
      </c>
      <c r="BT75" s="1" t="str">
        <f>HYPERLINK("https%3A%2F%2Fwww.webofscience.com%2Fwos%2Fwoscc%2Ffull-record%2FWOS:000400959000023","View Full Record in Web of Science")</f>
        <v>View Full Record in Web of Science</v>
      </c>
    </row>
    <row r="76" ht="12.75" customHeight="1">
      <c r="A76" s="1" t="s">
        <v>72</v>
      </c>
      <c r="B76" s="1" t="s">
        <v>843</v>
      </c>
      <c r="C76" s="1" t="s">
        <v>74</v>
      </c>
      <c r="D76" s="1" t="s">
        <v>74</v>
      </c>
      <c r="E76" s="1" t="s">
        <v>74</v>
      </c>
      <c r="F76" s="1" t="s">
        <v>844</v>
      </c>
      <c r="G76" s="1" t="s">
        <v>74</v>
      </c>
      <c r="H76" s="1" t="s">
        <v>74</v>
      </c>
      <c r="I76" s="1" t="s">
        <v>845</v>
      </c>
      <c r="J76" s="1" t="s">
        <v>268</v>
      </c>
      <c r="K76" s="1" t="s">
        <v>74</v>
      </c>
      <c r="L76" s="1" t="s">
        <v>74</v>
      </c>
      <c r="M76" s="1" t="s">
        <v>74</v>
      </c>
      <c r="N76" s="1" t="s">
        <v>74</v>
      </c>
      <c r="O76" s="1" t="s">
        <v>74</v>
      </c>
      <c r="P76" s="1" t="s">
        <v>74</v>
      </c>
      <c r="Q76" s="1" t="s">
        <v>74</v>
      </c>
      <c r="R76" s="1" t="s">
        <v>74</v>
      </c>
      <c r="S76" s="1" t="s">
        <v>74</v>
      </c>
      <c r="T76" s="1" t="s">
        <v>74</v>
      </c>
      <c r="U76" s="1" t="s">
        <v>74</v>
      </c>
      <c r="V76" s="1" t="s">
        <v>846</v>
      </c>
      <c r="W76" s="1" t="s">
        <v>74</v>
      </c>
      <c r="X76" s="1" t="s">
        <v>74</v>
      </c>
      <c r="Y76" s="1" t="s">
        <v>74</v>
      </c>
      <c r="Z76" s="1" t="s">
        <v>74</v>
      </c>
      <c r="AA76" s="1" t="s">
        <v>847</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272</v>
      </c>
      <c r="AP76" s="1" t="s">
        <v>273</v>
      </c>
      <c r="AQ76" s="1" t="s">
        <v>74</v>
      </c>
      <c r="AR76" s="1" t="s">
        <v>74</v>
      </c>
      <c r="AS76" s="1" t="s">
        <v>74</v>
      </c>
      <c r="AT76" s="1" t="s">
        <v>848</v>
      </c>
      <c r="AU76" s="1">
        <v>2016.0</v>
      </c>
      <c r="AV76" s="1">
        <v>417.0</v>
      </c>
      <c r="AW76" s="1" t="s">
        <v>74</v>
      </c>
      <c r="AX76" s="1" t="s">
        <v>74</v>
      </c>
      <c r="AY76" s="1" t="s">
        <v>74</v>
      </c>
      <c r="AZ76" s="1" t="s">
        <v>74</v>
      </c>
      <c r="BA76" s="1" t="s">
        <v>74</v>
      </c>
      <c r="BB76" s="1">
        <v>344.0</v>
      </c>
      <c r="BC76" s="1">
        <v>348.0</v>
      </c>
      <c r="BD76" s="1" t="s">
        <v>74</v>
      </c>
      <c r="BE76" s="1" t="s">
        <v>849</v>
      </c>
      <c r="BF76" s="2" t="str">
        <f>HYPERLINK("http://dx.doi.org/10.1016/j.jmmm.2016.05.095","http://dx.doi.org/10.1016/j.jmmm.2016.05.095")</f>
        <v>http://dx.doi.org/10.1016/j.jmmm.2016.05.095</v>
      </c>
      <c r="BG76" s="1" t="s">
        <v>74</v>
      </c>
      <c r="BH76" s="1" t="s">
        <v>74</v>
      </c>
      <c r="BI76" s="1" t="s">
        <v>74</v>
      </c>
      <c r="BJ76" s="1" t="s">
        <v>74</v>
      </c>
      <c r="BK76" s="1" t="s">
        <v>74</v>
      </c>
      <c r="BL76" s="1" t="s">
        <v>74</v>
      </c>
      <c r="BM76" s="1" t="s">
        <v>74</v>
      </c>
      <c r="BN76" s="1" t="s">
        <v>74</v>
      </c>
      <c r="BO76" s="1" t="s">
        <v>74</v>
      </c>
      <c r="BP76" s="1" t="s">
        <v>74</v>
      </c>
      <c r="BQ76" s="1" t="s">
        <v>74</v>
      </c>
      <c r="BR76" s="1" t="s">
        <v>74</v>
      </c>
      <c r="BS76" s="1" t="s">
        <v>850</v>
      </c>
      <c r="BT76" s="1" t="str">
        <f>HYPERLINK("https%3A%2F%2Fwww.webofscience.com%2Fwos%2Fwoscc%2Ffull-record%2FWOS:000379147500052","View Full Record in Web of Science")</f>
        <v>View Full Record in Web of Science</v>
      </c>
    </row>
    <row r="77" ht="12.75" customHeight="1">
      <c r="A77" s="1" t="s">
        <v>72</v>
      </c>
      <c r="B77" s="1" t="s">
        <v>851</v>
      </c>
      <c r="C77" s="1" t="s">
        <v>74</v>
      </c>
      <c r="D77" s="1" t="s">
        <v>74</v>
      </c>
      <c r="E77" s="1" t="s">
        <v>74</v>
      </c>
      <c r="F77" s="1" t="s">
        <v>852</v>
      </c>
      <c r="G77" s="1" t="s">
        <v>74</v>
      </c>
      <c r="H77" s="1" t="s">
        <v>74</v>
      </c>
      <c r="I77" s="1" t="s">
        <v>853</v>
      </c>
      <c r="J77" s="1" t="s">
        <v>301</v>
      </c>
      <c r="K77" s="1" t="s">
        <v>74</v>
      </c>
      <c r="L77" s="1" t="s">
        <v>74</v>
      </c>
      <c r="M77" s="1" t="s">
        <v>74</v>
      </c>
      <c r="N77" s="1" t="s">
        <v>74</v>
      </c>
      <c r="O77" s="1" t="s">
        <v>74</v>
      </c>
      <c r="P77" s="1" t="s">
        <v>74</v>
      </c>
      <c r="Q77" s="1" t="s">
        <v>74</v>
      </c>
      <c r="R77" s="1" t="s">
        <v>74</v>
      </c>
      <c r="S77" s="1" t="s">
        <v>74</v>
      </c>
      <c r="T77" s="1" t="s">
        <v>74</v>
      </c>
      <c r="U77" s="1" t="s">
        <v>74</v>
      </c>
      <c r="V77" s="1" t="s">
        <v>854</v>
      </c>
      <c r="W77" s="1" t="s">
        <v>74</v>
      </c>
      <c r="X77" s="1" t="s">
        <v>74</v>
      </c>
      <c r="Y77" s="1" t="s">
        <v>74</v>
      </c>
      <c r="Z77" s="1" t="s">
        <v>74</v>
      </c>
      <c r="AA77" s="1" t="s">
        <v>855</v>
      </c>
      <c r="AB77" s="1" t="s">
        <v>856</v>
      </c>
      <c r="AC77" s="1" t="s">
        <v>74</v>
      </c>
      <c r="AD77" s="1" t="s">
        <v>74</v>
      </c>
      <c r="AE77" s="1" t="s">
        <v>74</v>
      </c>
      <c r="AF77" s="1" t="s">
        <v>74</v>
      </c>
      <c r="AG77" s="1" t="s">
        <v>74</v>
      </c>
      <c r="AH77" s="1" t="s">
        <v>74</v>
      </c>
      <c r="AI77" s="1" t="s">
        <v>74</v>
      </c>
      <c r="AJ77" s="1" t="s">
        <v>74</v>
      </c>
      <c r="AK77" s="1" t="s">
        <v>74</v>
      </c>
      <c r="AL77" s="1" t="s">
        <v>74</v>
      </c>
      <c r="AM77" s="1" t="s">
        <v>74</v>
      </c>
      <c r="AN77" s="1" t="s">
        <v>74</v>
      </c>
      <c r="AO77" s="1" t="s">
        <v>305</v>
      </c>
      <c r="AP77" s="1" t="s">
        <v>306</v>
      </c>
      <c r="AQ77" s="1" t="s">
        <v>74</v>
      </c>
      <c r="AR77" s="1" t="s">
        <v>74</v>
      </c>
      <c r="AS77" s="1" t="s">
        <v>74</v>
      </c>
      <c r="AT77" s="1" t="s">
        <v>857</v>
      </c>
      <c r="AU77" s="1">
        <v>2015.0</v>
      </c>
      <c r="AV77" s="1">
        <v>117.0</v>
      </c>
      <c r="AW77" s="1">
        <v>19.0</v>
      </c>
      <c r="AX77" s="1" t="s">
        <v>74</v>
      </c>
      <c r="AY77" s="1" t="s">
        <v>74</v>
      </c>
      <c r="AZ77" s="1" t="s">
        <v>74</v>
      </c>
      <c r="BA77" s="1" t="s">
        <v>74</v>
      </c>
      <c r="BB77" s="1" t="s">
        <v>74</v>
      </c>
      <c r="BC77" s="1" t="s">
        <v>74</v>
      </c>
      <c r="BD77" s="1">
        <v>193905.0</v>
      </c>
      <c r="BE77" s="1" t="s">
        <v>858</v>
      </c>
      <c r="BF77" s="2" t="str">
        <f>HYPERLINK("http://dx.doi.org/10.1063/1.4921361","http://dx.doi.org/10.1063/1.4921361")</f>
        <v>http://dx.doi.org/10.1063/1.4921361</v>
      </c>
      <c r="BG77" s="1" t="s">
        <v>74</v>
      </c>
      <c r="BH77" s="1" t="s">
        <v>74</v>
      </c>
      <c r="BI77" s="1" t="s">
        <v>74</v>
      </c>
      <c r="BJ77" s="1" t="s">
        <v>74</v>
      </c>
      <c r="BK77" s="1" t="s">
        <v>74</v>
      </c>
      <c r="BL77" s="1" t="s">
        <v>74</v>
      </c>
      <c r="BM77" s="1" t="s">
        <v>74</v>
      </c>
      <c r="BN77" s="1" t="s">
        <v>74</v>
      </c>
      <c r="BO77" s="1" t="s">
        <v>74</v>
      </c>
      <c r="BP77" s="1" t="s">
        <v>74</v>
      </c>
      <c r="BQ77" s="1" t="s">
        <v>74</v>
      </c>
      <c r="BR77" s="1" t="s">
        <v>74</v>
      </c>
      <c r="BS77" s="1" t="s">
        <v>859</v>
      </c>
      <c r="BT77" s="1" t="str">
        <f>HYPERLINK("https%3A%2F%2Fwww.webofscience.com%2Fwos%2Fwoscc%2Ffull-record%2FWOS:000355005600010","View Full Record in Web of Science")</f>
        <v>View Full Record in Web of Science</v>
      </c>
    </row>
    <row r="78" ht="12.75" customHeight="1">
      <c r="A78" s="1" t="s">
        <v>72</v>
      </c>
      <c r="B78" s="1" t="s">
        <v>860</v>
      </c>
      <c r="C78" s="1" t="s">
        <v>74</v>
      </c>
      <c r="D78" s="1" t="s">
        <v>74</v>
      </c>
      <c r="E78" s="1" t="s">
        <v>74</v>
      </c>
      <c r="F78" s="1" t="s">
        <v>861</v>
      </c>
      <c r="G78" s="1" t="s">
        <v>74</v>
      </c>
      <c r="H78" s="1" t="s">
        <v>74</v>
      </c>
      <c r="I78" s="1" t="s">
        <v>862</v>
      </c>
      <c r="J78" s="1" t="s">
        <v>189</v>
      </c>
      <c r="K78" s="1" t="s">
        <v>74</v>
      </c>
      <c r="L78" s="1" t="s">
        <v>74</v>
      </c>
      <c r="M78" s="1" t="s">
        <v>74</v>
      </c>
      <c r="N78" s="1" t="s">
        <v>74</v>
      </c>
      <c r="O78" s="1" t="s">
        <v>74</v>
      </c>
      <c r="P78" s="1" t="s">
        <v>74</v>
      </c>
      <c r="Q78" s="1" t="s">
        <v>74</v>
      </c>
      <c r="R78" s="1" t="s">
        <v>74</v>
      </c>
      <c r="S78" s="1" t="s">
        <v>74</v>
      </c>
      <c r="T78" s="1" t="s">
        <v>74</v>
      </c>
      <c r="U78" s="1" t="s">
        <v>74</v>
      </c>
      <c r="V78" s="1" t="s">
        <v>74</v>
      </c>
      <c r="W78" s="1" t="s">
        <v>74</v>
      </c>
      <c r="X78" s="1" t="s">
        <v>74</v>
      </c>
      <c r="Y78" s="1" t="s">
        <v>74</v>
      </c>
      <c r="Z78" s="1" t="s">
        <v>74</v>
      </c>
      <c r="AA78" s="1" t="s">
        <v>102</v>
      </c>
      <c r="AB78" s="1" t="s">
        <v>797</v>
      </c>
      <c r="AC78" s="1" t="s">
        <v>74</v>
      </c>
      <c r="AD78" s="1" t="s">
        <v>74</v>
      </c>
      <c r="AE78" s="1" t="s">
        <v>74</v>
      </c>
      <c r="AF78" s="1" t="s">
        <v>74</v>
      </c>
      <c r="AG78" s="1" t="s">
        <v>74</v>
      </c>
      <c r="AH78" s="1" t="s">
        <v>74</v>
      </c>
      <c r="AI78" s="1" t="s">
        <v>74</v>
      </c>
      <c r="AJ78" s="1" t="s">
        <v>74</v>
      </c>
      <c r="AK78" s="1" t="s">
        <v>74</v>
      </c>
      <c r="AL78" s="1" t="s">
        <v>74</v>
      </c>
      <c r="AM78" s="1" t="s">
        <v>74</v>
      </c>
      <c r="AN78" s="1" t="s">
        <v>74</v>
      </c>
      <c r="AO78" s="1" t="s">
        <v>192</v>
      </c>
      <c r="AP78" s="1" t="s">
        <v>193</v>
      </c>
      <c r="AQ78" s="1" t="s">
        <v>74</v>
      </c>
      <c r="AR78" s="1" t="s">
        <v>74</v>
      </c>
      <c r="AS78" s="1" t="s">
        <v>74</v>
      </c>
      <c r="AT78" s="1" t="s">
        <v>116</v>
      </c>
      <c r="AU78" s="1">
        <v>2014.0</v>
      </c>
      <c r="AV78" s="1">
        <v>52.0</v>
      </c>
      <c r="AW78" s="1">
        <v>7.0</v>
      </c>
      <c r="AX78" s="1" t="s">
        <v>74</v>
      </c>
      <c r="AY78" s="1" t="s">
        <v>74</v>
      </c>
      <c r="AZ78" s="1" t="s">
        <v>74</v>
      </c>
      <c r="BA78" s="1" t="s">
        <v>74</v>
      </c>
      <c r="BB78" s="1">
        <v>409.0</v>
      </c>
      <c r="BC78" s="1">
        <v>411.0</v>
      </c>
      <c r="BD78" s="1" t="s">
        <v>74</v>
      </c>
      <c r="BE78" s="1" t="s">
        <v>863</v>
      </c>
      <c r="BF78" s="2" t="str">
        <f>HYPERLINK("http://dx.doi.org/10.1002/mrc.4070","http://dx.doi.org/10.1002/mrc.4070")</f>
        <v>http://dx.doi.org/10.1002/mrc.4070</v>
      </c>
      <c r="BG78" s="1" t="s">
        <v>74</v>
      </c>
      <c r="BH78" s="1" t="s">
        <v>74</v>
      </c>
      <c r="BI78" s="1" t="s">
        <v>74</v>
      </c>
      <c r="BJ78" s="1" t="s">
        <v>74</v>
      </c>
      <c r="BK78" s="1" t="s">
        <v>74</v>
      </c>
      <c r="BL78" s="1" t="s">
        <v>74</v>
      </c>
      <c r="BM78" s="1" t="s">
        <v>74</v>
      </c>
      <c r="BN78" s="1">
        <v>2.4706586E7</v>
      </c>
      <c r="BO78" s="1" t="s">
        <v>74</v>
      </c>
      <c r="BP78" s="1" t="s">
        <v>74</v>
      </c>
      <c r="BQ78" s="1" t="s">
        <v>74</v>
      </c>
      <c r="BR78" s="1" t="s">
        <v>74</v>
      </c>
      <c r="BS78" s="1" t="s">
        <v>864</v>
      </c>
      <c r="BT78" s="1" t="str">
        <f>HYPERLINK("https%3A%2F%2Fwww.webofscience.com%2Fwos%2Fwoscc%2Ffull-record%2FWOS:000337520000011","View Full Record in Web of Science")</f>
        <v>View Full Record in Web of Science</v>
      </c>
    </row>
    <row r="79" ht="12.75" customHeight="1">
      <c r="A79" s="1" t="s">
        <v>72</v>
      </c>
      <c r="B79" s="1" t="s">
        <v>865</v>
      </c>
      <c r="C79" s="1" t="s">
        <v>74</v>
      </c>
      <c r="D79" s="1" t="s">
        <v>74</v>
      </c>
      <c r="E79" s="1" t="s">
        <v>74</v>
      </c>
      <c r="F79" s="1" t="s">
        <v>866</v>
      </c>
      <c r="G79" s="1" t="s">
        <v>74</v>
      </c>
      <c r="H79" s="1" t="s">
        <v>74</v>
      </c>
      <c r="I79" s="1" t="s">
        <v>867</v>
      </c>
      <c r="J79" s="1" t="s">
        <v>868</v>
      </c>
      <c r="K79" s="1" t="s">
        <v>74</v>
      </c>
      <c r="L79" s="1" t="s">
        <v>74</v>
      </c>
      <c r="M79" s="1" t="s">
        <v>74</v>
      </c>
      <c r="N79" s="1" t="s">
        <v>74</v>
      </c>
      <c r="O79" s="1" t="s">
        <v>74</v>
      </c>
      <c r="P79" s="1" t="s">
        <v>74</v>
      </c>
      <c r="Q79" s="1" t="s">
        <v>74</v>
      </c>
      <c r="R79" s="1" t="s">
        <v>74</v>
      </c>
      <c r="S79" s="1" t="s">
        <v>74</v>
      </c>
      <c r="T79" s="1" t="s">
        <v>74</v>
      </c>
      <c r="U79" s="1" t="s">
        <v>74</v>
      </c>
      <c r="V79" s="1" t="s">
        <v>869</v>
      </c>
      <c r="W79" s="1" t="s">
        <v>74</v>
      </c>
      <c r="X79" s="1" t="s">
        <v>74</v>
      </c>
      <c r="Y79" s="1" t="s">
        <v>74</v>
      </c>
      <c r="Z79" s="1" t="s">
        <v>74</v>
      </c>
      <c r="AA79" s="1" t="s">
        <v>870</v>
      </c>
      <c r="AB79" s="1" t="s">
        <v>871</v>
      </c>
      <c r="AC79" s="1" t="s">
        <v>74</v>
      </c>
      <c r="AD79" s="1" t="s">
        <v>74</v>
      </c>
      <c r="AE79" s="1" t="s">
        <v>74</v>
      </c>
      <c r="AF79" s="1" t="s">
        <v>74</v>
      </c>
      <c r="AG79" s="1" t="s">
        <v>74</v>
      </c>
      <c r="AH79" s="1" t="s">
        <v>74</v>
      </c>
      <c r="AI79" s="1" t="s">
        <v>74</v>
      </c>
      <c r="AJ79" s="1" t="s">
        <v>74</v>
      </c>
      <c r="AK79" s="1" t="s">
        <v>74</v>
      </c>
      <c r="AL79" s="1" t="s">
        <v>74</v>
      </c>
      <c r="AM79" s="1" t="s">
        <v>74</v>
      </c>
      <c r="AN79" s="1" t="s">
        <v>74</v>
      </c>
      <c r="AO79" s="1" t="s">
        <v>872</v>
      </c>
      <c r="AP79" s="1" t="s">
        <v>873</v>
      </c>
      <c r="AQ79" s="1" t="s">
        <v>74</v>
      </c>
      <c r="AR79" s="1" t="s">
        <v>74</v>
      </c>
      <c r="AS79" s="1" t="s">
        <v>74</v>
      </c>
      <c r="AT79" s="1" t="s">
        <v>874</v>
      </c>
      <c r="AU79" s="1">
        <v>2013.0</v>
      </c>
      <c r="AV79" s="1">
        <v>558.0</v>
      </c>
      <c r="AW79" s="1" t="s">
        <v>74</v>
      </c>
      <c r="AX79" s="1" t="s">
        <v>74</v>
      </c>
      <c r="AY79" s="1" t="s">
        <v>74</v>
      </c>
      <c r="AZ79" s="1" t="s">
        <v>74</v>
      </c>
      <c r="BA79" s="1" t="s">
        <v>74</v>
      </c>
      <c r="BB79" s="1">
        <v>77.0</v>
      </c>
      <c r="BC79" s="1">
        <v>81.0</v>
      </c>
      <c r="BD79" s="1" t="s">
        <v>74</v>
      </c>
      <c r="BE79" s="1" t="s">
        <v>875</v>
      </c>
      <c r="BF79" s="2" t="str">
        <f>HYPERLINK("http://dx.doi.org/10.1016/j.cplett.2012.09.067","http://dx.doi.org/10.1016/j.cplett.2012.09.067")</f>
        <v>http://dx.doi.org/10.1016/j.cplett.2012.09.067</v>
      </c>
      <c r="BG79" s="1" t="s">
        <v>74</v>
      </c>
      <c r="BH79" s="1" t="s">
        <v>74</v>
      </c>
      <c r="BI79" s="1" t="s">
        <v>74</v>
      </c>
      <c r="BJ79" s="1" t="s">
        <v>74</v>
      </c>
      <c r="BK79" s="1" t="s">
        <v>74</v>
      </c>
      <c r="BL79" s="1" t="s">
        <v>74</v>
      </c>
      <c r="BM79" s="1" t="s">
        <v>74</v>
      </c>
      <c r="BN79" s="1" t="s">
        <v>74</v>
      </c>
      <c r="BO79" s="1" t="s">
        <v>74</v>
      </c>
      <c r="BP79" s="1" t="s">
        <v>74</v>
      </c>
      <c r="BQ79" s="1" t="s">
        <v>74</v>
      </c>
      <c r="BR79" s="1" t="s">
        <v>74</v>
      </c>
      <c r="BS79" s="1" t="s">
        <v>876</v>
      </c>
      <c r="BT79" s="1" t="str">
        <f>HYPERLINK("https%3A%2F%2Fwww.webofscience.com%2Fwos%2Fwoscc%2Ffull-record%2FWOS:000314660600015","View Full Record in Web of Science")</f>
        <v>View Full Record in Web of Science</v>
      </c>
    </row>
    <row r="80" ht="12.75" customHeight="1">
      <c r="A80" s="1" t="s">
        <v>72</v>
      </c>
      <c r="B80" s="1" t="s">
        <v>877</v>
      </c>
      <c r="C80" s="1" t="s">
        <v>74</v>
      </c>
      <c r="D80" s="1" t="s">
        <v>74</v>
      </c>
      <c r="E80" s="1" t="s">
        <v>74</v>
      </c>
      <c r="F80" s="1" t="s">
        <v>878</v>
      </c>
      <c r="G80" s="1" t="s">
        <v>74</v>
      </c>
      <c r="H80" s="1" t="s">
        <v>74</v>
      </c>
      <c r="I80" s="1" t="s">
        <v>879</v>
      </c>
      <c r="J80" s="1" t="s">
        <v>880</v>
      </c>
      <c r="K80" s="1" t="s">
        <v>74</v>
      </c>
      <c r="L80" s="1" t="s">
        <v>74</v>
      </c>
      <c r="M80" s="1" t="s">
        <v>74</v>
      </c>
      <c r="N80" s="1" t="s">
        <v>74</v>
      </c>
      <c r="O80" s="1" t="s">
        <v>74</v>
      </c>
      <c r="P80" s="1" t="s">
        <v>74</v>
      </c>
      <c r="Q80" s="1" t="s">
        <v>74</v>
      </c>
      <c r="R80" s="1" t="s">
        <v>74</v>
      </c>
      <c r="S80" s="1" t="s">
        <v>74</v>
      </c>
      <c r="T80" s="1" t="s">
        <v>74</v>
      </c>
      <c r="U80" s="1" t="s">
        <v>74</v>
      </c>
      <c r="V80" s="1" t="s">
        <v>881</v>
      </c>
      <c r="W80" s="1" t="s">
        <v>74</v>
      </c>
      <c r="X80" s="1" t="s">
        <v>74</v>
      </c>
      <c r="Y80" s="1" t="s">
        <v>74</v>
      </c>
      <c r="Z80" s="1" t="s">
        <v>74</v>
      </c>
      <c r="AA80" s="1" t="s">
        <v>882</v>
      </c>
      <c r="AB80" s="1" t="s">
        <v>883</v>
      </c>
      <c r="AC80" s="1" t="s">
        <v>74</v>
      </c>
      <c r="AD80" s="1" t="s">
        <v>74</v>
      </c>
      <c r="AE80" s="1" t="s">
        <v>74</v>
      </c>
      <c r="AF80" s="1" t="s">
        <v>74</v>
      </c>
      <c r="AG80" s="1" t="s">
        <v>74</v>
      </c>
      <c r="AH80" s="1" t="s">
        <v>74</v>
      </c>
      <c r="AI80" s="1" t="s">
        <v>74</v>
      </c>
      <c r="AJ80" s="1" t="s">
        <v>74</v>
      </c>
      <c r="AK80" s="1" t="s">
        <v>74</v>
      </c>
      <c r="AL80" s="1" t="s">
        <v>74</v>
      </c>
      <c r="AM80" s="1" t="s">
        <v>74</v>
      </c>
      <c r="AN80" s="1" t="s">
        <v>74</v>
      </c>
      <c r="AO80" s="1" t="s">
        <v>884</v>
      </c>
      <c r="AP80" s="1" t="s">
        <v>885</v>
      </c>
      <c r="AQ80" s="1" t="s">
        <v>74</v>
      </c>
      <c r="AR80" s="1" t="s">
        <v>74</v>
      </c>
      <c r="AS80" s="1" t="s">
        <v>74</v>
      </c>
      <c r="AT80" s="1" t="s">
        <v>174</v>
      </c>
      <c r="AU80" s="1">
        <v>2011.0</v>
      </c>
      <c r="AV80" s="1">
        <v>27.0</v>
      </c>
      <c r="AW80" s="1">
        <v>2.0</v>
      </c>
      <c r="AX80" s="1" t="s">
        <v>74</v>
      </c>
      <c r="AY80" s="1" t="s">
        <v>74</v>
      </c>
      <c r="AZ80" s="1" t="s">
        <v>74</v>
      </c>
      <c r="BA80" s="1" t="s">
        <v>74</v>
      </c>
      <c r="BB80" s="1">
        <v>221.0</v>
      </c>
      <c r="BC80" s="1">
        <v>229.0</v>
      </c>
      <c r="BD80" s="1" t="s">
        <v>74</v>
      </c>
      <c r="BE80" s="1" t="s">
        <v>886</v>
      </c>
      <c r="BF80" s="2" t="str">
        <f>HYPERLINK("http://dx.doi.org/10.1016/j.jco.2010.10.005","http://dx.doi.org/10.1016/j.jco.2010.10.005")</f>
        <v>http://dx.doi.org/10.1016/j.jco.2010.10.005</v>
      </c>
      <c r="BG80" s="1" t="s">
        <v>74</v>
      </c>
      <c r="BH80" s="1" t="s">
        <v>74</v>
      </c>
      <c r="BI80" s="1" t="s">
        <v>74</v>
      </c>
      <c r="BJ80" s="1" t="s">
        <v>74</v>
      </c>
      <c r="BK80" s="1" t="s">
        <v>74</v>
      </c>
      <c r="BL80" s="1" t="s">
        <v>74</v>
      </c>
      <c r="BM80" s="1" t="s">
        <v>74</v>
      </c>
      <c r="BN80" s="1" t="s">
        <v>74</v>
      </c>
      <c r="BO80" s="1" t="s">
        <v>74</v>
      </c>
      <c r="BP80" s="1" t="s">
        <v>74</v>
      </c>
      <c r="BQ80" s="1" t="s">
        <v>74</v>
      </c>
      <c r="BR80" s="1" t="s">
        <v>74</v>
      </c>
      <c r="BS80" s="1" t="s">
        <v>887</v>
      </c>
      <c r="BT80" s="1" t="str">
        <f>HYPERLINK("https%3A%2F%2Fwww.webofscience.com%2Fwos%2Fwoscc%2Ffull-record%2FWOS:000289135400007","View Full Record in Web of Science")</f>
        <v>View Full Record in Web of Science</v>
      </c>
    </row>
    <row r="81" ht="12.75" customHeight="1">
      <c r="A81" s="1" t="s">
        <v>72</v>
      </c>
      <c r="B81" s="1" t="s">
        <v>888</v>
      </c>
      <c r="C81" s="1" t="s">
        <v>74</v>
      </c>
      <c r="D81" s="1" t="s">
        <v>74</v>
      </c>
      <c r="E81" s="1" t="s">
        <v>74</v>
      </c>
      <c r="F81" s="1" t="s">
        <v>888</v>
      </c>
      <c r="G81" s="1" t="s">
        <v>74</v>
      </c>
      <c r="H81" s="1" t="s">
        <v>74</v>
      </c>
      <c r="I81" s="1" t="s">
        <v>889</v>
      </c>
      <c r="J81" s="1" t="s">
        <v>890</v>
      </c>
      <c r="K81" s="1" t="s">
        <v>74</v>
      </c>
      <c r="L81" s="1" t="s">
        <v>74</v>
      </c>
      <c r="M81" s="1" t="s">
        <v>74</v>
      </c>
      <c r="N81" s="1" t="s">
        <v>74</v>
      </c>
      <c r="O81" s="1" t="s">
        <v>74</v>
      </c>
      <c r="P81" s="1" t="s">
        <v>74</v>
      </c>
      <c r="Q81" s="1" t="s">
        <v>74</v>
      </c>
      <c r="R81" s="1" t="s">
        <v>74</v>
      </c>
      <c r="S81" s="1" t="s">
        <v>74</v>
      </c>
      <c r="T81" s="1" t="s">
        <v>74</v>
      </c>
      <c r="U81" s="1" t="s">
        <v>74</v>
      </c>
      <c r="V81" s="1" t="s">
        <v>891</v>
      </c>
      <c r="W81" s="1" t="s">
        <v>74</v>
      </c>
      <c r="X81" s="1" t="s">
        <v>74</v>
      </c>
      <c r="Y81" s="1" t="s">
        <v>74</v>
      </c>
      <c r="Z81" s="1" t="s">
        <v>74</v>
      </c>
      <c r="AA81" s="1" t="s">
        <v>74</v>
      </c>
      <c r="AB81" s="1" t="s">
        <v>74</v>
      </c>
      <c r="AC81" s="1" t="s">
        <v>74</v>
      </c>
      <c r="AD81" s="1" t="s">
        <v>74</v>
      </c>
      <c r="AE81" s="1" t="s">
        <v>74</v>
      </c>
      <c r="AF81" s="1" t="s">
        <v>74</v>
      </c>
      <c r="AG81" s="1" t="s">
        <v>74</v>
      </c>
      <c r="AH81" s="1" t="s">
        <v>74</v>
      </c>
      <c r="AI81" s="1" t="s">
        <v>74</v>
      </c>
      <c r="AJ81" s="1" t="s">
        <v>74</v>
      </c>
      <c r="AK81" s="1" t="s">
        <v>74</v>
      </c>
      <c r="AL81" s="1" t="s">
        <v>74</v>
      </c>
      <c r="AM81" s="1" t="s">
        <v>74</v>
      </c>
      <c r="AN81" s="1" t="s">
        <v>74</v>
      </c>
      <c r="AO81" s="1" t="s">
        <v>892</v>
      </c>
      <c r="AP81" s="1" t="s">
        <v>74</v>
      </c>
      <c r="AQ81" s="1" t="s">
        <v>74</v>
      </c>
      <c r="AR81" s="1" t="s">
        <v>74</v>
      </c>
      <c r="AS81" s="1" t="s">
        <v>74</v>
      </c>
      <c r="AT81" s="1" t="s">
        <v>893</v>
      </c>
      <c r="AU81" s="1">
        <v>2003.0</v>
      </c>
      <c r="AV81" s="1">
        <v>19.0</v>
      </c>
      <c r="AW81" s="1">
        <v>13.0</v>
      </c>
      <c r="AX81" s="1" t="s">
        <v>74</v>
      </c>
      <c r="AY81" s="1" t="s">
        <v>74</v>
      </c>
      <c r="AZ81" s="1" t="s">
        <v>74</v>
      </c>
      <c r="BA81" s="1" t="s">
        <v>74</v>
      </c>
      <c r="BB81" s="1">
        <v>5374.0</v>
      </c>
      <c r="BC81" s="1">
        <v>5377.0</v>
      </c>
      <c r="BD81" s="1" t="s">
        <v>74</v>
      </c>
      <c r="BE81" s="1" t="s">
        <v>894</v>
      </c>
      <c r="BF81" s="2" t="str">
        <f>HYPERLINK("http://dx.doi.org/10.1021/la030050s","http://dx.doi.org/10.1021/la030050s")</f>
        <v>http://dx.doi.org/10.1021/la030050s</v>
      </c>
      <c r="BG81" s="1" t="s">
        <v>74</v>
      </c>
      <c r="BH81" s="1" t="s">
        <v>74</v>
      </c>
      <c r="BI81" s="1" t="s">
        <v>74</v>
      </c>
      <c r="BJ81" s="1" t="s">
        <v>74</v>
      </c>
      <c r="BK81" s="1" t="s">
        <v>74</v>
      </c>
      <c r="BL81" s="1" t="s">
        <v>74</v>
      </c>
      <c r="BM81" s="1" t="s">
        <v>74</v>
      </c>
      <c r="BN81" s="1" t="s">
        <v>74</v>
      </c>
      <c r="BO81" s="1" t="s">
        <v>74</v>
      </c>
      <c r="BP81" s="1" t="s">
        <v>74</v>
      </c>
      <c r="BQ81" s="1" t="s">
        <v>74</v>
      </c>
      <c r="BR81" s="1" t="s">
        <v>74</v>
      </c>
      <c r="BS81" s="1" t="s">
        <v>895</v>
      </c>
      <c r="BT81" s="1" t="str">
        <f>HYPERLINK("https%3A%2F%2Fwww.webofscience.com%2Fwos%2Fwoscc%2Ffull-record%2FWOS:000183719300029","View Full Record in Web of Science")</f>
        <v>View Full Record in Web of Science</v>
      </c>
    </row>
    <row r="82" ht="12.75" customHeight="1">
      <c r="A82" s="1" t="s">
        <v>72</v>
      </c>
      <c r="B82" s="1" t="s">
        <v>896</v>
      </c>
      <c r="C82" s="1" t="s">
        <v>74</v>
      </c>
      <c r="D82" s="1" t="s">
        <v>74</v>
      </c>
      <c r="E82" s="1" t="s">
        <v>74</v>
      </c>
      <c r="F82" s="1" t="s">
        <v>897</v>
      </c>
      <c r="G82" s="1" t="s">
        <v>74</v>
      </c>
      <c r="H82" s="1" t="s">
        <v>74</v>
      </c>
      <c r="I82" s="1" t="s">
        <v>898</v>
      </c>
      <c r="J82" s="1" t="s">
        <v>899</v>
      </c>
      <c r="K82" s="1" t="s">
        <v>74</v>
      </c>
      <c r="L82" s="1" t="s">
        <v>74</v>
      </c>
      <c r="M82" s="1" t="s">
        <v>74</v>
      </c>
      <c r="N82" s="1" t="s">
        <v>74</v>
      </c>
      <c r="O82" s="1" t="s">
        <v>74</v>
      </c>
      <c r="P82" s="1" t="s">
        <v>74</v>
      </c>
      <c r="Q82" s="1" t="s">
        <v>74</v>
      </c>
      <c r="R82" s="1" t="s">
        <v>74</v>
      </c>
      <c r="S82" s="1" t="s">
        <v>74</v>
      </c>
      <c r="T82" s="1" t="s">
        <v>74</v>
      </c>
      <c r="U82" s="1" t="s">
        <v>74</v>
      </c>
      <c r="V82" s="1" t="s">
        <v>900</v>
      </c>
      <c r="W82" s="1" t="s">
        <v>74</v>
      </c>
      <c r="X82" s="1" t="s">
        <v>74</v>
      </c>
      <c r="Y82" s="1" t="s">
        <v>74</v>
      </c>
      <c r="Z82" s="1" t="s">
        <v>74</v>
      </c>
      <c r="AA82" s="1" t="s">
        <v>901</v>
      </c>
      <c r="AB82" s="1" t="s">
        <v>902</v>
      </c>
      <c r="AC82" s="1" t="s">
        <v>74</v>
      </c>
      <c r="AD82" s="1" t="s">
        <v>74</v>
      </c>
      <c r="AE82" s="1" t="s">
        <v>74</v>
      </c>
      <c r="AF82" s="1" t="s">
        <v>74</v>
      </c>
      <c r="AG82" s="1" t="s">
        <v>74</v>
      </c>
      <c r="AH82" s="1" t="s">
        <v>74</v>
      </c>
      <c r="AI82" s="1" t="s">
        <v>74</v>
      </c>
      <c r="AJ82" s="1" t="s">
        <v>74</v>
      </c>
      <c r="AK82" s="1" t="s">
        <v>74</v>
      </c>
      <c r="AL82" s="1" t="s">
        <v>74</v>
      </c>
      <c r="AM82" s="1" t="s">
        <v>74</v>
      </c>
      <c r="AN82" s="1" t="s">
        <v>74</v>
      </c>
      <c r="AO82" s="1" t="s">
        <v>903</v>
      </c>
      <c r="AP82" s="1" t="s">
        <v>904</v>
      </c>
      <c r="AQ82" s="1" t="s">
        <v>74</v>
      </c>
      <c r="AR82" s="1" t="s">
        <v>74</v>
      </c>
      <c r="AS82" s="1" t="s">
        <v>74</v>
      </c>
      <c r="AT82" s="1" t="s">
        <v>905</v>
      </c>
      <c r="AU82" s="1">
        <v>2024.0</v>
      </c>
      <c r="AV82" s="1">
        <v>101.0</v>
      </c>
      <c r="AW82" s="1">
        <v>2.0</v>
      </c>
      <c r="AX82" s="1" t="s">
        <v>74</v>
      </c>
      <c r="AY82" s="1" t="s">
        <v>74</v>
      </c>
      <c r="AZ82" s="1" t="s">
        <v>74</v>
      </c>
      <c r="BA82" s="1" t="s">
        <v>74</v>
      </c>
      <c r="BB82" s="1">
        <v>344.0</v>
      </c>
      <c r="BC82" s="1">
        <v>353.0</v>
      </c>
      <c r="BD82" s="1" t="s">
        <v>74</v>
      </c>
      <c r="BE82" s="1" t="s">
        <v>906</v>
      </c>
      <c r="BF82" s="2" t="str">
        <f>HYPERLINK("http://dx.doi.org/10.1021/acs.jchemed.3c00469","http://dx.doi.org/10.1021/acs.jchemed.3c00469")</f>
        <v>http://dx.doi.org/10.1021/acs.jchemed.3c00469</v>
      </c>
      <c r="BG82" s="1" t="s">
        <v>74</v>
      </c>
      <c r="BH82" s="1" t="s">
        <v>907</v>
      </c>
      <c r="BI82" s="1" t="s">
        <v>74</v>
      </c>
      <c r="BJ82" s="1" t="s">
        <v>74</v>
      </c>
      <c r="BK82" s="1" t="s">
        <v>74</v>
      </c>
      <c r="BL82" s="1" t="s">
        <v>74</v>
      </c>
      <c r="BM82" s="1" t="s">
        <v>74</v>
      </c>
      <c r="BN82" s="1" t="s">
        <v>74</v>
      </c>
      <c r="BO82" s="1" t="s">
        <v>74</v>
      </c>
      <c r="BP82" s="1" t="s">
        <v>74</v>
      </c>
      <c r="BQ82" s="1" t="s">
        <v>74</v>
      </c>
      <c r="BR82" s="1" t="s">
        <v>74</v>
      </c>
      <c r="BS82" s="1" t="s">
        <v>908</v>
      </c>
      <c r="BT82" s="1" t="str">
        <f>HYPERLINK("https%3A%2F%2Fwww.webofscience.com%2Fwos%2Fwoscc%2Ffull-record%2FWOS:001162246700001","View Full Record in Web of Science")</f>
        <v>View Full Record in Web of Science</v>
      </c>
    </row>
    <row r="83" ht="12.75" customHeight="1">
      <c r="A83" s="1" t="s">
        <v>72</v>
      </c>
      <c r="B83" s="1" t="s">
        <v>909</v>
      </c>
      <c r="C83" s="1" t="s">
        <v>74</v>
      </c>
      <c r="D83" s="1" t="s">
        <v>74</v>
      </c>
      <c r="E83" s="1" t="s">
        <v>74</v>
      </c>
      <c r="F83" s="1" t="s">
        <v>910</v>
      </c>
      <c r="G83" s="1" t="s">
        <v>74</v>
      </c>
      <c r="H83" s="1" t="s">
        <v>74</v>
      </c>
      <c r="I83" s="1" t="s">
        <v>911</v>
      </c>
      <c r="J83" s="1" t="s">
        <v>912</v>
      </c>
      <c r="K83" s="1" t="s">
        <v>74</v>
      </c>
      <c r="L83" s="1" t="s">
        <v>74</v>
      </c>
      <c r="M83" s="1" t="s">
        <v>74</v>
      </c>
      <c r="N83" s="1" t="s">
        <v>74</v>
      </c>
      <c r="O83" s="1" t="s">
        <v>74</v>
      </c>
      <c r="P83" s="1" t="s">
        <v>74</v>
      </c>
      <c r="Q83" s="1" t="s">
        <v>74</v>
      </c>
      <c r="R83" s="1" t="s">
        <v>74</v>
      </c>
      <c r="S83" s="1" t="s">
        <v>74</v>
      </c>
      <c r="T83" s="1" t="s">
        <v>74</v>
      </c>
      <c r="U83" s="1" t="s">
        <v>74</v>
      </c>
      <c r="V83" s="1" t="s">
        <v>913</v>
      </c>
      <c r="W83" s="1" t="s">
        <v>74</v>
      </c>
      <c r="X83" s="1" t="s">
        <v>74</v>
      </c>
      <c r="Y83" s="1" t="s">
        <v>74</v>
      </c>
      <c r="Z83" s="1" t="s">
        <v>74</v>
      </c>
      <c r="AA83" s="1" t="s">
        <v>914</v>
      </c>
      <c r="AB83" s="1" t="s">
        <v>74</v>
      </c>
      <c r="AC83" s="1" t="s">
        <v>74</v>
      </c>
      <c r="AD83" s="1" t="s">
        <v>74</v>
      </c>
      <c r="AE83" s="1" t="s">
        <v>74</v>
      </c>
      <c r="AF83" s="1" t="s">
        <v>74</v>
      </c>
      <c r="AG83" s="1" t="s">
        <v>74</v>
      </c>
      <c r="AH83" s="1" t="s">
        <v>74</v>
      </c>
      <c r="AI83" s="1" t="s">
        <v>74</v>
      </c>
      <c r="AJ83" s="1" t="s">
        <v>74</v>
      </c>
      <c r="AK83" s="1" t="s">
        <v>74</v>
      </c>
      <c r="AL83" s="1" t="s">
        <v>74</v>
      </c>
      <c r="AM83" s="1" t="s">
        <v>74</v>
      </c>
      <c r="AN83" s="1" t="s">
        <v>74</v>
      </c>
      <c r="AO83" s="1" t="s">
        <v>915</v>
      </c>
      <c r="AP83" s="1" t="s">
        <v>916</v>
      </c>
      <c r="AQ83" s="1" t="s">
        <v>74</v>
      </c>
      <c r="AR83" s="1" t="s">
        <v>74</v>
      </c>
      <c r="AS83" s="1" t="s">
        <v>74</v>
      </c>
      <c r="AT83" s="1" t="s">
        <v>74</v>
      </c>
      <c r="AU83" s="1">
        <v>2022.0</v>
      </c>
      <c r="AV83" s="1">
        <v>26.0</v>
      </c>
      <c r="AW83" s="1">
        <v>64.0</v>
      </c>
      <c r="AX83" s="1" t="s">
        <v>74</v>
      </c>
      <c r="AY83" s="1" t="s">
        <v>74</v>
      </c>
      <c r="AZ83" s="1" t="s">
        <v>74</v>
      </c>
      <c r="BA83" s="1" t="s">
        <v>74</v>
      </c>
      <c r="BB83" s="1">
        <v>67.0</v>
      </c>
      <c r="BC83" s="1">
        <v>79.0</v>
      </c>
      <c r="BD83" s="1" t="s">
        <v>74</v>
      </c>
      <c r="BE83" s="1" t="s">
        <v>917</v>
      </c>
      <c r="BF83" s="2" t="str">
        <f>HYPERLINK("http://dx.doi.org/10.14198/cuid.2022.64.07","http://dx.doi.org/10.14198/cuid.2022.64.07")</f>
        <v>http://dx.doi.org/10.14198/cuid.2022.64.07</v>
      </c>
      <c r="BG83" s="1" t="s">
        <v>74</v>
      </c>
      <c r="BH83" s="1" t="s">
        <v>74</v>
      </c>
      <c r="BI83" s="1" t="s">
        <v>74</v>
      </c>
      <c r="BJ83" s="1" t="s">
        <v>74</v>
      </c>
      <c r="BK83" s="1" t="s">
        <v>74</v>
      </c>
      <c r="BL83" s="1" t="s">
        <v>74</v>
      </c>
      <c r="BM83" s="1" t="s">
        <v>74</v>
      </c>
      <c r="BN83" s="1" t="s">
        <v>74</v>
      </c>
      <c r="BO83" s="1" t="s">
        <v>74</v>
      </c>
      <c r="BP83" s="1" t="s">
        <v>74</v>
      </c>
      <c r="BQ83" s="1" t="s">
        <v>74</v>
      </c>
      <c r="BR83" s="1" t="s">
        <v>74</v>
      </c>
      <c r="BS83" s="1" t="s">
        <v>918</v>
      </c>
      <c r="BT83" s="1" t="str">
        <f>HYPERLINK("https%3A%2F%2Fwww.webofscience.com%2Fwos%2Fwoscc%2Ffull-record%2FWOS:000899136600007","View Full Record in Web of Science")</f>
        <v>View Full Record in Web of Science</v>
      </c>
    </row>
    <row r="84" ht="12.75" customHeight="1">
      <c r="A84" s="1" t="s">
        <v>72</v>
      </c>
      <c r="B84" s="1" t="s">
        <v>919</v>
      </c>
      <c r="C84" s="1" t="s">
        <v>74</v>
      </c>
      <c r="D84" s="1" t="s">
        <v>74</v>
      </c>
      <c r="E84" s="1" t="s">
        <v>74</v>
      </c>
      <c r="F84" s="1" t="s">
        <v>920</v>
      </c>
      <c r="G84" s="1" t="s">
        <v>74</v>
      </c>
      <c r="H84" s="1" t="s">
        <v>74</v>
      </c>
      <c r="I84" s="1" t="s">
        <v>921</v>
      </c>
      <c r="J84" s="1" t="s">
        <v>922</v>
      </c>
      <c r="K84" s="1" t="s">
        <v>74</v>
      </c>
      <c r="L84" s="1" t="s">
        <v>74</v>
      </c>
      <c r="M84" s="1" t="s">
        <v>74</v>
      </c>
      <c r="N84" s="1" t="s">
        <v>74</v>
      </c>
      <c r="O84" s="1" t="s">
        <v>74</v>
      </c>
      <c r="P84" s="1" t="s">
        <v>74</v>
      </c>
      <c r="Q84" s="1" t="s">
        <v>74</v>
      </c>
      <c r="R84" s="1" t="s">
        <v>74</v>
      </c>
      <c r="S84" s="1" t="s">
        <v>74</v>
      </c>
      <c r="T84" s="1" t="s">
        <v>74</v>
      </c>
      <c r="U84" s="1" t="s">
        <v>74</v>
      </c>
      <c r="V84" s="1" t="s">
        <v>923</v>
      </c>
      <c r="W84" s="1" t="s">
        <v>74</v>
      </c>
      <c r="X84" s="1" t="s">
        <v>74</v>
      </c>
      <c r="Y84" s="1" t="s">
        <v>74</v>
      </c>
      <c r="Z84" s="1" t="s">
        <v>74</v>
      </c>
      <c r="AA84" s="1" t="s">
        <v>924</v>
      </c>
      <c r="AB84" s="1" t="s">
        <v>925</v>
      </c>
      <c r="AC84" s="1" t="s">
        <v>74</v>
      </c>
      <c r="AD84" s="1" t="s">
        <v>74</v>
      </c>
      <c r="AE84" s="1" t="s">
        <v>74</v>
      </c>
      <c r="AF84" s="1" t="s">
        <v>74</v>
      </c>
      <c r="AG84" s="1" t="s">
        <v>74</v>
      </c>
      <c r="AH84" s="1" t="s">
        <v>74</v>
      </c>
      <c r="AI84" s="1" t="s">
        <v>74</v>
      </c>
      <c r="AJ84" s="1" t="s">
        <v>74</v>
      </c>
      <c r="AK84" s="1" t="s">
        <v>74</v>
      </c>
      <c r="AL84" s="1" t="s">
        <v>74</v>
      </c>
      <c r="AM84" s="1" t="s">
        <v>74</v>
      </c>
      <c r="AN84" s="1" t="s">
        <v>74</v>
      </c>
      <c r="AO84" s="1" t="s">
        <v>926</v>
      </c>
      <c r="AP84" s="1" t="s">
        <v>74</v>
      </c>
      <c r="AQ84" s="1" t="s">
        <v>74</v>
      </c>
      <c r="AR84" s="1" t="s">
        <v>74</v>
      </c>
      <c r="AS84" s="1" t="s">
        <v>74</v>
      </c>
      <c r="AT84" s="1" t="s">
        <v>927</v>
      </c>
      <c r="AU84" s="1">
        <v>2021.0</v>
      </c>
      <c r="AV84" s="1">
        <v>6.0</v>
      </c>
      <c r="AW84" s="1">
        <v>45.0</v>
      </c>
      <c r="AX84" s="1" t="s">
        <v>74</v>
      </c>
      <c r="AY84" s="1" t="s">
        <v>74</v>
      </c>
      <c r="AZ84" s="1" t="s">
        <v>74</v>
      </c>
      <c r="BA84" s="1" t="s">
        <v>74</v>
      </c>
      <c r="BB84" s="1">
        <v>12858.0</v>
      </c>
      <c r="BC84" s="1">
        <v>12861.0</v>
      </c>
      <c r="BD84" s="1" t="s">
        <v>74</v>
      </c>
      <c r="BE84" s="1" t="s">
        <v>928</v>
      </c>
      <c r="BF84" s="2" t="str">
        <f>HYPERLINK("http://dx.doi.org/10.1002/slct.202103280","http://dx.doi.org/10.1002/slct.202103280")</f>
        <v>http://dx.doi.org/10.1002/slct.202103280</v>
      </c>
      <c r="BG84" s="1" t="s">
        <v>74</v>
      </c>
      <c r="BH84" s="1" t="s">
        <v>74</v>
      </c>
      <c r="BI84" s="1" t="s">
        <v>74</v>
      </c>
      <c r="BJ84" s="1" t="s">
        <v>74</v>
      </c>
      <c r="BK84" s="1" t="s">
        <v>74</v>
      </c>
      <c r="BL84" s="1" t="s">
        <v>74</v>
      </c>
      <c r="BM84" s="1" t="s">
        <v>74</v>
      </c>
      <c r="BN84" s="1" t="s">
        <v>74</v>
      </c>
      <c r="BO84" s="1" t="s">
        <v>74</v>
      </c>
      <c r="BP84" s="1" t="s">
        <v>74</v>
      </c>
      <c r="BQ84" s="1" t="s">
        <v>74</v>
      </c>
      <c r="BR84" s="1" t="s">
        <v>74</v>
      </c>
      <c r="BS84" s="1" t="s">
        <v>929</v>
      </c>
      <c r="BT84" s="1" t="str">
        <f>HYPERLINK("https%3A%2F%2Fwww.webofscience.com%2Fwos%2Fwoscc%2Ffull-record%2FWOS:000726827000033","View Full Record in Web of Science")</f>
        <v>View Full Record in Web of Science</v>
      </c>
    </row>
    <row r="85" ht="12.75" customHeight="1">
      <c r="A85" s="1" t="s">
        <v>72</v>
      </c>
      <c r="B85" s="1" t="s">
        <v>930</v>
      </c>
      <c r="C85" s="1" t="s">
        <v>74</v>
      </c>
      <c r="D85" s="1" t="s">
        <v>74</v>
      </c>
      <c r="E85" s="1" t="s">
        <v>74</v>
      </c>
      <c r="F85" s="1" t="s">
        <v>931</v>
      </c>
      <c r="G85" s="1" t="s">
        <v>74</v>
      </c>
      <c r="H85" s="1" t="s">
        <v>74</v>
      </c>
      <c r="I85" s="1" t="s">
        <v>932</v>
      </c>
      <c r="J85" s="1" t="s">
        <v>933</v>
      </c>
      <c r="K85" s="1" t="s">
        <v>74</v>
      </c>
      <c r="L85" s="1" t="s">
        <v>74</v>
      </c>
      <c r="M85" s="1" t="s">
        <v>74</v>
      </c>
      <c r="N85" s="1" t="s">
        <v>74</v>
      </c>
      <c r="O85" s="1" t="s">
        <v>74</v>
      </c>
      <c r="P85" s="1" t="s">
        <v>74</v>
      </c>
      <c r="Q85" s="1" t="s">
        <v>74</v>
      </c>
      <c r="R85" s="1" t="s">
        <v>74</v>
      </c>
      <c r="S85" s="1" t="s">
        <v>74</v>
      </c>
      <c r="T85" s="1" t="s">
        <v>74</v>
      </c>
      <c r="U85" s="1" t="s">
        <v>74</v>
      </c>
      <c r="V85" s="1" t="s">
        <v>934</v>
      </c>
      <c r="W85" s="1" t="s">
        <v>74</v>
      </c>
      <c r="X85" s="1" t="s">
        <v>74</v>
      </c>
      <c r="Y85" s="1" t="s">
        <v>74</v>
      </c>
      <c r="Z85" s="1" t="s">
        <v>74</v>
      </c>
      <c r="AA85" s="1" t="s">
        <v>935</v>
      </c>
      <c r="AB85" s="1" t="s">
        <v>936</v>
      </c>
      <c r="AC85" s="1" t="s">
        <v>74</v>
      </c>
      <c r="AD85" s="1" t="s">
        <v>74</v>
      </c>
      <c r="AE85" s="1" t="s">
        <v>74</v>
      </c>
      <c r="AF85" s="1" t="s">
        <v>74</v>
      </c>
      <c r="AG85" s="1" t="s">
        <v>74</v>
      </c>
      <c r="AH85" s="1" t="s">
        <v>74</v>
      </c>
      <c r="AI85" s="1" t="s">
        <v>74</v>
      </c>
      <c r="AJ85" s="1" t="s">
        <v>74</v>
      </c>
      <c r="AK85" s="1" t="s">
        <v>74</v>
      </c>
      <c r="AL85" s="1" t="s">
        <v>74</v>
      </c>
      <c r="AM85" s="1" t="s">
        <v>74</v>
      </c>
      <c r="AN85" s="1" t="s">
        <v>74</v>
      </c>
      <c r="AO85" s="1" t="s">
        <v>937</v>
      </c>
      <c r="AP85" s="1" t="s">
        <v>938</v>
      </c>
      <c r="AQ85" s="1" t="s">
        <v>74</v>
      </c>
      <c r="AR85" s="1" t="s">
        <v>74</v>
      </c>
      <c r="AS85" s="1" t="s">
        <v>74</v>
      </c>
      <c r="AT85" s="1" t="s">
        <v>74</v>
      </c>
      <c r="AU85" s="1">
        <v>2020.0</v>
      </c>
      <c r="AV85" s="1">
        <v>16.0</v>
      </c>
      <c r="AW85" s="1" t="s">
        <v>74</v>
      </c>
      <c r="AX85" s="1" t="s">
        <v>74</v>
      </c>
      <c r="AY85" s="1" t="s">
        <v>74</v>
      </c>
      <c r="AZ85" s="1" t="s">
        <v>74</v>
      </c>
      <c r="BA85" s="1" t="s">
        <v>74</v>
      </c>
      <c r="BB85" s="1" t="s">
        <v>74</v>
      </c>
      <c r="BC85" s="1" t="s">
        <v>74</v>
      </c>
      <c r="BD85" s="1" t="s">
        <v>74</v>
      </c>
      <c r="BE85" s="1" t="s">
        <v>939</v>
      </c>
      <c r="BF85" s="2" t="str">
        <f>HYPERLINK("http://dx.doi.org/10.12957/childphilo.2020.50213","http://dx.doi.org/10.12957/childphilo.2020.50213")</f>
        <v>http://dx.doi.org/10.12957/childphilo.2020.50213</v>
      </c>
      <c r="BG85" s="1" t="s">
        <v>74</v>
      </c>
      <c r="BH85" s="1" t="s">
        <v>74</v>
      </c>
      <c r="BI85" s="1" t="s">
        <v>74</v>
      </c>
      <c r="BJ85" s="1" t="s">
        <v>74</v>
      </c>
      <c r="BK85" s="1" t="s">
        <v>74</v>
      </c>
      <c r="BL85" s="1" t="s">
        <v>74</v>
      </c>
      <c r="BM85" s="1" t="s">
        <v>74</v>
      </c>
      <c r="BN85" s="1" t="s">
        <v>74</v>
      </c>
      <c r="BO85" s="1" t="s">
        <v>74</v>
      </c>
      <c r="BP85" s="1" t="s">
        <v>74</v>
      </c>
      <c r="BQ85" s="1" t="s">
        <v>74</v>
      </c>
      <c r="BR85" s="1" t="s">
        <v>74</v>
      </c>
      <c r="BS85" s="1" t="s">
        <v>940</v>
      </c>
      <c r="BT85" s="1" t="str">
        <f>HYPERLINK("https%3A%2F%2Fwww.webofscience.com%2Fwos%2Fwoscc%2Ffull-record%2FWOS:000625292000018","View Full Record in Web of Science")</f>
        <v>View Full Record in Web of Science</v>
      </c>
    </row>
    <row r="86" ht="12.75" customHeight="1">
      <c r="A86" s="1" t="s">
        <v>72</v>
      </c>
      <c r="B86" s="1" t="s">
        <v>941</v>
      </c>
      <c r="C86" s="1" t="s">
        <v>74</v>
      </c>
      <c r="D86" s="1" t="s">
        <v>74</v>
      </c>
      <c r="E86" s="1" t="s">
        <v>74</v>
      </c>
      <c r="F86" s="1" t="s">
        <v>942</v>
      </c>
      <c r="G86" s="1" t="s">
        <v>74</v>
      </c>
      <c r="H86" s="1" t="s">
        <v>74</v>
      </c>
      <c r="I86" s="1" t="s">
        <v>943</v>
      </c>
      <c r="J86" s="1" t="s">
        <v>301</v>
      </c>
      <c r="K86" s="1" t="s">
        <v>74</v>
      </c>
      <c r="L86" s="1" t="s">
        <v>74</v>
      </c>
      <c r="M86" s="1" t="s">
        <v>74</v>
      </c>
      <c r="N86" s="1" t="s">
        <v>74</v>
      </c>
      <c r="O86" s="1" t="s">
        <v>74</v>
      </c>
      <c r="P86" s="1" t="s">
        <v>74</v>
      </c>
      <c r="Q86" s="1" t="s">
        <v>74</v>
      </c>
      <c r="R86" s="1" t="s">
        <v>74</v>
      </c>
      <c r="S86" s="1" t="s">
        <v>74</v>
      </c>
      <c r="T86" s="1" t="s">
        <v>74</v>
      </c>
      <c r="U86" s="1" t="s">
        <v>74</v>
      </c>
      <c r="V86" s="1" t="s">
        <v>944</v>
      </c>
      <c r="W86" s="1" t="s">
        <v>74</v>
      </c>
      <c r="X86" s="1" t="s">
        <v>74</v>
      </c>
      <c r="Y86" s="1" t="s">
        <v>74</v>
      </c>
      <c r="Z86" s="1" t="s">
        <v>74</v>
      </c>
      <c r="AA86" s="1" t="s">
        <v>945</v>
      </c>
      <c r="AB86" s="1" t="s">
        <v>946</v>
      </c>
      <c r="AC86" s="1" t="s">
        <v>74</v>
      </c>
      <c r="AD86" s="1" t="s">
        <v>74</v>
      </c>
      <c r="AE86" s="1" t="s">
        <v>74</v>
      </c>
      <c r="AF86" s="1" t="s">
        <v>74</v>
      </c>
      <c r="AG86" s="1" t="s">
        <v>74</v>
      </c>
      <c r="AH86" s="1" t="s">
        <v>74</v>
      </c>
      <c r="AI86" s="1" t="s">
        <v>74</v>
      </c>
      <c r="AJ86" s="1" t="s">
        <v>74</v>
      </c>
      <c r="AK86" s="1" t="s">
        <v>74</v>
      </c>
      <c r="AL86" s="1" t="s">
        <v>74</v>
      </c>
      <c r="AM86" s="1" t="s">
        <v>74</v>
      </c>
      <c r="AN86" s="1" t="s">
        <v>74</v>
      </c>
      <c r="AO86" s="1" t="s">
        <v>305</v>
      </c>
      <c r="AP86" s="1" t="s">
        <v>306</v>
      </c>
      <c r="AQ86" s="1" t="s">
        <v>74</v>
      </c>
      <c r="AR86" s="1" t="s">
        <v>74</v>
      </c>
      <c r="AS86" s="1" t="s">
        <v>74</v>
      </c>
      <c r="AT86" s="1" t="s">
        <v>947</v>
      </c>
      <c r="AU86" s="1">
        <v>2019.0</v>
      </c>
      <c r="AV86" s="1">
        <v>125.0</v>
      </c>
      <c r="AW86" s="1">
        <v>24.0</v>
      </c>
      <c r="AX86" s="1" t="s">
        <v>74</v>
      </c>
      <c r="AY86" s="1" t="s">
        <v>74</v>
      </c>
      <c r="AZ86" s="1" t="s">
        <v>74</v>
      </c>
      <c r="BA86" s="1" t="s">
        <v>74</v>
      </c>
      <c r="BB86" s="1" t="s">
        <v>74</v>
      </c>
      <c r="BC86" s="1" t="s">
        <v>74</v>
      </c>
      <c r="BD86" s="1">
        <v>244308.0</v>
      </c>
      <c r="BE86" s="1" t="s">
        <v>948</v>
      </c>
      <c r="BF86" s="2" t="str">
        <f>HYPERLINK("http://dx.doi.org/10.1063/1.5094175","http://dx.doi.org/10.1063/1.5094175")</f>
        <v>http://dx.doi.org/10.1063/1.5094175</v>
      </c>
      <c r="BG86" s="1" t="s">
        <v>74</v>
      </c>
      <c r="BH86" s="1" t="s">
        <v>74</v>
      </c>
      <c r="BI86" s="1" t="s">
        <v>74</v>
      </c>
      <c r="BJ86" s="1" t="s">
        <v>74</v>
      </c>
      <c r="BK86" s="1" t="s">
        <v>74</v>
      </c>
      <c r="BL86" s="1" t="s">
        <v>74</v>
      </c>
      <c r="BM86" s="1" t="s">
        <v>74</v>
      </c>
      <c r="BN86" s="1" t="s">
        <v>74</v>
      </c>
      <c r="BO86" s="1" t="s">
        <v>74</v>
      </c>
      <c r="BP86" s="1" t="s">
        <v>74</v>
      </c>
      <c r="BQ86" s="1" t="s">
        <v>74</v>
      </c>
      <c r="BR86" s="1" t="s">
        <v>74</v>
      </c>
      <c r="BS86" s="1" t="s">
        <v>949</v>
      </c>
      <c r="BT86" s="1" t="str">
        <f>HYPERLINK("https%3A%2F%2Fwww.webofscience.com%2Fwos%2Fwoscc%2Ffull-record%2FWOS:000474439600025","View Full Record in Web of Science")</f>
        <v>View Full Record in Web of Science</v>
      </c>
    </row>
    <row r="87" ht="12.75" customHeight="1">
      <c r="A87" s="1" t="s">
        <v>72</v>
      </c>
      <c r="B87" s="1" t="s">
        <v>950</v>
      </c>
      <c r="C87" s="1" t="s">
        <v>74</v>
      </c>
      <c r="D87" s="1" t="s">
        <v>74</v>
      </c>
      <c r="E87" s="1" t="s">
        <v>74</v>
      </c>
      <c r="F87" s="1" t="s">
        <v>951</v>
      </c>
      <c r="G87" s="1" t="s">
        <v>74</v>
      </c>
      <c r="H87" s="1" t="s">
        <v>74</v>
      </c>
      <c r="I87" s="1" t="s">
        <v>952</v>
      </c>
      <c r="J87" s="1" t="s">
        <v>953</v>
      </c>
      <c r="K87" s="1" t="s">
        <v>74</v>
      </c>
      <c r="L87" s="1" t="s">
        <v>74</v>
      </c>
      <c r="M87" s="1" t="s">
        <v>74</v>
      </c>
      <c r="N87" s="1" t="s">
        <v>74</v>
      </c>
      <c r="O87" s="1" t="s">
        <v>74</v>
      </c>
      <c r="P87" s="1" t="s">
        <v>74</v>
      </c>
      <c r="Q87" s="1" t="s">
        <v>74</v>
      </c>
      <c r="R87" s="1" t="s">
        <v>74</v>
      </c>
      <c r="S87" s="1" t="s">
        <v>74</v>
      </c>
      <c r="T87" s="1" t="s">
        <v>74</v>
      </c>
      <c r="U87" s="1" t="s">
        <v>74</v>
      </c>
      <c r="V87" s="1" t="s">
        <v>954</v>
      </c>
      <c r="W87" s="1" t="s">
        <v>74</v>
      </c>
      <c r="X87" s="1" t="s">
        <v>74</v>
      </c>
      <c r="Y87" s="1" t="s">
        <v>74</v>
      </c>
      <c r="Z87" s="1" t="s">
        <v>74</v>
      </c>
      <c r="AA87" s="1" t="s">
        <v>955</v>
      </c>
      <c r="AB87" s="1" t="s">
        <v>956</v>
      </c>
      <c r="AC87" s="1" t="s">
        <v>74</v>
      </c>
      <c r="AD87" s="1" t="s">
        <v>74</v>
      </c>
      <c r="AE87" s="1" t="s">
        <v>74</v>
      </c>
      <c r="AF87" s="1" t="s">
        <v>74</v>
      </c>
      <c r="AG87" s="1" t="s">
        <v>74</v>
      </c>
      <c r="AH87" s="1" t="s">
        <v>74</v>
      </c>
      <c r="AI87" s="1" t="s">
        <v>74</v>
      </c>
      <c r="AJ87" s="1" t="s">
        <v>74</v>
      </c>
      <c r="AK87" s="1" t="s">
        <v>74</v>
      </c>
      <c r="AL87" s="1" t="s">
        <v>74</v>
      </c>
      <c r="AM87" s="1" t="s">
        <v>74</v>
      </c>
      <c r="AN87" s="1" t="s">
        <v>74</v>
      </c>
      <c r="AO87" s="1" t="s">
        <v>957</v>
      </c>
      <c r="AP87" s="1" t="s">
        <v>958</v>
      </c>
      <c r="AQ87" s="1" t="s">
        <v>74</v>
      </c>
      <c r="AR87" s="1" t="s">
        <v>74</v>
      </c>
      <c r="AS87" s="1" t="s">
        <v>74</v>
      </c>
      <c r="AT87" s="1" t="s">
        <v>82</v>
      </c>
      <c r="AU87" s="1">
        <v>2019.0</v>
      </c>
      <c r="AV87" s="1">
        <v>40.0</v>
      </c>
      <c r="AW87" s="1">
        <v>6.0</v>
      </c>
      <c r="AX87" s="1" t="s">
        <v>74</v>
      </c>
      <c r="AY87" s="1" t="s">
        <v>74</v>
      </c>
      <c r="AZ87" s="1" t="s">
        <v>74</v>
      </c>
      <c r="BA87" s="1" t="s">
        <v>74</v>
      </c>
      <c r="BB87" s="1">
        <v>2311.0</v>
      </c>
      <c r="BC87" s="1">
        <v>2319.0</v>
      </c>
      <c r="BD87" s="1" t="s">
        <v>74</v>
      </c>
      <c r="BE87" s="1" t="s">
        <v>959</v>
      </c>
      <c r="BF87" s="2" t="str">
        <f>HYPERLINK("http://dx.doi.org/10.1002/pc.25041","http://dx.doi.org/10.1002/pc.25041")</f>
        <v>http://dx.doi.org/10.1002/pc.25041</v>
      </c>
      <c r="BG87" s="1" t="s">
        <v>74</v>
      </c>
      <c r="BH87" s="1" t="s">
        <v>74</v>
      </c>
      <c r="BI87" s="1" t="s">
        <v>74</v>
      </c>
      <c r="BJ87" s="1" t="s">
        <v>74</v>
      </c>
      <c r="BK87" s="1" t="s">
        <v>74</v>
      </c>
      <c r="BL87" s="1" t="s">
        <v>74</v>
      </c>
      <c r="BM87" s="1" t="s">
        <v>74</v>
      </c>
      <c r="BN87" s="1" t="s">
        <v>74</v>
      </c>
      <c r="BO87" s="1" t="s">
        <v>74</v>
      </c>
      <c r="BP87" s="1" t="s">
        <v>74</v>
      </c>
      <c r="BQ87" s="1" t="s">
        <v>74</v>
      </c>
      <c r="BR87" s="1" t="s">
        <v>74</v>
      </c>
      <c r="BS87" s="1" t="s">
        <v>960</v>
      </c>
      <c r="BT87" s="1" t="str">
        <f>HYPERLINK("https%3A%2F%2Fwww.webofscience.com%2Fwos%2Fwoscc%2Ffull-record%2FWOS:000470022500019","View Full Record in Web of Science")</f>
        <v>View Full Record in Web of Science</v>
      </c>
    </row>
    <row r="88" ht="12.75" customHeight="1">
      <c r="A88" s="1" t="s">
        <v>442</v>
      </c>
      <c r="B88" s="1" t="s">
        <v>961</v>
      </c>
      <c r="C88" s="1" t="s">
        <v>74</v>
      </c>
      <c r="D88" s="1" t="s">
        <v>74</v>
      </c>
      <c r="E88" s="1" t="s">
        <v>962</v>
      </c>
      <c r="F88" s="1" t="s">
        <v>963</v>
      </c>
      <c r="G88" s="1" t="s">
        <v>74</v>
      </c>
      <c r="H88" s="1" t="s">
        <v>74</v>
      </c>
      <c r="I88" s="1" t="s">
        <v>964</v>
      </c>
      <c r="J88" s="1" t="s">
        <v>965</v>
      </c>
      <c r="K88" s="1" t="s">
        <v>74</v>
      </c>
      <c r="L88" s="1" t="s">
        <v>74</v>
      </c>
      <c r="M88" s="1" t="s">
        <v>74</v>
      </c>
      <c r="N88" s="1" t="s">
        <v>74</v>
      </c>
      <c r="O88" s="1" t="s">
        <v>74</v>
      </c>
      <c r="P88" s="1" t="s">
        <v>74</v>
      </c>
      <c r="Q88" s="1" t="s">
        <v>74</v>
      </c>
      <c r="R88" s="1" t="s">
        <v>74</v>
      </c>
      <c r="S88" s="1" t="s">
        <v>74</v>
      </c>
      <c r="T88" s="1" t="s">
        <v>74</v>
      </c>
      <c r="U88" s="1" t="s">
        <v>74</v>
      </c>
      <c r="V88" s="1" t="s">
        <v>966</v>
      </c>
      <c r="W88" s="1" t="s">
        <v>74</v>
      </c>
      <c r="X88" s="1" t="s">
        <v>74</v>
      </c>
      <c r="Y88" s="1" t="s">
        <v>74</v>
      </c>
      <c r="Z88" s="1" t="s">
        <v>74</v>
      </c>
      <c r="AA88" s="1" t="s">
        <v>74</v>
      </c>
      <c r="AB88" s="1" t="s">
        <v>74</v>
      </c>
      <c r="AC88" s="1" t="s">
        <v>74</v>
      </c>
      <c r="AD88" s="1" t="s">
        <v>74</v>
      </c>
      <c r="AE88" s="1" t="s">
        <v>74</v>
      </c>
      <c r="AF88" s="1" t="s">
        <v>74</v>
      </c>
      <c r="AG88" s="1" t="s">
        <v>74</v>
      </c>
      <c r="AH88" s="1" t="s">
        <v>74</v>
      </c>
      <c r="AI88" s="1" t="s">
        <v>74</v>
      </c>
      <c r="AJ88" s="1" t="s">
        <v>74</v>
      </c>
      <c r="AK88" s="1" t="s">
        <v>74</v>
      </c>
      <c r="AL88" s="1" t="s">
        <v>74</v>
      </c>
      <c r="AM88" s="1" t="s">
        <v>74</v>
      </c>
      <c r="AN88" s="1" t="s">
        <v>74</v>
      </c>
      <c r="AO88" s="1" t="s">
        <v>74</v>
      </c>
      <c r="AP88" s="1" t="s">
        <v>74</v>
      </c>
      <c r="AQ88" s="1" t="s">
        <v>967</v>
      </c>
      <c r="AR88" s="1" t="s">
        <v>74</v>
      </c>
      <c r="AS88" s="1" t="s">
        <v>74</v>
      </c>
      <c r="AT88" s="1" t="s">
        <v>74</v>
      </c>
      <c r="AU88" s="1">
        <v>2019.0</v>
      </c>
      <c r="AV88" s="1" t="s">
        <v>74</v>
      </c>
      <c r="AW88" s="1" t="s">
        <v>74</v>
      </c>
      <c r="AX88" s="1" t="s">
        <v>74</v>
      </c>
      <c r="AY88" s="1" t="s">
        <v>74</v>
      </c>
      <c r="AZ88" s="1" t="s">
        <v>74</v>
      </c>
      <c r="BA88" s="1" t="s">
        <v>74</v>
      </c>
      <c r="BB88" s="1">
        <v>123.0</v>
      </c>
      <c r="BC88" s="1">
        <v>134.0</v>
      </c>
      <c r="BD88" s="1" t="s">
        <v>74</v>
      </c>
      <c r="BE88" s="1" t="s">
        <v>74</v>
      </c>
      <c r="BF88" s="1" t="s">
        <v>74</v>
      </c>
      <c r="BG88" s="1" t="s">
        <v>74</v>
      </c>
      <c r="BH88" s="1" t="s">
        <v>74</v>
      </c>
      <c r="BI88" s="1" t="s">
        <v>74</v>
      </c>
      <c r="BJ88" s="1" t="s">
        <v>74</v>
      </c>
      <c r="BK88" s="1" t="s">
        <v>74</v>
      </c>
      <c r="BL88" s="1" t="s">
        <v>74</v>
      </c>
      <c r="BM88" s="1" t="s">
        <v>74</v>
      </c>
      <c r="BN88" s="1" t="s">
        <v>74</v>
      </c>
      <c r="BO88" s="1" t="s">
        <v>74</v>
      </c>
      <c r="BP88" s="1" t="s">
        <v>74</v>
      </c>
      <c r="BQ88" s="1" t="s">
        <v>74</v>
      </c>
      <c r="BR88" s="1" t="s">
        <v>74</v>
      </c>
      <c r="BS88" s="1" t="s">
        <v>968</v>
      </c>
      <c r="BT88" s="1" t="str">
        <f>HYPERLINK("https%3A%2F%2Fwww.webofscience.com%2Fwos%2Fwoscc%2Ffull-record%2FWOS:000886992800010","View Full Record in Web of Science")</f>
        <v>View Full Record in Web of Science</v>
      </c>
    </row>
    <row r="89" ht="12.75" customHeight="1">
      <c r="A89" s="1" t="s">
        <v>241</v>
      </c>
      <c r="B89" s="1" t="s">
        <v>779</v>
      </c>
      <c r="C89" s="1" t="s">
        <v>74</v>
      </c>
      <c r="D89" s="1" t="s">
        <v>969</v>
      </c>
      <c r="E89" s="1" t="s">
        <v>74</v>
      </c>
      <c r="F89" s="1" t="s">
        <v>780</v>
      </c>
      <c r="G89" s="1" t="s">
        <v>74</v>
      </c>
      <c r="H89" s="1" t="s">
        <v>74</v>
      </c>
      <c r="I89" s="1" t="s">
        <v>970</v>
      </c>
      <c r="J89" s="1" t="s">
        <v>971</v>
      </c>
      <c r="K89" s="1" t="s">
        <v>74</v>
      </c>
      <c r="L89" s="1" t="s">
        <v>74</v>
      </c>
      <c r="M89" s="1" t="s">
        <v>74</v>
      </c>
      <c r="N89" s="1" t="s">
        <v>74</v>
      </c>
      <c r="O89" s="1" t="s">
        <v>972</v>
      </c>
      <c r="P89" s="1" t="s">
        <v>973</v>
      </c>
      <c r="Q89" s="1" t="s">
        <v>974</v>
      </c>
      <c r="R89" s="1" t="s">
        <v>975</v>
      </c>
      <c r="S89" s="1" t="s">
        <v>74</v>
      </c>
      <c r="T89" s="1" t="s">
        <v>74</v>
      </c>
      <c r="U89" s="1" t="s">
        <v>74</v>
      </c>
      <c r="V89" s="1" t="s">
        <v>976</v>
      </c>
      <c r="W89" s="1" t="s">
        <v>74</v>
      </c>
      <c r="X89" s="1" t="s">
        <v>74</v>
      </c>
      <c r="Y89" s="1" t="s">
        <v>74</v>
      </c>
      <c r="Z89" s="1" t="s">
        <v>74</v>
      </c>
      <c r="AA89" s="1" t="s">
        <v>74</v>
      </c>
      <c r="AB89" s="1" t="s">
        <v>74</v>
      </c>
      <c r="AC89" s="1" t="s">
        <v>74</v>
      </c>
      <c r="AD89" s="1" t="s">
        <v>74</v>
      </c>
      <c r="AE89" s="1" t="s">
        <v>74</v>
      </c>
      <c r="AF89" s="1" t="s">
        <v>74</v>
      </c>
      <c r="AG89" s="1" t="s">
        <v>74</v>
      </c>
      <c r="AH89" s="1" t="s">
        <v>74</v>
      </c>
      <c r="AI89" s="1" t="s">
        <v>74</v>
      </c>
      <c r="AJ89" s="1" t="s">
        <v>74</v>
      </c>
      <c r="AK89" s="1" t="s">
        <v>74</v>
      </c>
      <c r="AL89" s="1" t="s">
        <v>74</v>
      </c>
      <c r="AM89" s="1" t="s">
        <v>74</v>
      </c>
      <c r="AN89" s="1" t="s">
        <v>74</v>
      </c>
      <c r="AO89" s="1" t="s">
        <v>74</v>
      </c>
      <c r="AP89" s="1" t="s">
        <v>74</v>
      </c>
      <c r="AQ89" s="1" t="s">
        <v>977</v>
      </c>
      <c r="AR89" s="1" t="s">
        <v>74</v>
      </c>
      <c r="AS89" s="1" t="s">
        <v>74</v>
      </c>
      <c r="AT89" s="1" t="s">
        <v>74</v>
      </c>
      <c r="AU89" s="1">
        <v>2018.0</v>
      </c>
      <c r="AV89" s="1" t="s">
        <v>74</v>
      </c>
      <c r="AW89" s="1" t="s">
        <v>74</v>
      </c>
      <c r="AX89" s="1" t="s">
        <v>74</v>
      </c>
      <c r="AY89" s="1" t="s">
        <v>74</v>
      </c>
      <c r="AZ89" s="1" t="s">
        <v>74</v>
      </c>
      <c r="BA89" s="1" t="s">
        <v>74</v>
      </c>
      <c r="BB89" s="1" t="s">
        <v>74</v>
      </c>
      <c r="BC89" s="1" t="s">
        <v>74</v>
      </c>
      <c r="BD89" s="1" t="s">
        <v>74</v>
      </c>
      <c r="BE89" s="1" t="s">
        <v>74</v>
      </c>
      <c r="BF89" s="1" t="s">
        <v>74</v>
      </c>
      <c r="BG89" s="1" t="s">
        <v>74</v>
      </c>
      <c r="BH89" s="1" t="s">
        <v>74</v>
      </c>
      <c r="BI89" s="1" t="s">
        <v>74</v>
      </c>
      <c r="BJ89" s="1" t="s">
        <v>74</v>
      </c>
      <c r="BK89" s="1" t="s">
        <v>74</v>
      </c>
      <c r="BL89" s="1" t="s">
        <v>74</v>
      </c>
      <c r="BM89" s="1" t="s">
        <v>74</v>
      </c>
      <c r="BN89" s="1" t="s">
        <v>74</v>
      </c>
      <c r="BO89" s="1" t="s">
        <v>74</v>
      </c>
      <c r="BP89" s="1" t="s">
        <v>74</v>
      </c>
      <c r="BQ89" s="1" t="s">
        <v>74</v>
      </c>
      <c r="BR89" s="1" t="s">
        <v>74</v>
      </c>
      <c r="BS89" s="1" t="s">
        <v>978</v>
      </c>
      <c r="BT89" s="1" t="str">
        <f>HYPERLINK("https%3A%2F%2Fwww.webofscience.com%2Fwos%2Fwoscc%2Ffull-record%2FWOS:000458417600007","View Full Record in Web of Science")</f>
        <v>View Full Record in Web of Science</v>
      </c>
    </row>
    <row r="90" ht="12.75" customHeight="1">
      <c r="A90" s="1" t="s">
        <v>72</v>
      </c>
      <c r="B90" s="1" t="s">
        <v>979</v>
      </c>
      <c r="C90" s="1" t="s">
        <v>74</v>
      </c>
      <c r="D90" s="1" t="s">
        <v>74</v>
      </c>
      <c r="E90" s="1" t="s">
        <v>74</v>
      </c>
      <c r="F90" s="1" t="s">
        <v>980</v>
      </c>
      <c r="G90" s="1" t="s">
        <v>74</v>
      </c>
      <c r="H90" s="1" t="s">
        <v>74</v>
      </c>
      <c r="I90" s="1" t="s">
        <v>981</v>
      </c>
      <c r="J90" s="1" t="s">
        <v>376</v>
      </c>
      <c r="K90" s="1" t="s">
        <v>74</v>
      </c>
      <c r="L90" s="1" t="s">
        <v>74</v>
      </c>
      <c r="M90" s="1" t="s">
        <v>74</v>
      </c>
      <c r="N90" s="1" t="s">
        <v>74</v>
      </c>
      <c r="O90" s="1" t="s">
        <v>74</v>
      </c>
      <c r="P90" s="1" t="s">
        <v>74</v>
      </c>
      <c r="Q90" s="1" t="s">
        <v>74</v>
      </c>
      <c r="R90" s="1" t="s">
        <v>74</v>
      </c>
      <c r="S90" s="1" t="s">
        <v>74</v>
      </c>
      <c r="T90" s="1" t="s">
        <v>74</v>
      </c>
      <c r="U90" s="1" t="s">
        <v>74</v>
      </c>
      <c r="V90" s="1" t="s">
        <v>982</v>
      </c>
      <c r="W90" s="1" t="s">
        <v>74</v>
      </c>
      <c r="X90" s="1" t="s">
        <v>74</v>
      </c>
      <c r="Y90" s="1" t="s">
        <v>74</v>
      </c>
      <c r="Z90" s="1" t="s">
        <v>74</v>
      </c>
      <c r="AA90" s="1" t="s">
        <v>983</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380</v>
      </c>
      <c r="AP90" s="1" t="s">
        <v>381</v>
      </c>
      <c r="AQ90" s="1" t="s">
        <v>74</v>
      </c>
      <c r="AR90" s="1" t="s">
        <v>74</v>
      </c>
      <c r="AS90" s="1" t="s">
        <v>74</v>
      </c>
      <c r="AT90" s="1" t="s">
        <v>106</v>
      </c>
      <c r="AU90" s="1">
        <v>2017.0</v>
      </c>
      <c r="AV90" s="1">
        <v>21.0</v>
      </c>
      <c r="AW90" s="1">
        <v>5.0</v>
      </c>
      <c r="AX90" s="1" t="s">
        <v>74</v>
      </c>
      <c r="AY90" s="1" t="s">
        <v>74</v>
      </c>
      <c r="AZ90" s="1" t="s">
        <v>74</v>
      </c>
      <c r="BA90" s="1" t="s">
        <v>74</v>
      </c>
      <c r="BB90" s="1">
        <v>861.0</v>
      </c>
      <c r="BC90" s="1">
        <v>869.0</v>
      </c>
      <c r="BD90" s="1" t="s">
        <v>74</v>
      </c>
      <c r="BE90" s="1" t="s">
        <v>984</v>
      </c>
      <c r="BF90" s="2" t="str">
        <f>HYPERLINK("http://dx.doi.org/10.1007/s00792-017-0948-9","http://dx.doi.org/10.1007/s00792-017-0948-9")</f>
        <v>http://dx.doi.org/10.1007/s00792-017-0948-9</v>
      </c>
      <c r="BG90" s="1" t="s">
        <v>74</v>
      </c>
      <c r="BH90" s="1" t="s">
        <v>74</v>
      </c>
      <c r="BI90" s="1" t="s">
        <v>74</v>
      </c>
      <c r="BJ90" s="1" t="s">
        <v>74</v>
      </c>
      <c r="BK90" s="1" t="s">
        <v>74</v>
      </c>
      <c r="BL90" s="1" t="s">
        <v>74</v>
      </c>
      <c r="BM90" s="1" t="s">
        <v>74</v>
      </c>
      <c r="BN90" s="1">
        <v>2.874478E7</v>
      </c>
      <c r="BO90" s="1" t="s">
        <v>74</v>
      </c>
      <c r="BP90" s="1" t="s">
        <v>74</v>
      </c>
      <c r="BQ90" s="1" t="s">
        <v>74</v>
      </c>
      <c r="BR90" s="1" t="s">
        <v>74</v>
      </c>
      <c r="BS90" s="1" t="s">
        <v>985</v>
      </c>
      <c r="BT90" s="1" t="str">
        <f>HYPERLINK("https%3A%2F%2Fwww.webofscience.com%2Fwos%2Fwoscc%2Ffull-record%2FWOS:000408230000004","View Full Record in Web of Science")</f>
        <v>View Full Record in Web of Science</v>
      </c>
    </row>
    <row r="91" ht="12.75" customHeight="1">
      <c r="A91" s="1" t="s">
        <v>72</v>
      </c>
      <c r="B91" s="1" t="s">
        <v>986</v>
      </c>
      <c r="C91" s="1" t="s">
        <v>74</v>
      </c>
      <c r="D91" s="1" t="s">
        <v>74</v>
      </c>
      <c r="E91" s="1" t="s">
        <v>74</v>
      </c>
      <c r="F91" s="1" t="s">
        <v>987</v>
      </c>
      <c r="G91" s="1" t="s">
        <v>74</v>
      </c>
      <c r="H91" s="1" t="s">
        <v>74</v>
      </c>
      <c r="I91" s="1" t="s">
        <v>988</v>
      </c>
      <c r="J91" s="1" t="s">
        <v>280</v>
      </c>
      <c r="K91" s="1" t="s">
        <v>74</v>
      </c>
      <c r="L91" s="1" t="s">
        <v>74</v>
      </c>
      <c r="M91" s="1" t="s">
        <v>74</v>
      </c>
      <c r="N91" s="1" t="s">
        <v>74</v>
      </c>
      <c r="O91" s="1" t="s">
        <v>74</v>
      </c>
      <c r="P91" s="1" t="s">
        <v>74</v>
      </c>
      <c r="Q91" s="1" t="s">
        <v>74</v>
      </c>
      <c r="R91" s="1" t="s">
        <v>74</v>
      </c>
      <c r="S91" s="1" t="s">
        <v>74</v>
      </c>
      <c r="T91" s="1" t="s">
        <v>74</v>
      </c>
      <c r="U91" s="1" t="s">
        <v>74</v>
      </c>
      <c r="V91" s="1" t="s">
        <v>989</v>
      </c>
      <c r="W91" s="1" t="s">
        <v>74</v>
      </c>
      <c r="X91" s="1" t="s">
        <v>74</v>
      </c>
      <c r="Y91" s="1" t="s">
        <v>74</v>
      </c>
      <c r="Z91" s="1" t="s">
        <v>74</v>
      </c>
      <c r="AA91" s="1" t="s">
        <v>990</v>
      </c>
      <c r="AB91" s="1" t="s">
        <v>991</v>
      </c>
      <c r="AC91" s="1" t="s">
        <v>74</v>
      </c>
      <c r="AD91" s="1" t="s">
        <v>74</v>
      </c>
      <c r="AE91" s="1" t="s">
        <v>74</v>
      </c>
      <c r="AF91" s="1" t="s">
        <v>74</v>
      </c>
      <c r="AG91" s="1" t="s">
        <v>74</v>
      </c>
      <c r="AH91" s="1" t="s">
        <v>74</v>
      </c>
      <c r="AI91" s="1" t="s">
        <v>74</v>
      </c>
      <c r="AJ91" s="1" t="s">
        <v>74</v>
      </c>
      <c r="AK91" s="1" t="s">
        <v>74</v>
      </c>
      <c r="AL91" s="1" t="s">
        <v>74</v>
      </c>
      <c r="AM91" s="1" t="s">
        <v>74</v>
      </c>
      <c r="AN91" s="1" t="s">
        <v>74</v>
      </c>
      <c r="AO91" s="1" t="s">
        <v>283</v>
      </c>
      <c r="AP91" s="1" t="s">
        <v>74</v>
      </c>
      <c r="AQ91" s="1" t="s">
        <v>74</v>
      </c>
      <c r="AR91" s="1" t="s">
        <v>74</v>
      </c>
      <c r="AS91" s="1" t="s">
        <v>74</v>
      </c>
      <c r="AT91" s="1" t="s">
        <v>106</v>
      </c>
      <c r="AU91" s="1">
        <v>2015.0</v>
      </c>
      <c r="AV91" s="1">
        <v>60.0</v>
      </c>
      <c r="AW91" s="1">
        <v>3.0</v>
      </c>
      <c r="AX91" s="1" t="s">
        <v>74</v>
      </c>
      <c r="AY91" s="1" t="s">
        <v>74</v>
      </c>
      <c r="AZ91" s="1" t="s">
        <v>74</v>
      </c>
      <c r="BA91" s="1" t="s">
        <v>74</v>
      </c>
      <c r="BB91" s="1">
        <v>3029.0</v>
      </c>
      <c r="BC91" s="1">
        <v>3032.0</v>
      </c>
      <c r="BD91" s="1" t="s">
        <v>74</v>
      </c>
      <c r="BE91" s="1" t="s">
        <v>992</v>
      </c>
      <c r="BF91" s="2" t="str">
        <f>HYPERLINK("http://dx.doi.org/10.4067/S0717-97072015000300011","http://dx.doi.org/10.4067/S0717-97072015000300011")</f>
        <v>http://dx.doi.org/10.4067/S0717-97072015000300011</v>
      </c>
      <c r="BG91" s="1" t="s">
        <v>74</v>
      </c>
      <c r="BH91" s="1" t="s">
        <v>74</v>
      </c>
      <c r="BI91" s="1" t="s">
        <v>74</v>
      </c>
      <c r="BJ91" s="1" t="s">
        <v>74</v>
      </c>
      <c r="BK91" s="1" t="s">
        <v>74</v>
      </c>
      <c r="BL91" s="1" t="s">
        <v>74</v>
      </c>
      <c r="BM91" s="1" t="s">
        <v>74</v>
      </c>
      <c r="BN91" s="1" t="s">
        <v>74</v>
      </c>
      <c r="BO91" s="1" t="s">
        <v>74</v>
      </c>
      <c r="BP91" s="1" t="s">
        <v>74</v>
      </c>
      <c r="BQ91" s="1" t="s">
        <v>74</v>
      </c>
      <c r="BR91" s="1" t="s">
        <v>74</v>
      </c>
      <c r="BS91" s="1" t="s">
        <v>993</v>
      </c>
      <c r="BT91" s="1" t="str">
        <f>HYPERLINK("https%3A%2F%2Fwww.webofscience.com%2Fwos%2Fwoscc%2Ffull-record%2FWOS:000365352800011","View Full Record in Web of Science")</f>
        <v>View Full Record in Web of Science</v>
      </c>
    </row>
    <row r="92" ht="12.75" customHeight="1">
      <c r="A92" s="1" t="s">
        <v>72</v>
      </c>
      <c r="B92" s="1" t="s">
        <v>994</v>
      </c>
      <c r="C92" s="1" t="s">
        <v>74</v>
      </c>
      <c r="D92" s="1" t="s">
        <v>74</v>
      </c>
      <c r="E92" s="1" t="s">
        <v>74</v>
      </c>
      <c r="F92" s="1" t="s">
        <v>995</v>
      </c>
      <c r="G92" s="1" t="s">
        <v>74</v>
      </c>
      <c r="H92" s="1" t="s">
        <v>74</v>
      </c>
      <c r="I92" s="1" t="s">
        <v>996</v>
      </c>
      <c r="J92" s="1" t="s">
        <v>997</v>
      </c>
      <c r="K92" s="1" t="s">
        <v>74</v>
      </c>
      <c r="L92" s="1" t="s">
        <v>74</v>
      </c>
      <c r="M92" s="1" t="s">
        <v>74</v>
      </c>
      <c r="N92" s="1" t="s">
        <v>74</v>
      </c>
      <c r="O92" s="1" t="s">
        <v>74</v>
      </c>
      <c r="P92" s="1" t="s">
        <v>74</v>
      </c>
      <c r="Q92" s="1" t="s">
        <v>74</v>
      </c>
      <c r="R92" s="1" t="s">
        <v>74</v>
      </c>
      <c r="S92" s="1" t="s">
        <v>74</v>
      </c>
      <c r="T92" s="1" t="s">
        <v>74</v>
      </c>
      <c r="U92" s="1" t="s">
        <v>74</v>
      </c>
      <c r="V92" s="1" t="s">
        <v>998</v>
      </c>
      <c r="W92" s="1" t="s">
        <v>74</v>
      </c>
      <c r="X92" s="1" t="s">
        <v>74</v>
      </c>
      <c r="Y92" s="1" t="s">
        <v>74</v>
      </c>
      <c r="Z92" s="1" t="s">
        <v>74</v>
      </c>
      <c r="AA92" s="1" t="s">
        <v>999</v>
      </c>
      <c r="AB92" s="1" t="s">
        <v>1000</v>
      </c>
      <c r="AC92" s="1" t="s">
        <v>74</v>
      </c>
      <c r="AD92" s="1" t="s">
        <v>74</v>
      </c>
      <c r="AE92" s="1" t="s">
        <v>74</v>
      </c>
      <c r="AF92" s="1" t="s">
        <v>74</v>
      </c>
      <c r="AG92" s="1" t="s">
        <v>74</v>
      </c>
      <c r="AH92" s="1" t="s">
        <v>74</v>
      </c>
      <c r="AI92" s="1" t="s">
        <v>74</v>
      </c>
      <c r="AJ92" s="1" t="s">
        <v>74</v>
      </c>
      <c r="AK92" s="1" t="s">
        <v>74</v>
      </c>
      <c r="AL92" s="1" t="s">
        <v>74</v>
      </c>
      <c r="AM92" s="1" t="s">
        <v>74</v>
      </c>
      <c r="AN92" s="1" t="s">
        <v>74</v>
      </c>
      <c r="AO92" s="1" t="s">
        <v>1001</v>
      </c>
      <c r="AP92" s="1" t="s">
        <v>1002</v>
      </c>
      <c r="AQ92" s="1" t="s">
        <v>74</v>
      </c>
      <c r="AR92" s="1" t="s">
        <v>74</v>
      </c>
      <c r="AS92" s="1" t="s">
        <v>74</v>
      </c>
      <c r="AT92" s="1" t="s">
        <v>1003</v>
      </c>
      <c r="AU92" s="1">
        <v>2015.0</v>
      </c>
      <c r="AV92" s="1">
        <v>132.0</v>
      </c>
      <c r="AW92" s="1">
        <v>32.0</v>
      </c>
      <c r="AX92" s="1" t="s">
        <v>74</v>
      </c>
      <c r="AY92" s="1" t="s">
        <v>74</v>
      </c>
      <c r="AZ92" s="1" t="s">
        <v>74</v>
      </c>
      <c r="BA92" s="1" t="s">
        <v>74</v>
      </c>
      <c r="BB92" s="1" t="s">
        <v>74</v>
      </c>
      <c r="BC92" s="1" t="s">
        <v>74</v>
      </c>
      <c r="BD92" s="1">
        <v>42398.0</v>
      </c>
      <c r="BE92" s="1" t="s">
        <v>1004</v>
      </c>
      <c r="BF92" s="2" t="str">
        <f>HYPERLINK("http://dx.doi.org/10.1002/app.42398","http://dx.doi.org/10.1002/app.42398")</f>
        <v>http://dx.doi.org/10.1002/app.42398</v>
      </c>
      <c r="BG92" s="1" t="s">
        <v>74</v>
      </c>
      <c r="BH92" s="1" t="s">
        <v>74</v>
      </c>
      <c r="BI92" s="1" t="s">
        <v>74</v>
      </c>
      <c r="BJ92" s="1" t="s">
        <v>74</v>
      </c>
      <c r="BK92" s="1" t="s">
        <v>74</v>
      </c>
      <c r="BL92" s="1" t="s">
        <v>74</v>
      </c>
      <c r="BM92" s="1" t="s">
        <v>74</v>
      </c>
      <c r="BN92" s="1" t="s">
        <v>74</v>
      </c>
      <c r="BO92" s="1" t="s">
        <v>74</v>
      </c>
      <c r="BP92" s="1" t="s">
        <v>74</v>
      </c>
      <c r="BQ92" s="1" t="s">
        <v>74</v>
      </c>
      <c r="BR92" s="1" t="s">
        <v>74</v>
      </c>
      <c r="BS92" s="1" t="s">
        <v>1005</v>
      </c>
      <c r="BT92" s="1" t="str">
        <f>HYPERLINK("https%3A%2F%2Fwww.webofscience.com%2Fwos%2Fwoscc%2Ffull-record%2FWOS:000355731500023","View Full Record in Web of Science")</f>
        <v>View Full Record in Web of Science</v>
      </c>
    </row>
    <row r="93" ht="12.75" customHeight="1">
      <c r="A93" s="1" t="s">
        <v>72</v>
      </c>
      <c r="B93" s="1" t="s">
        <v>1006</v>
      </c>
      <c r="C93" s="1" t="s">
        <v>74</v>
      </c>
      <c r="D93" s="1" t="s">
        <v>74</v>
      </c>
      <c r="E93" s="1" t="s">
        <v>74</v>
      </c>
      <c r="F93" s="1" t="s">
        <v>1007</v>
      </c>
      <c r="G93" s="1" t="s">
        <v>74</v>
      </c>
      <c r="H93" s="1" t="s">
        <v>74</v>
      </c>
      <c r="I93" s="1" t="s">
        <v>1008</v>
      </c>
      <c r="J93" s="1" t="s">
        <v>828</v>
      </c>
      <c r="K93" s="1" t="s">
        <v>74</v>
      </c>
      <c r="L93" s="1" t="s">
        <v>74</v>
      </c>
      <c r="M93" s="1" t="s">
        <v>74</v>
      </c>
      <c r="N93" s="1" t="s">
        <v>74</v>
      </c>
      <c r="O93" s="1" t="s">
        <v>74</v>
      </c>
      <c r="P93" s="1" t="s">
        <v>74</v>
      </c>
      <c r="Q93" s="1" t="s">
        <v>74</v>
      </c>
      <c r="R93" s="1" t="s">
        <v>74</v>
      </c>
      <c r="S93" s="1" t="s">
        <v>74</v>
      </c>
      <c r="T93" s="1" t="s">
        <v>74</v>
      </c>
      <c r="U93" s="1" t="s">
        <v>74</v>
      </c>
      <c r="V93" s="1" t="s">
        <v>1009</v>
      </c>
      <c r="W93" s="1" t="s">
        <v>74</v>
      </c>
      <c r="X93" s="1" t="s">
        <v>74</v>
      </c>
      <c r="Y93" s="1" t="s">
        <v>74</v>
      </c>
      <c r="Z93" s="1" t="s">
        <v>74</v>
      </c>
      <c r="AA93" s="1" t="s">
        <v>1010</v>
      </c>
      <c r="AB93" s="1" t="s">
        <v>1011</v>
      </c>
      <c r="AC93" s="1" t="s">
        <v>74</v>
      </c>
      <c r="AD93" s="1" t="s">
        <v>74</v>
      </c>
      <c r="AE93" s="1" t="s">
        <v>74</v>
      </c>
      <c r="AF93" s="1" t="s">
        <v>74</v>
      </c>
      <c r="AG93" s="1" t="s">
        <v>74</v>
      </c>
      <c r="AH93" s="1" t="s">
        <v>74</v>
      </c>
      <c r="AI93" s="1" t="s">
        <v>74</v>
      </c>
      <c r="AJ93" s="1" t="s">
        <v>74</v>
      </c>
      <c r="AK93" s="1" t="s">
        <v>74</v>
      </c>
      <c r="AL93" s="1" t="s">
        <v>74</v>
      </c>
      <c r="AM93" s="1" t="s">
        <v>74</v>
      </c>
      <c r="AN93" s="1" t="s">
        <v>74</v>
      </c>
      <c r="AO93" s="1" t="s">
        <v>832</v>
      </c>
      <c r="AP93" s="1" t="s">
        <v>74</v>
      </c>
      <c r="AQ93" s="1" t="s">
        <v>74</v>
      </c>
      <c r="AR93" s="1" t="s">
        <v>74</v>
      </c>
      <c r="AS93" s="1" t="s">
        <v>74</v>
      </c>
      <c r="AT93" s="1" t="s">
        <v>319</v>
      </c>
      <c r="AU93" s="1">
        <v>2014.0</v>
      </c>
      <c r="AV93" s="1">
        <v>13.0</v>
      </c>
      <c r="AW93" s="1">
        <v>2.0</v>
      </c>
      <c r="AX93" s="1" t="s">
        <v>74</v>
      </c>
      <c r="AY93" s="1" t="s">
        <v>74</v>
      </c>
      <c r="AZ93" s="1" t="s">
        <v>74</v>
      </c>
      <c r="BA93" s="1" t="s">
        <v>74</v>
      </c>
      <c r="BB93" s="1">
        <v>205.0</v>
      </c>
      <c r="BC93" s="1">
        <v>212.0</v>
      </c>
      <c r="BD93" s="1" t="s">
        <v>74</v>
      </c>
      <c r="BE93" s="1" t="s">
        <v>74</v>
      </c>
      <c r="BF93" s="1" t="s">
        <v>74</v>
      </c>
      <c r="BG93" s="1" t="s">
        <v>74</v>
      </c>
      <c r="BH93" s="1" t="s">
        <v>74</v>
      </c>
      <c r="BI93" s="1" t="s">
        <v>74</v>
      </c>
      <c r="BJ93" s="1" t="s">
        <v>74</v>
      </c>
      <c r="BK93" s="1" t="s">
        <v>74</v>
      </c>
      <c r="BL93" s="1" t="s">
        <v>74</v>
      </c>
      <c r="BM93" s="1" t="s">
        <v>74</v>
      </c>
      <c r="BN93" s="1" t="s">
        <v>74</v>
      </c>
      <c r="BO93" s="1" t="s">
        <v>74</v>
      </c>
      <c r="BP93" s="1" t="s">
        <v>74</v>
      </c>
      <c r="BQ93" s="1" t="s">
        <v>74</v>
      </c>
      <c r="BR93" s="1" t="s">
        <v>74</v>
      </c>
      <c r="BS93" s="1" t="s">
        <v>1012</v>
      </c>
      <c r="BT93" s="1" t="str">
        <f>HYPERLINK("https%3A%2F%2Fwww.webofscience.com%2Fwos%2Fwoscc%2Ffull-record%2FWOS:000335518100009","View Full Record in Web of Science")</f>
        <v>View Full Record in Web of Science</v>
      </c>
    </row>
    <row r="94" ht="12.75" customHeight="1">
      <c r="A94" s="1" t="s">
        <v>72</v>
      </c>
      <c r="B94" s="1" t="s">
        <v>1013</v>
      </c>
      <c r="C94" s="1" t="s">
        <v>74</v>
      </c>
      <c r="D94" s="1" t="s">
        <v>74</v>
      </c>
      <c r="E94" s="1" t="s">
        <v>74</v>
      </c>
      <c r="F94" s="1" t="s">
        <v>1014</v>
      </c>
      <c r="G94" s="1" t="s">
        <v>74</v>
      </c>
      <c r="H94" s="1" t="s">
        <v>74</v>
      </c>
      <c r="I94" s="1" t="s">
        <v>1015</v>
      </c>
      <c r="J94" s="1" t="s">
        <v>280</v>
      </c>
      <c r="K94" s="1" t="s">
        <v>74</v>
      </c>
      <c r="L94" s="1" t="s">
        <v>74</v>
      </c>
      <c r="M94" s="1" t="s">
        <v>74</v>
      </c>
      <c r="N94" s="1" t="s">
        <v>74</v>
      </c>
      <c r="O94" s="1" t="s">
        <v>74</v>
      </c>
      <c r="P94" s="1" t="s">
        <v>74</v>
      </c>
      <c r="Q94" s="1" t="s">
        <v>74</v>
      </c>
      <c r="R94" s="1" t="s">
        <v>74</v>
      </c>
      <c r="S94" s="1" t="s">
        <v>74</v>
      </c>
      <c r="T94" s="1" t="s">
        <v>74</v>
      </c>
      <c r="U94" s="1" t="s">
        <v>74</v>
      </c>
      <c r="V94" s="1" t="s">
        <v>1016</v>
      </c>
      <c r="W94" s="1" t="s">
        <v>74</v>
      </c>
      <c r="X94" s="1" t="s">
        <v>74</v>
      </c>
      <c r="Y94" s="1" t="s">
        <v>74</v>
      </c>
      <c r="Z94" s="1" t="s">
        <v>74</v>
      </c>
      <c r="AA94" s="1" t="s">
        <v>1017</v>
      </c>
      <c r="AB94" s="1" t="s">
        <v>1018</v>
      </c>
      <c r="AC94" s="1" t="s">
        <v>74</v>
      </c>
      <c r="AD94" s="1" t="s">
        <v>74</v>
      </c>
      <c r="AE94" s="1" t="s">
        <v>74</v>
      </c>
      <c r="AF94" s="1" t="s">
        <v>74</v>
      </c>
      <c r="AG94" s="1" t="s">
        <v>74</v>
      </c>
      <c r="AH94" s="1" t="s">
        <v>74</v>
      </c>
      <c r="AI94" s="1" t="s">
        <v>74</v>
      </c>
      <c r="AJ94" s="1" t="s">
        <v>74</v>
      </c>
      <c r="AK94" s="1" t="s">
        <v>74</v>
      </c>
      <c r="AL94" s="1" t="s">
        <v>74</v>
      </c>
      <c r="AM94" s="1" t="s">
        <v>74</v>
      </c>
      <c r="AN94" s="1" t="s">
        <v>74</v>
      </c>
      <c r="AO94" s="1" t="s">
        <v>283</v>
      </c>
      <c r="AP94" s="1" t="s">
        <v>74</v>
      </c>
      <c r="AQ94" s="1" t="s">
        <v>74</v>
      </c>
      <c r="AR94" s="1" t="s">
        <v>74</v>
      </c>
      <c r="AS94" s="1" t="s">
        <v>74</v>
      </c>
      <c r="AT94" s="1" t="s">
        <v>160</v>
      </c>
      <c r="AU94" s="1">
        <v>2013.0</v>
      </c>
      <c r="AV94" s="1">
        <v>58.0</v>
      </c>
      <c r="AW94" s="1">
        <v>4.0</v>
      </c>
      <c r="AX94" s="1" t="s">
        <v>74</v>
      </c>
      <c r="AY94" s="1" t="s">
        <v>74</v>
      </c>
      <c r="AZ94" s="1" t="s">
        <v>74</v>
      </c>
      <c r="BA94" s="1" t="s">
        <v>74</v>
      </c>
      <c r="BB94" s="1">
        <v>2102.0</v>
      </c>
      <c r="BC94" s="1">
        <v>2105.0</v>
      </c>
      <c r="BD94" s="1" t="s">
        <v>74</v>
      </c>
      <c r="BE94" s="1" t="s">
        <v>1019</v>
      </c>
      <c r="BF94" s="2" t="str">
        <f>HYPERLINK("http://dx.doi.org/10.4067/S0717-97072013000400044","http://dx.doi.org/10.4067/S0717-97072013000400044")</f>
        <v>http://dx.doi.org/10.4067/S0717-97072013000400044</v>
      </c>
      <c r="BG94" s="1" t="s">
        <v>74</v>
      </c>
      <c r="BH94" s="1" t="s">
        <v>74</v>
      </c>
      <c r="BI94" s="1" t="s">
        <v>74</v>
      </c>
      <c r="BJ94" s="1" t="s">
        <v>74</v>
      </c>
      <c r="BK94" s="1" t="s">
        <v>74</v>
      </c>
      <c r="BL94" s="1" t="s">
        <v>74</v>
      </c>
      <c r="BM94" s="1" t="s">
        <v>74</v>
      </c>
      <c r="BN94" s="1" t="s">
        <v>74</v>
      </c>
      <c r="BO94" s="1" t="s">
        <v>74</v>
      </c>
      <c r="BP94" s="1" t="s">
        <v>74</v>
      </c>
      <c r="BQ94" s="1" t="s">
        <v>74</v>
      </c>
      <c r="BR94" s="1" t="s">
        <v>74</v>
      </c>
      <c r="BS94" s="1" t="s">
        <v>1020</v>
      </c>
      <c r="BT94" s="1" t="str">
        <f>HYPERLINK("https%3A%2F%2Fwww.webofscience.com%2Fwos%2Fwoscc%2Ffull-record%2FWOS:000331238800040","View Full Record in Web of Science")</f>
        <v>View Full Record in Web of Science</v>
      </c>
    </row>
    <row r="95" ht="12.75" customHeight="1">
      <c r="A95" s="1" t="s">
        <v>72</v>
      </c>
      <c r="B95" s="1" t="s">
        <v>1021</v>
      </c>
      <c r="C95" s="1" t="s">
        <v>74</v>
      </c>
      <c r="D95" s="1" t="s">
        <v>74</v>
      </c>
      <c r="E95" s="1" t="s">
        <v>74</v>
      </c>
      <c r="F95" s="1" t="s">
        <v>1022</v>
      </c>
      <c r="G95" s="1" t="s">
        <v>74</v>
      </c>
      <c r="H95" s="1" t="s">
        <v>74</v>
      </c>
      <c r="I95" s="1" t="s">
        <v>1023</v>
      </c>
      <c r="J95" s="1" t="s">
        <v>1024</v>
      </c>
      <c r="K95" s="1" t="s">
        <v>74</v>
      </c>
      <c r="L95" s="1" t="s">
        <v>74</v>
      </c>
      <c r="M95" s="1" t="s">
        <v>74</v>
      </c>
      <c r="N95" s="1" t="s">
        <v>74</v>
      </c>
      <c r="O95" s="1" t="s">
        <v>74</v>
      </c>
      <c r="P95" s="1" t="s">
        <v>74</v>
      </c>
      <c r="Q95" s="1" t="s">
        <v>74</v>
      </c>
      <c r="R95" s="1" t="s">
        <v>74</v>
      </c>
      <c r="S95" s="1" t="s">
        <v>74</v>
      </c>
      <c r="T95" s="1" t="s">
        <v>74</v>
      </c>
      <c r="U95" s="1" t="s">
        <v>74</v>
      </c>
      <c r="V95" s="1" t="s">
        <v>1025</v>
      </c>
      <c r="W95" s="1" t="s">
        <v>74</v>
      </c>
      <c r="X95" s="1" t="s">
        <v>74</v>
      </c>
      <c r="Y95" s="1" t="s">
        <v>74</v>
      </c>
      <c r="Z95" s="1" t="s">
        <v>74</v>
      </c>
      <c r="AA95" s="1" t="s">
        <v>1026</v>
      </c>
      <c r="AB95" s="1" t="s">
        <v>1027</v>
      </c>
      <c r="AC95" s="1" t="s">
        <v>74</v>
      </c>
      <c r="AD95" s="1" t="s">
        <v>74</v>
      </c>
      <c r="AE95" s="1" t="s">
        <v>74</v>
      </c>
      <c r="AF95" s="1" t="s">
        <v>74</v>
      </c>
      <c r="AG95" s="1" t="s">
        <v>74</v>
      </c>
      <c r="AH95" s="1" t="s">
        <v>74</v>
      </c>
      <c r="AI95" s="1" t="s">
        <v>74</v>
      </c>
      <c r="AJ95" s="1" t="s">
        <v>74</v>
      </c>
      <c r="AK95" s="1" t="s">
        <v>74</v>
      </c>
      <c r="AL95" s="1" t="s">
        <v>74</v>
      </c>
      <c r="AM95" s="1" t="s">
        <v>74</v>
      </c>
      <c r="AN95" s="1" t="s">
        <v>74</v>
      </c>
      <c r="AO95" s="1" t="s">
        <v>1028</v>
      </c>
      <c r="AP95" s="1" t="s">
        <v>74</v>
      </c>
      <c r="AQ95" s="1" t="s">
        <v>74</v>
      </c>
      <c r="AR95" s="1" t="s">
        <v>74</v>
      </c>
      <c r="AS95" s="1" t="s">
        <v>74</v>
      </c>
      <c r="AT95" s="1" t="s">
        <v>82</v>
      </c>
      <c r="AU95" s="1">
        <v>2012.0</v>
      </c>
      <c r="AV95" s="1">
        <v>50.0</v>
      </c>
      <c r="AW95" s="1">
        <v>3.0</v>
      </c>
      <c r="AX95" s="1" t="s">
        <v>74</v>
      </c>
      <c r="AY95" s="1" t="s">
        <v>74</v>
      </c>
      <c r="AZ95" s="1" t="s">
        <v>74</v>
      </c>
      <c r="BA95" s="1" t="s">
        <v>74</v>
      </c>
      <c r="BB95" s="1">
        <v>374.0</v>
      </c>
      <c r="BC95" s="1">
        <v>379.0</v>
      </c>
      <c r="BD95" s="1" t="s">
        <v>74</v>
      </c>
      <c r="BE95" s="1" t="s">
        <v>1029</v>
      </c>
      <c r="BF95" s="2" t="str">
        <f>HYPERLINK("http://dx.doi.org/10.1007/s12275-012-2029-1","http://dx.doi.org/10.1007/s12275-012-2029-1")</f>
        <v>http://dx.doi.org/10.1007/s12275-012-2029-1</v>
      </c>
      <c r="BG95" s="1" t="s">
        <v>74</v>
      </c>
      <c r="BH95" s="1" t="s">
        <v>74</v>
      </c>
      <c r="BI95" s="1" t="s">
        <v>74</v>
      </c>
      <c r="BJ95" s="1" t="s">
        <v>74</v>
      </c>
      <c r="BK95" s="1" t="s">
        <v>74</v>
      </c>
      <c r="BL95" s="1" t="s">
        <v>74</v>
      </c>
      <c r="BM95" s="1" t="s">
        <v>74</v>
      </c>
      <c r="BN95" s="1">
        <v>2.2752899E7</v>
      </c>
      <c r="BO95" s="1" t="s">
        <v>74</v>
      </c>
      <c r="BP95" s="1" t="s">
        <v>74</v>
      </c>
      <c r="BQ95" s="1" t="s">
        <v>74</v>
      </c>
      <c r="BR95" s="1" t="s">
        <v>74</v>
      </c>
      <c r="BS95" s="1" t="s">
        <v>1030</v>
      </c>
      <c r="BT95" s="1" t="str">
        <f>HYPERLINK("https%3A%2F%2Fwww.webofscience.com%2Fwos%2Fwoscc%2Ffull-record%2FWOS:000305849200002","View Full Record in Web of Science")</f>
        <v>View Full Record in Web of Science</v>
      </c>
    </row>
    <row r="96" ht="12.75" customHeight="1">
      <c r="A96" s="1" t="s">
        <v>72</v>
      </c>
      <c r="B96" s="1" t="s">
        <v>1031</v>
      </c>
      <c r="C96" s="1" t="s">
        <v>74</v>
      </c>
      <c r="D96" s="1" t="s">
        <v>74</v>
      </c>
      <c r="E96" s="1" t="s">
        <v>74</v>
      </c>
      <c r="F96" s="1" t="s">
        <v>1032</v>
      </c>
      <c r="G96" s="1" t="s">
        <v>74</v>
      </c>
      <c r="H96" s="1" t="s">
        <v>74</v>
      </c>
      <c r="I96" s="1" t="s">
        <v>1033</v>
      </c>
      <c r="J96" s="1" t="s">
        <v>1034</v>
      </c>
      <c r="K96" s="1" t="s">
        <v>74</v>
      </c>
      <c r="L96" s="1" t="s">
        <v>74</v>
      </c>
      <c r="M96" s="1" t="s">
        <v>74</v>
      </c>
      <c r="N96" s="1" t="s">
        <v>74</v>
      </c>
      <c r="O96" s="1" t="s">
        <v>74</v>
      </c>
      <c r="P96" s="1" t="s">
        <v>74</v>
      </c>
      <c r="Q96" s="1" t="s">
        <v>74</v>
      </c>
      <c r="R96" s="1" t="s">
        <v>74</v>
      </c>
      <c r="S96" s="1" t="s">
        <v>74</v>
      </c>
      <c r="T96" s="1" t="s">
        <v>74</v>
      </c>
      <c r="U96" s="1" t="s">
        <v>74</v>
      </c>
      <c r="V96" s="1" t="s">
        <v>1035</v>
      </c>
      <c r="W96" s="1" t="s">
        <v>74</v>
      </c>
      <c r="X96" s="1" t="s">
        <v>74</v>
      </c>
      <c r="Y96" s="1" t="s">
        <v>74</v>
      </c>
      <c r="Z96" s="1" t="s">
        <v>74</v>
      </c>
      <c r="AA96" s="1" t="s">
        <v>663</v>
      </c>
      <c r="AB96" s="1" t="s">
        <v>74</v>
      </c>
      <c r="AC96" s="1" t="s">
        <v>74</v>
      </c>
      <c r="AD96" s="1" t="s">
        <v>74</v>
      </c>
      <c r="AE96" s="1" t="s">
        <v>74</v>
      </c>
      <c r="AF96" s="1" t="s">
        <v>74</v>
      </c>
      <c r="AG96" s="1" t="s">
        <v>74</v>
      </c>
      <c r="AH96" s="1" t="s">
        <v>74</v>
      </c>
      <c r="AI96" s="1" t="s">
        <v>74</v>
      </c>
      <c r="AJ96" s="1" t="s">
        <v>74</v>
      </c>
      <c r="AK96" s="1" t="s">
        <v>74</v>
      </c>
      <c r="AL96" s="1" t="s">
        <v>74</v>
      </c>
      <c r="AM96" s="1" t="s">
        <v>74</v>
      </c>
      <c r="AN96" s="1" t="s">
        <v>74</v>
      </c>
      <c r="AO96" s="1" t="s">
        <v>1036</v>
      </c>
      <c r="AP96" s="1" t="s">
        <v>1037</v>
      </c>
      <c r="AQ96" s="1" t="s">
        <v>74</v>
      </c>
      <c r="AR96" s="1" t="s">
        <v>74</v>
      </c>
      <c r="AS96" s="1" t="s">
        <v>74</v>
      </c>
      <c r="AT96" s="1" t="s">
        <v>106</v>
      </c>
      <c r="AU96" s="1">
        <v>2010.0</v>
      </c>
      <c r="AV96" s="1">
        <v>59.0</v>
      </c>
      <c r="AW96" s="1">
        <v>9.0</v>
      </c>
      <c r="AX96" s="1" t="s">
        <v>74</v>
      </c>
      <c r="AY96" s="1" t="s">
        <v>74</v>
      </c>
      <c r="AZ96" s="1" t="s">
        <v>74</v>
      </c>
      <c r="BA96" s="1" t="s">
        <v>74</v>
      </c>
      <c r="BB96" s="1">
        <v>1246.0</v>
      </c>
      <c r="BC96" s="1">
        <v>1251.0</v>
      </c>
      <c r="BD96" s="1" t="s">
        <v>74</v>
      </c>
      <c r="BE96" s="1" t="s">
        <v>1038</v>
      </c>
      <c r="BF96" s="2" t="str">
        <f>HYPERLINK("http://dx.doi.org/10.1002/pi.2856","http://dx.doi.org/10.1002/pi.2856")</f>
        <v>http://dx.doi.org/10.1002/pi.2856</v>
      </c>
      <c r="BG96" s="1" t="s">
        <v>74</v>
      </c>
      <c r="BH96" s="1" t="s">
        <v>74</v>
      </c>
      <c r="BI96" s="1" t="s">
        <v>74</v>
      </c>
      <c r="BJ96" s="1" t="s">
        <v>74</v>
      </c>
      <c r="BK96" s="1" t="s">
        <v>74</v>
      </c>
      <c r="BL96" s="1" t="s">
        <v>74</v>
      </c>
      <c r="BM96" s="1" t="s">
        <v>74</v>
      </c>
      <c r="BN96" s="1" t="s">
        <v>74</v>
      </c>
      <c r="BO96" s="1" t="s">
        <v>74</v>
      </c>
      <c r="BP96" s="1" t="s">
        <v>74</v>
      </c>
      <c r="BQ96" s="1" t="s">
        <v>74</v>
      </c>
      <c r="BR96" s="1" t="s">
        <v>74</v>
      </c>
      <c r="BS96" s="1" t="s">
        <v>1039</v>
      </c>
      <c r="BT96" s="1" t="str">
        <f>HYPERLINK("https%3A%2F%2Fwww.webofscience.com%2Fwos%2Fwoscc%2Ffull-record%2FWOS:000282352700010","View Full Record in Web of Science")</f>
        <v>View Full Record in Web of Science</v>
      </c>
    </row>
    <row r="97" ht="12.75" customHeight="1">
      <c r="A97" s="1" t="s">
        <v>72</v>
      </c>
      <c r="B97" s="1" t="s">
        <v>1040</v>
      </c>
      <c r="C97" s="1" t="s">
        <v>74</v>
      </c>
      <c r="D97" s="1" t="s">
        <v>74</v>
      </c>
      <c r="E97" s="1" t="s">
        <v>74</v>
      </c>
      <c r="F97" s="1" t="s">
        <v>1040</v>
      </c>
      <c r="G97" s="1" t="s">
        <v>74</v>
      </c>
      <c r="H97" s="1" t="s">
        <v>74</v>
      </c>
      <c r="I97" s="1" t="s">
        <v>1041</v>
      </c>
      <c r="J97" s="1" t="s">
        <v>1042</v>
      </c>
      <c r="K97" s="1" t="s">
        <v>74</v>
      </c>
      <c r="L97" s="1" t="s">
        <v>74</v>
      </c>
      <c r="M97" s="1" t="s">
        <v>74</v>
      </c>
      <c r="N97" s="1" t="s">
        <v>74</v>
      </c>
      <c r="O97" s="1" t="s">
        <v>74</v>
      </c>
      <c r="P97" s="1" t="s">
        <v>74</v>
      </c>
      <c r="Q97" s="1" t="s">
        <v>74</v>
      </c>
      <c r="R97" s="1" t="s">
        <v>74</v>
      </c>
      <c r="S97" s="1" t="s">
        <v>74</v>
      </c>
      <c r="T97" s="1" t="s">
        <v>74</v>
      </c>
      <c r="U97" s="1" t="s">
        <v>74</v>
      </c>
      <c r="V97" s="1" t="s">
        <v>74</v>
      </c>
      <c r="W97" s="1" t="s">
        <v>74</v>
      </c>
      <c r="X97" s="1" t="s">
        <v>74</v>
      </c>
      <c r="Y97" s="1" t="s">
        <v>74</v>
      </c>
      <c r="Z97" s="1" t="s">
        <v>74</v>
      </c>
      <c r="AA97" s="1" t="s">
        <v>74</v>
      </c>
      <c r="AB97" s="1" t="s">
        <v>74</v>
      </c>
      <c r="AC97" s="1" t="s">
        <v>74</v>
      </c>
      <c r="AD97" s="1" t="s">
        <v>74</v>
      </c>
      <c r="AE97" s="1" t="s">
        <v>74</v>
      </c>
      <c r="AF97" s="1" t="s">
        <v>74</v>
      </c>
      <c r="AG97" s="1" t="s">
        <v>74</v>
      </c>
      <c r="AH97" s="1" t="s">
        <v>74</v>
      </c>
      <c r="AI97" s="1" t="s">
        <v>74</v>
      </c>
      <c r="AJ97" s="1" t="s">
        <v>74</v>
      </c>
      <c r="AK97" s="1" t="s">
        <v>74</v>
      </c>
      <c r="AL97" s="1" t="s">
        <v>74</v>
      </c>
      <c r="AM97" s="1" t="s">
        <v>74</v>
      </c>
      <c r="AN97" s="1" t="s">
        <v>74</v>
      </c>
      <c r="AO97" s="1" t="s">
        <v>1043</v>
      </c>
      <c r="AP97" s="1" t="s">
        <v>74</v>
      </c>
      <c r="AQ97" s="1" t="s">
        <v>74</v>
      </c>
      <c r="AR97" s="1" t="s">
        <v>74</v>
      </c>
      <c r="AS97" s="1" t="s">
        <v>74</v>
      </c>
      <c r="AT97" s="1" t="s">
        <v>82</v>
      </c>
      <c r="AU97" s="1">
        <v>2002.0</v>
      </c>
      <c r="AV97" s="1">
        <v>47.0</v>
      </c>
      <c r="AW97" s="1">
        <v>2.0</v>
      </c>
      <c r="AX97" s="1" t="s">
        <v>74</v>
      </c>
      <c r="AY97" s="1" t="s">
        <v>74</v>
      </c>
      <c r="AZ97" s="1" t="s">
        <v>74</v>
      </c>
      <c r="BA97" s="1" t="s">
        <v>74</v>
      </c>
      <c r="BB97" s="1">
        <v>79.0</v>
      </c>
      <c r="BC97" s="1">
        <v>79.0</v>
      </c>
      <c r="BD97" s="1" t="s">
        <v>74</v>
      </c>
      <c r="BE97" s="1" t="s">
        <v>74</v>
      </c>
      <c r="BF97" s="1" t="s">
        <v>74</v>
      </c>
      <c r="BG97" s="1" t="s">
        <v>74</v>
      </c>
      <c r="BH97" s="1" t="s">
        <v>74</v>
      </c>
      <c r="BI97" s="1" t="s">
        <v>74</v>
      </c>
      <c r="BJ97" s="1" t="s">
        <v>74</v>
      </c>
      <c r="BK97" s="1" t="s">
        <v>74</v>
      </c>
      <c r="BL97" s="1" t="s">
        <v>74</v>
      </c>
      <c r="BM97" s="1" t="s">
        <v>74</v>
      </c>
      <c r="BN97" s="1" t="s">
        <v>74</v>
      </c>
      <c r="BO97" s="1" t="s">
        <v>74</v>
      </c>
      <c r="BP97" s="1" t="s">
        <v>74</v>
      </c>
      <c r="BQ97" s="1" t="s">
        <v>74</v>
      </c>
      <c r="BR97" s="1" t="s">
        <v>74</v>
      </c>
      <c r="BS97" s="1" t="s">
        <v>1044</v>
      </c>
      <c r="BT97" s="1" t="str">
        <f>HYPERLINK("https%3A%2F%2Fwww.webofscience.com%2Fwos%2Fwoscc%2Ffull-record%2FWOS:000176814300001","View Full Record in Web of Science")</f>
        <v>View Full Record in Web of Science</v>
      </c>
    </row>
    <row r="98" ht="12.75" customHeight="1">
      <c r="A98" s="1" t="s">
        <v>72</v>
      </c>
      <c r="B98" s="1" t="s">
        <v>1045</v>
      </c>
      <c r="C98" s="1" t="s">
        <v>74</v>
      </c>
      <c r="D98" s="1" t="s">
        <v>74</v>
      </c>
      <c r="E98" s="1" t="s">
        <v>74</v>
      </c>
      <c r="F98" s="1" t="s">
        <v>1046</v>
      </c>
      <c r="G98" s="1" t="s">
        <v>74</v>
      </c>
      <c r="H98" s="1" t="s">
        <v>74</v>
      </c>
      <c r="I98" s="1" t="s">
        <v>1047</v>
      </c>
      <c r="J98" s="1" t="s">
        <v>1048</v>
      </c>
      <c r="K98" s="1" t="s">
        <v>74</v>
      </c>
      <c r="L98" s="1" t="s">
        <v>74</v>
      </c>
      <c r="M98" s="1" t="s">
        <v>74</v>
      </c>
      <c r="N98" s="1" t="s">
        <v>74</v>
      </c>
      <c r="O98" s="1" t="s">
        <v>74</v>
      </c>
      <c r="P98" s="1" t="s">
        <v>74</v>
      </c>
      <c r="Q98" s="1" t="s">
        <v>74</v>
      </c>
      <c r="R98" s="1" t="s">
        <v>74</v>
      </c>
      <c r="S98" s="1" t="s">
        <v>74</v>
      </c>
      <c r="T98" s="1" t="s">
        <v>74</v>
      </c>
      <c r="U98" s="1" t="s">
        <v>74</v>
      </c>
      <c r="V98" s="1" t="s">
        <v>1049</v>
      </c>
      <c r="W98" s="1" t="s">
        <v>74</v>
      </c>
      <c r="X98" s="1" t="s">
        <v>74</v>
      </c>
      <c r="Y98" s="1" t="s">
        <v>74</v>
      </c>
      <c r="Z98" s="1" t="s">
        <v>74</v>
      </c>
      <c r="AA98" s="1" t="s">
        <v>1050</v>
      </c>
      <c r="AB98" s="1" t="s">
        <v>1051</v>
      </c>
      <c r="AC98" s="1" t="s">
        <v>74</v>
      </c>
      <c r="AD98" s="1" t="s">
        <v>74</v>
      </c>
      <c r="AE98" s="1" t="s">
        <v>74</v>
      </c>
      <c r="AF98" s="1" t="s">
        <v>74</v>
      </c>
      <c r="AG98" s="1" t="s">
        <v>74</v>
      </c>
      <c r="AH98" s="1" t="s">
        <v>74</v>
      </c>
      <c r="AI98" s="1" t="s">
        <v>74</v>
      </c>
      <c r="AJ98" s="1" t="s">
        <v>74</v>
      </c>
      <c r="AK98" s="1" t="s">
        <v>74</v>
      </c>
      <c r="AL98" s="1" t="s">
        <v>74</v>
      </c>
      <c r="AM98" s="1" t="s">
        <v>74</v>
      </c>
      <c r="AN98" s="1" t="s">
        <v>74</v>
      </c>
      <c r="AO98" s="1" t="s">
        <v>1052</v>
      </c>
      <c r="AP98" s="1" t="s">
        <v>74</v>
      </c>
      <c r="AQ98" s="1" t="s">
        <v>74</v>
      </c>
      <c r="AR98" s="1" t="s">
        <v>74</v>
      </c>
      <c r="AS98" s="1" t="s">
        <v>74</v>
      </c>
      <c r="AT98" s="1" t="s">
        <v>319</v>
      </c>
      <c r="AU98" s="1">
        <v>2025.0</v>
      </c>
      <c r="AV98" s="1">
        <v>46.0</v>
      </c>
      <c r="AW98" s="1" t="s">
        <v>74</v>
      </c>
      <c r="AX98" s="1" t="s">
        <v>74</v>
      </c>
      <c r="AY98" s="1" t="s">
        <v>74</v>
      </c>
      <c r="AZ98" s="1" t="s">
        <v>74</v>
      </c>
      <c r="BA98" s="1" t="s">
        <v>74</v>
      </c>
      <c r="BB98" s="1" t="s">
        <v>74</v>
      </c>
      <c r="BC98" s="1" t="s">
        <v>74</v>
      </c>
      <c r="BD98" s="1">
        <v>101075.0</v>
      </c>
      <c r="BE98" s="1" t="s">
        <v>1053</v>
      </c>
      <c r="BF98" s="2" t="str">
        <f>HYPERLINK("http://dx.doi.org/10.1016/j.vhri.2024.101075","http://dx.doi.org/10.1016/j.vhri.2024.101075")</f>
        <v>http://dx.doi.org/10.1016/j.vhri.2024.101075</v>
      </c>
      <c r="BG98" s="1" t="s">
        <v>74</v>
      </c>
      <c r="BH98" s="1" t="s">
        <v>1054</v>
      </c>
      <c r="BI98" s="1" t="s">
        <v>74</v>
      </c>
      <c r="BJ98" s="1" t="s">
        <v>74</v>
      </c>
      <c r="BK98" s="1" t="s">
        <v>74</v>
      </c>
      <c r="BL98" s="1" t="s">
        <v>74</v>
      </c>
      <c r="BM98" s="1" t="s">
        <v>74</v>
      </c>
      <c r="BN98" s="1">
        <v>3.9805157E7</v>
      </c>
      <c r="BO98" s="1" t="s">
        <v>74</v>
      </c>
      <c r="BP98" s="1" t="s">
        <v>74</v>
      </c>
      <c r="BQ98" s="1" t="s">
        <v>74</v>
      </c>
      <c r="BR98" s="1" t="s">
        <v>74</v>
      </c>
      <c r="BS98" s="1" t="s">
        <v>1055</v>
      </c>
      <c r="BT98" s="1" t="str">
        <f>HYPERLINK("https%3A%2F%2Fwww.webofscience.com%2Fwos%2Fwoscc%2Ffull-record%2FWOS:001400985700001","View Full Record in Web of Science")</f>
        <v>View Full Record in Web of Science</v>
      </c>
    </row>
    <row r="99" ht="12.75" customHeight="1">
      <c r="A99" s="1" t="s">
        <v>72</v>
      </c>
      <c r="B99" s="1" t="s">
        <v>1056</v>
      </c>
      <c r="C99" s="1" t="s">
        <v>74</v>
      </c>
      <c r="D99" s="1" t="s">
        <v>74</v>
      </c>
      <c r="E99" s="1" t="s">
        <v>74</v>
      </c>
      <c r="F99" s="1" t="s">
        <v>1057</v>
      </c>
      <c r="G99" s="1" t="s">
        <v>74</v>
      </c>
      <c r="H99" s="1" t="s">
        <v>74</v>
      </c>
      <c r="I99" s="1" t="s">
        <v>1058</v>
      </c>
      <c r="J99" s="1" t="s">
        <v>1059</v>
      </c>
      <c r="K99" s="1" t="s">
        <v>74</v>
      </c>
      <c r="L99" s="1" t="s">
        <v>74</v>
      </c>
      <c r="M99" s="1" t="s">
        <v>74</v>
      </c>
      <c r="N99" s="1" t="s">
        <v>74</v>
      </c>
      <c r="O99" s="1" t="s">
        <v>74</v>
      </c>
      <c r="P99" s="1" t="s">
        <v>74</v>
      </c>
      <c r="Q99" s="1" t="s">
        <v>74</v>
      </c>
      <c r="R99" s="1" t="s">
        <v>74</v>
      </c>
      <c r="S99" s="1" t="s">
        <v>74</v>
      </c>
      <c r="T99" s="1" t="s">
        <v>74</v>
      </c>
      <c r="U99" s="1" t="s">
        <v>74</v>
      </c>
      <c r="V99" s="1" t="s">
        <v>1060</v>
      </c>
      <c r="W99" s="1" t="s">
        <v>74</v>
      </c>
      <c r="X99" s="1" t="s">
        <v>74</v>
      </c>
      <c r="Y99" s="1" t="s">
        <v>74</v>
      </c>
      <c r="Z99" s="1" t="s">
        <v>74</v>
      </c>
      <c r="AA99" s="1" t="s">
        <v>1061</v>
      </c>
      <c r="AB99" s="1" t="s">
        <v>1062</v>
      </c>
      <c r="AC99" s="1" t="s">
        <v>74</v>
      </c>
      <c r="AD99" s="1" t="s">
        <v>74</v>
      </c>
      <c r="AE99" s="1" t="s">
        <v>74</v>
      </c>
      <c r="AF99" s="1" t="s">
        <v>74</v>
      </c>
      <c r="AG99" s="1" t="s">
        <v>74</v>
      </c>
      <c r="AH99" s="1" t="s">
        <v>74</v>
      </c>
      <c r="AI99" s="1" t="s">
        <v>74</v>
      </c>
      <c r="AJ99" s="1" t="s">
        <v>74</v>
      </c>
      <c r="AK99" s="1" t="s">
        <v>74</v>
      </c>
      <c r="AL99" s="1" t="s">
        <v>74</v>
      </c>
      <c r="AM99" s="1" t="s">
        <v>74</v>
      </c>
      <c r="AN99" s="1" t="s">
        <v>74</v>
      </c>
      <c r="AO99" s="1" t="s">
        <v>74</v>
      </c>
      <c r="AP99" s="1" t="s">
        <v>1063</v>
      </c>
      <c r="AQ99" s="1" t="s">
        <v>74</v>
      </c>
      <c r="AR99" s="1" t="s">
        <v>74</v>
      </c>
      <c r="AS99" s="1" t="s">
        <v>74</v>
      </c>
      <c r="AT99" s="1" t="s">
        <v>1064</v>
      </c>
      <c r="AU99" s="1">
        <v>2024.0</v>
      </c>
      <c r="AV99" s="1">
        <v>6.0</v>
      </c>
      <c r="AW99" s="1" t="s">
        <v>74</v>
      </c>
      <c r="AX99" s="1" t="s">
        <v>74</v>
      </c>
      <c r="AY99" s="1" t="s">
        <v>74</v>
      </c>
      <c r="AZ99" s="1" t="s">
        <v>74</v>
      </c>
      <c r="BA99" s="1" t="s">
        <v>74</v>
      </c>
      <c r="BB99" s="1" t="s">
        <v>74</v>
      </c>
      <c r="BC99" s="1" t="s">
        <v>74</v>
      </c>
      <c r="BD99" s="1">
        <v>1487769.0</v>
      </c>
      <c r="BE99" s="1" t="s">
        <v>1065</v>
      </c>
      <c r="BF99" s="2" t="str">
        <f>HYPERLINK("http://dx.doi.org/10.3389/fpos.2024.1487769","http://dx.doi.org/10.3389/fpos.2024.1487769")</f>
        <v>http://dx.doi.org/10.3389/fpos.2024.1487769</v>
      </c>
      <c r="BG99" s="1" t="s">
        <v>74</v>
      </c>
      <c r="BH99" s="1" t="s">
        <v>74</v>
      </c>
      <c r="BI99" s="1" t="s">
        <v>74</v>
      </c>
      <c r="BJ99" s="1" t="s">
        <v>74</v>
      </c>
      <c r="BK99" s="1" t="s">
        <v>74</v>
      </c>
      <c r="BL99" s="1" t="s">
        <v>74</v>
      </c>
      <c r="BM99" s="1" t="s">
        <v>74</v>
      </c>
      <c r="BN99" s="1" t="s">
        <v>74</v>
      </c>
      <c r="BO99" s="1" t="s">
        <v>74</v>
      </c>
      <c r="BP99" s="1" t="s">
        <v>74</v>
      </c>
      <c r="BQ99" s="1" t="s">
        <v>74</v>
      </c>
      <c r="BR99" s="1" t="s">
        <v>74</v>
      </c>
      <c r="BS99" s="1" t="s">
        <v>1066</v>
      </c>
      <c r="BT99" s="1" t="str">
        <f>HYPERLINK("https%3A%2F%2Fwww.webofscience.com%2Fwos%2Fwoscc%2Ffull-record%2FWOS:001375914000001","View Full Record in Web of Science")</f>
        <v>View Full Record in Web of Science</v>
      </c>
    </row>
    <row r="100" ht="12.75" customHeight="1">
      <c r="A100" s="1" t="s">
        <v>241</v>
      </c>
      <c r="B100" s="1" t="s">
        <v>1067</v>
      </c>
      <c r="C100" s="1" t="s">
        <v>74</v>
      </c>
      <c r="D100" s="1" t="s">
        <v>74</v>
      </c>
      <c r="E100" s="1" t="s">
        <v>427</v>
      </c>
      <c r="F100" s="1" t="s">
        <v>1068</v>
      </c>
      <c r="G100" s="1" t="s">
        <v>74</v>
      </c>
      <c r="H100" s="1" t="s">
        <v>74</v>
      </c>
      <c r="I100" s="1" t="s">
        <v>1069</v>
      </c>
      <c r="J100" s="1" t="s">
        <v>1070</v>
      </c>
      <c r="K100" s="1" t="s">
        <v>74</v>
      </c>
      <c r="L100" s="1" t="s">
        <v>74</v>
      </c>
      <c r="M100" s="1" t="s">
        <v>74</v>
      </c>
      <c r="N100" s="1" t="s">
        <v>74</v>
      </c>
      <c r="O100" s="1" t="s">
        <v>1071</v>
      </c>
      <c r="P100" s="1" t="s">
        <v>1072</v>
      </c>
      <c r="Q100" s="1" t="s">
        <v>1073</v>
      </c>
      <c r="R100" s="1" t="s">
        <v>427</v>
      </c>
      <c r="S100" s="1" t="s">
        <v>74</v>
      </c>
      <c r="T100" s="1" t="s">
        <v>74</v>
      </c>
      <c r="U100" s="1" t="s">
        <v>74</v>
      </c>
      <c r="V100" s="1" t="s">
        <v>1074</v>
      </c>
      <c r="W100" s="1" t="s">
        <v>74</v>
      </c>
      <c r="X100" s="1" t="s">
        <v>74</v>
      </c>
      <c r="Y100" s="1" t="s">
        <v>74</v>
      </c>
      <c r="Z100" s="1" t="s">
        <v>74</v>
      </c>
      <c r="AA100" s="1" t="s">
        <v>983</v>
      </c>
      <c r="AB100" s="1" t="s">
        <v>74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74</v>
      </c>
      <c r="AP100" s="1" t="s">
        <v>74</v>
      </c>
      <c r="AQ100" s="1" t="s">
        <v>1075</v>
      </c>
      <c r="AR100" s="1" t="s">
        <v>74</v>
      </c>
      <c r="AS100" s="1" t="s">
        <v>74</v>
      </c>
      <c r="AT100" s="1" t="s">
        <v>74</v>
      </c>
      <c r="AU100" s="1">
        <v>2024.0</v>
      </c>
      <c r="AV100" s="1" t="s">
        <v>74</v>
      </c>
      <c r="AW100" s="1" t="s">
        <v>74</v>
      </c>
      <c r="AX100" s="1" t="s">
        <v>74</v>
      </c>
      <c r="AY100" s="1" t="s">
        <v>74</v>
      </c>
      <c r="AZ100" s="1" t="s">
        <v>74</v>
      </c>
      <c r="BA100" s="1" t="s">
        <v>74</v>
      </c>
      <c r="BB100" s="1" t="s">
        <v>74</v>
      </c>
      <c r="BC100" s="1" t="s">
        <v>74</v>
      </c>
      <c r="BD100" s="1" t="s">
        <v>74</v>
      </c>
      <c r="BE100" s="1" t="s">
        <v>1076</v>
      </c>
      <c r="BF100" s="2" t="str">
        <f>HYPERLINK("http://dx.doi.org/10.1109/INTERMAGShortPapers61879.2024.10576746","http://dx.doi.org/10.1109/INTERMAGShortPapers61879.2024.10576746")</f>
        <v>http://dx.doi.org/10.1109/INTERMAGShortPapers61879.2024.10576746</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1077</v>
      </c>
      <c r="BT100" s="1" t="str">
        <f>HYPERLINK("https%3A%2F%2Fwww.webofscience.com%2Fwos%2Fwoscc%2Ffull-record%2FWOS:001266133200008","View Full Record in Web of Science")</f>
        <v>View Full Record in Web of Science</v>
      </c>
    </row>
    <row r="101" ht="12.75" customHeight="1">
      <c r="A101" s="1" t="s">
        <v>72</v>
      </c>
      <c r="B101" s="1" t="s">
        <v>1078</v>
      </c>
      <c r="C101" s="1" t="s">
        <v>74</v>
      </c>
      <c r="D101" s="1" t="s">
        <v>74</v>
      </c>
      <c r="E101" s="1" t="s">
        <v>74</v>
      </c>
      <c r="F101" s="1" t="s">
        <v>1079</v>
      </c>
      <c r="G101" s="1" t="s">
        <v>74</v>
      </c>
      <c r="H101" s="1" t="s">
        <v>74</v>
      </c>
      <c r="I101" s="1" t="s">
        <v>1080</v>
      </c>
      <c r="J101" s="1" t="s">
        <v>1081</v>
      </c>
      <c r="K101" s="1" t="s">
        <v>74</v>
      </c>
      <c r="L101" s="1" t="s">
        <v>74</v>
      </c>
      <c r="M101" s="1" t="s">
        <v>74</v>
      </c>
      <c r="N101" s="1" t="s">
        <v>74</v>
      </c>
      <c r="O101" s="1" t="s">
        <v>74</v>
      </c>
      <c r="P101" s="1" t="s">
        <v>74</v>
      </c>
      <c r="Q101" s="1" t="s">
        <v>74</v>
      </c>
      <c r="R101" s="1" t="s">
        <v>74</v>
      </c>
      <c r="S101" s="1" t="s">
        <v>74</v>
      </c>
      <c r="T101" s="1" t="s">
        <v>74</v>
      </c>
      <c r="U101" s="1" t="s">
        <v>74</v>
      </c>
      <c r="V101" s="1" t="s">
        <v>1082</v>
      </c>
      <c r="W101" s="1" t="s">
        <v>74</v>
      </c>
      <c r="X101" s="1" t="s">
        <v>74</v>
      </c>
      <c r="Y101" s="1" t="s">
        <v>74</v>
      </c>
      <c r="Z101" s="1" t="s">
        <v>74</v>
      </c>
      <c r="AA101" s="1" t="s">
        <v>1083</v>
      </c>
      <c r="AB101" s="1" t="s">
        <v>74</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1084</v>
      </c>
      <c r="AP101" s="1" t="s">
        <v>1085</v>
      </c>
      <c r="AQ101" s="1" t="s">
        <v>74</v>
      </c>
      <c r="AR101" s="1" t="s">
        <v>74</v>
      </c>
      <c r="AS101" s="1" t="s">
        <v>74</v>
      </c>
      <c r="AT101" s="1" t="s">
        <v>74</v>
      </c>
      <c r="AU101" s="1">
        <v>2024.0</v>
      </c>
      <c r="AV101" s="1" t="s">
        <v>74</v>
      </c>
      <c r="AW101" s="1">
        <v>56.0</v>
      </c>
      <c r="AX101" s="1" t="s">
        <v>74</v>
      </c>
      <c r="AY101" s="1" t="s">
        <v>74</v>
      </c>
      <c r="AZ101" s="1" t="s">
        <v>74</v>
      </c>
      <c r="BA101" s="1" t="s">
        <v>74</v>
      </c>
      <c r="BB101" s="1">
        <v>941.0</v>
      </c>
      <c r="BC101" s="1">
        <v>948.0</v>
      </c>
      <c r="BD101" s="1" t="s">
        <v>74</v>
      </c>
      <c r="BE101" s="1" t="s">
        <v>74</v>
      </c>
      <c r="BF101" s="1" t="s">
        <v>74</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1086</v>
      </c>
      <c r="BT101" s="1" t="str">
        <f>HYPERLINK("https%3A%2F%2Fwww.webofscience.com%2Fwos%2Fwoscc%2Ffull-record%2FWOS:001235311400001","View Full Record in Web of Science")</f>
        <v>View Full Record in Web of Science</v>
      </c>
    </row>
    <row r="102" ht="12.75" customHeight="1">
      <c r="A102" s="1" t="s">
        <v>241</v>
      </c>
      <c r="B102" s="1" t="s">
        <v>1087</v>
      </c>
      <c r="C102" s="1" t="s">
        <v>74</v>
      </c>
      <c r="D102" s="1" t="s">
        <v>74</v>
      </c>
      <c r="E102" s="1" t="s">
        <v>427</v>
      </c>
      <c r="F102" s="1" t="s">
        <v>1088</v>
      </c>
      <c r="G102" s="1" t="s">
        <v>74</v>
      </c>
      <c r="H102" s="1" t="s">
        <v>74</v>
      </c>
      <c r="I102" s="1" t="s">
        <v>1089</v>
      </c>
      <c r="J102" s="1" t="s">
        <v>1090</v>
      </c>
      <c r="K102" s="1" t="s">
        <v>1091</v>
      </c>
      <c r="L102" s="1" t="s">
        <v>74</v>
      </c>
      <c r="M102" s="1" t="s">
        <v>74</v>
      </c>
      <c r="N102" s="1" t="s">
        <v>74</v>
      </c>
      <c r="O102" s="1" t="s">
        <v>1092</v>
      </c>
      <c r="P102" s="1" t="s">
        <v>1093</v>
      </c>
      <c r="Q102" s="1" t="s">
        <v>1094</v>
      </c>
      <c r="R102" s="1" t="s">
        <v>1095</v>
      </c>
      <c r="S102" s="1" t="s">
        <v>74</v>
      </c>
      <c r="T102" s="1" t="s">
        <v>74</v>
      </c>
      <c r="U102" s="1" t="s">
        <v>74</v>
      </c>
      <c r="V102" s="1" t="s">
        <v>1096</v>
      </c>
      <c r="W102" s="1" t="s">
        <v>74</v>
      </c>
      <c r="X102" s="1" t="s">
        <v>74</v>
      </c>
      <c r="Y102" s="1" t="s">
        <v>74</v>
      </c>
      <c r="Z102" s="1" t="s">
        <v>74</v>
      </c>
      <c r="AA102" s="1" t="s">
        <v>1097</v>
      </c>
      <c r="AB102" s="1" t="s">
        <v>74</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1098</v>
      </c>
      <c r="AP102" s="1" t="s">
        <v>74</v>
      </c>
      <c r="AQ102" s="1" t="s">
        <v>1099</v>
      </c>
      <c r="AR102" s="1" t="s">
        <v>74</v>
      </c>
      <c r="AS102" s="1" t="s">
        <v>74</v>
      </c>
      <c r="AT102" s="1" t="s">
        <v>74</v>
      </c>
      <c r="AU102" s="1">
        <v>2024.0</v>
      </c>
      <c r="AV102" s="1" t="s">
        <v>74</v>
      </c>
      <c r="AW102" s="1" t="s">
        <v>74</v>
      </c>
      <c r="AX102" s="1" t="s">
        <v>74</v>
      </c>
      <c r="AY102" s="1" t="s">
        <v>74</v>
      </c>
      <c r="AZ102" s="1" t="s">
        <v>74</v>
      </c>
      <c r="BA102" s="1" t="s">
        <v>74</v>
      </c>
      <c r="BB102" s="1">
        <v>1310.0</v>
      </c>
      <c r="BC102" s="1">
        <v>1316.0</v>
      </c>
      <c r="BD102" s="1" t="s">
        <v>74</v>
      </c>
      <c r="BE102" s="1" t="s">
        <v>1100</v>
      </c>
      <c r="BF102" s="2" t="str">
        <f>HYPERLINK("http://dx.doi.org/10.1109/CoDIT62066.2024.10708607","http://dx.doi.org/10.1109/CoDIT62066.2024.10708607")</f>
        <v>http://dx.doi.org/10.1109/CoDIT62066.2024.10708607</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1101</v>
      </c>
      <c r="BT102" s="1" t="str">
        <f>HYPERLINK("https%3A%2F%2Fwww.webofscience.com%2Fwos%2Fwoscc%2Ffull-record%2FWOS:001345039101056","View Full Record in Web of Science")</f>
        <v>View Full Record in Web of Science</v>
      </c>
    </row>
    <row r="103" ht="12.75" customHeight="1">
      <c r="A103" s="1" t="s">
        <v>72</v>
      </c>
      <c r="B103" s="1" t="s">
        <v>1102</v>
      </c>
      <c r="C103" s="1" t="s">
        <v>74</v>
      </c>
      <c r="D103" s="1" t="s">
        <v>74</v>
      </c>
      <c r="E103" s="1" t="s">
        <v>74</v>
      </c>
      <c r="F103" s="1" t="s">
        <v>1103</v>
      </c>
      <c r="G103" s="1" t="s">
        <v>74</v>
      </c>
      <c r="H103" s="1" t="s">
        <v>74</v>
      </c>
      <c r="I103" s="1" t="s">
        <v>1104</v>
      </c>
      <c r="J103" s="1" t="s">
        <v>1105</v>
      </c>
      <c r="K103" s="1" t="s">
        <v>74</v>
      </c>
      <c r="L103" s="1" t="s">
        <v>74</v>
      </c>
      <c r="M103" s="1" t="s">
        <v>74</v>
      </c>
      <c r="N103" s="1" t="s">
        <v>74</v>
      </c>
      <c r="O103" s="1" t="s">
        <v>74</v>
      </c>
      <c r="P103" s="1" t="s">
        <v>74</v>
      </c>
      <c r="Q103" s="1" t="s">
        <v>74</v>
      </c>
      <c r="R103" s="1" t="s">
        <v>74</v>
      </c>
      <c r="S103" s="1" t="s">
        <v>74</v>
      </c>
      <c r="T103" s="1" t="s">
        <v>74</v>
      </c>
      <c r="U103" s="1" t="s">
        <v>74</v>
      </c>
      <c r="V103" s="1" t="s">
        <v>1106</v>
      </c>
      <c r="W103" s="1" t="s">
        <v>74</v>
      </c>
      <c r="X103" s="1" t="s">
        <v>74</v>
      </c>
      <c r="Y103" s="1" t="s">
        <v>74</v>
      </c>
      <c r="Z103" s="1" t="s">
        <v>74</v>
      </c>
      <c r="AA103" s="1" t="s">
        <v>74</v>
      </c>
      <c r="AB103" s="1" t="s">
        <v>74</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1107</v>
      </c>
      <c r="AP103" s="1" t="s">
        <v>1108</v>
      </c>
      <c r="AQ103" s="1" t="s">
        <v>74</v>
      </c>
      <c r="AR103" s="1" t="s">
        <v>74</v>
      </c>
      <c r="AS103" s="1" t="s">
        <v>74</v>
      </c>
      <c r="AT103" s="1" t="s">
        <v>74</v>
      </c>
      <c r="AU103" s="1">
        <v>2024.0</v>
      </c>
      <c r="AV103" s="1">
        <v>29.0</v>
      </c>
      <c r="AW103" s="1" t="s">
        <v>74</v>
      </c>
      <c r="AX103" s="1" t="s">
        <v>74</v>
      </c>
      <c r="AY103" s="1" t="s">
        <v>74</v>
      </c>
      <c r="AZ103" s="1" t="s">
        <v>74</v>
      </c>
      <c r="BA103" s="1" t="s">
        <v>74</v>
      </c>
      <c r="BB103" s="1">
        <v>105.0</v>
      </c>
      <c r="BC103" s="1">
        <v>116.0</v>
      </c>
      <c r="BD103" s="1" t="s">
        <v>74</v>
      </c>
      <c r="BE103" s="1" t="s">
        <v>1109</v>
      </c>
      <c r="BF103" s="2" t="str">
        <f>HYPERLINK("http://dx.doi.org/10.5209/ilur.90731","http://dx.doi.org/10.5209/ilur.90731")</f>
        <v>http://dx.doi.org/10.5209/ilur.90731</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1110</v>
      </c>
      <c r="BT103" s="1" t="str">
        <f>HYPERLINK("https%3A%2F%2Fwww.webofscience.com%2Fwos%2Fwoscc%2Ffull-record%2FWOS:001320652400009","View Full Record in Web of Science")</f>
        <v>View Full Record in Web of Science</v>
      </c>
    </row>
    <row r="104" ht="12.75" customHeight="1">
      <c r="A104" s="1" t="s">
        <v>72</v>
      </c>
      <c r="B104" s="1" t="s">
        <v>1111</v>
      </c>
      <c r="C104" s="1" t="s">
        <v>74</v>
      </c>
      <c r="D104" s="1" t="s">
        <v>74</v>
      </c>
      <c r="E104" s="1" t="s">
        <v>74</v>
      </c>
      <c r="F104" s="1" t="s">
        <v>1112</v>
      </c>
      <c r="G104" s="1" t="s">
        <v>74</v>
      </c>
      <c r="H104" s="1" t="s">
        <v>74</v>
      </c>
      <c r="I104" s="1" t="s">
        <v>1113</v>
      </c>
      <c r="J104" s="1" t="s">
        <v>1114</v>
      </c>
      <c r="K104" s="1" t="s">
        <v>74</v>
      </c>
      <c r="L104" s="1" t="s">
        <v>74</v>
      </c>
      <c r="M104" s="1" t="s">
        <v>74</v>
      </c>
      <c r="N104" s="1" t="s">
        <v>74</v>
      </c>
      <c r="O104" s="1" t="s">
        <v>74</v>
      </c>
      <c r="P104" s="1" t="s">
        <v>74</v>
      </c>
      <c r="Q104" s="1" t="s">
        <v>74</v>
      </c>
      <c r="R104" s="1" t="s">
        <v>74</v>
      </c>
      <c r="S104" s="1" t="s">
        <v>74</v>
      </c>
      <c r="T104" s="1" t="s">
        <v>74</v>
      </c>
      <c r="U104" s="1" t="s">
        <v>74</v>
      </c>
      <c r="V104" s="1" t="s">
        <v>1115</v>
      </c>
      <c r="W104" s="1" t="s">
        <v>74</v>
      </c>
      <c r="X104" s="1" t="s">
        <v>74</v>
      </c>
      <c r="Y104" s="1" t="s">
        <v>74</v>
      </c>
      <c r="Z104" s="1" t="s">
        <v>74</v>
      </c>
      <c r="AA104" s="1" t="s">
        <v>1116</v>
      </c>
      <c r="AB104" s="1" t="s">
        <v>1117</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1118</v>
      </c>
      <c r="AP104" s="1" t="s">
        <v>1119</v>
      </c>
      <c r="AQ104" s="1" t="s">
        <v>74</v>
      </c>
      <c r="AR104" s="1" t="s">
        <v>74</v>
      </c>
      <c r="AS104" s="1" t="s">
        <v>74</v>
      </c>
      <c r="AT104" s="1" t="s">
        <v>353</v>
      </c>
      <c r="AU104" s="1">
        <v>2023.0</v>
      </c>
      <c r="AV104" s="1">
        <v>11.0</v>
      </c>
      <c r="AW104" s="1">
        <v>5.0</v>
      </c>
      <c r="AX104" s="1" t="s">
        <v>74</v>
      </c>
      <c r="AY104" s="1" t="s">
        <v>74</v>
      </c>
      <c r="AZ104" s="1" t="s">
        <v>74</v>
      </c>
      <c r="BA104" s="1" t="s">
        <v>74</v>
      </c>
      <c r="BB104" s="1" t="s">
        <v>74</v>
      </c>
      <c r="BC104" s="1" t="s">
        <v>74</v>
      </c>
      <c r="BD104" s="1">
        <v>110984.0</v>
      </c>
      <c r="BE104" s="1" t="s">
        <v>1120</v>
      </c>
      <c r="BF104" s="2" t="str">
        <f>HYPERLINK("http://dx.doi.org/10.1016/j.jece.2023.110984","http://dx.doi.org/10.1016/j.jece.2023.110984")</f>
        <v>http://dx.doi.org/10.1016/j.jece.2023.110984</v>
      </c>
      <c r="BG104" s="1" t="s">
        <v>74</v>
      </c>
      <c r="BH104" s="1" t="s">
        <v>1121</v>
      </c>
      <c r="BI104" s="1" t="s">
        <v>74</v>
      </c>
      <c r="BJ104" s="1" t="s">
        <v>74</v>
      </c>
      <c r="BK104" s="1" t="s">
        <v>74</v>
      </c>
      <c r="BL104" s="1" t="s">
        <v>74</v>
      </c>
      <c r="BM104" s="1" t="s">
        <v>74</v>
      </c>
      <c r="BN104" s="1" t="s">
        <v>74</v>
      </c>
      <c r="BO104" s="1" t="s">
        <v>74</v>
      </c>
      <c r="BP104" s="1" t="s">
        <v>74</v>
      </c>
      <c r="BQ104" s="1" t="s">
        <v>74</v>
      </c>
      <c r="BR104" s="1" t="s">
        <v>74</v>
      </c>
      <c r="BS104" s="1" t="s">
        <v>1122</v>
      </c>
      <c r="BT104" s="1" t="str">
        <f>HYPERLINK("https%3A%2F%2Fwww.webofscience.com%2Fwos%2Fwoscc%2Ffull-record%2FWOS:001085022900001","View Full Record in Web of Science")</f>
        <v>View Full Record in Web of Science</v>
      </c>
    </row>
    <row r="105" ht="12.75" customHeight="1">
      <c r="A105" s="1" t="s">
        <v>72</v>
      </c>
      <c r="B105" s="1" t="s">
        <v>1123</v>
      </c>
      <c r="C105" s="1" t="s">
        <v>74</v>
      </c>
      <c r="D105" s="1" t="s">
        <v>74</v>
      </c>
      <c r="E105" s="1" t="s">
        <v>74</v>
      </c>
      <c r="F105" s="1" t="s">
        <v>1124</v>
      </c>
      <c r="G105" s="1" t="s">
        <v>74</v>
      </c>
      <c r="H105" s="1" t="s">
        <v>74</v>
      </c>
      <c r="I105" s="1" t="s">
        <v>1125</v>
      </c>
      <c r="J105" s="1" t="s">
        <v>409</v>
      </c>
      <c r="K105" s="1" t="s">
        <v>74</v>
      </c>
      <c r="L105" s="1" t="s">
        <v>74</v>
      </c>
      <c r="M105" s="1" t="s">
        <v>74</v>
      </c>
      <c r="N105" s="1" t="s">
        <v>74</v>
      </c>
      <c r="O105" s="1" t="s">
        <v>74</v>
      </c>
      <c r="P105" s="1" t="s">
        <v>74</v>
      </c>
      <c r="Q105" s="1" t="s">
        <v>74</v>
      </c>
      <c r="R105" s="1" t="s">
        <v>74</v>
      </c>
      <c r="S105" s="1" t="s">
        <v>74</v>
      </c>
      <c r="T105" s="1" t="s">
        <v>74</v>
      </c>
      <c r="U105" s="1" t="s">
        <v>74</v>
      </c>
      <c r="V105" s="1" t="s">
        <v>1126</v>
      </c>
      <c r="W105" s="1" t="s">
        <v>74</v>
      </c>
      <c r="X105" s="1" t="s">
        <v>74</v>
      </c>
      <c r="Y105" s="1" t="s">
        <v>74</v>
      </c>
      <c r="Z105" s="1" t="s">
        <v>74</v>
      </c>
      <c r="AA105" s="1" t="s">
        <v>74</v>
      </c>
      <c r="AB105" s="1" t="s">
        <v>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411</v>
      </c>
      <c r="AP105" s="1" t="s">
        <v>412</v>
      </c>
      <c r="AQ105" s="1" t="s">
        <v>74</v>
      </c>
      <c r="AR105" s="1" t="s">
        <v>74</v>
      </c>
      <c r="AS105" s="1" t="s">
        <v>74</v>
      </c>
      <c r="AT105" s="1" t="s">
        <v>116</v>
      </c>
      <c r="AU105" s="1">
        <v>2022.0</v>
      </c>
      <c r="AV105" s="1">
        <v>32.0</v>
      </c>
      <c r="AW105" s="1">
        <v>1.0</v>
      </c>
      <c r="AX105" s="1" t="s">
        <v>74</v>
      </c>
      <c r="AY105" s="1" t="s">
        <v>74</v>
      </c>
      <c r="AZ105" s="1" t="s">
        <v>74</v>
      </c>
      <c r="BA105" s="1" t="s">
        <v>74</v>
      </c>
      <c r="BB105" s="1">
        <v>514.0</v>
      </c>
      <c r="BC105" s="1">
        <v>534.0</v>
      </c>
      <c r="BD105" s="1" t="s">
        <v>74</v>
      </c>
      <c r="BE105" s="1" t="s">
        <v>1127</v>
      </c>
      <c r="BF105" s="2" t="str">
        <f>HYPERLINK("http://dx.doi.org/10.7770/CUHSO-V32N1-ART2406","http://dx.doi.org/10.7770/CUHSO-V32N1-ART2406")</f>
        <v>http://dx.doi.org/10.7770/CUHSO-V32N1-ART2406</v>
      </c>
      <c r="BG105" s="1" t="s">
        <v>74</v>
      </c>
      <c r="BH105" s="1" t="s">
        <v>74</v>
      </c>
      <c r="BI105" s="1" t="s">
        <v>74</v>
      </c>
      <c r="BJ105" s="1" t="s">
        <v>74</v>
      </c>
      <c r="BK105" s="1" t="s">
        <v>74</v>
      </c>
      <c r="BL105" s="1" t="s">
        <v>74</v>
      </c>
      <c r="BM105" s="1" t="s">
        <v>74</v>
      </c>
      <c r="BN105" s="1" t="s">
        <v>74</v>
      </c>
      <c r="BO105" s="1" t="s">
        <v>74</v>
      </c>
      <c r="BP105" s="1" t="s">
        <v>74</v>
      </c>
      <c r="BQ105" s="1" t="s">
        <v>74</v>
      </c>
      <c r="BR105" s="1" t="s">
        <v>74</v>
      </c>
      <c r="BS105" s="1" t="s">
        <v>1128</v>
      </c>
      <c r="BT105" s="1" t="str">
        <f>HYPERLINK("https%3A%2F%2Fwww.webofscience.com%2Fwos%2Fwoscc%2Ffull-record%2FWOS:000836663500019","View Full Record in Web of Science")</f>
        <v>View Full Record in Web of Science</v>
      </c>
    </row>
    <row r="106" ht="12.75" customHeight="1">
      <c r="A106" s="1" t="s">
        <v>241</v>
      </c>
      <c r="B106" s="1" t="s">
        <v>1129</v>
      </c>
      <c r="C106" s="1" t="s">
        <v>74</v>
      </c>
      <c r="D106" s="1" t="s">
        <v>74</v>
      </c>
      <c r="E106" s="1" t="s">
        <v>427</v>
      </c>
      <c r="F106" s="1" t="s">
        <v>1130</v>
      </c>
      <c r="G106" s="1" t="s">
        <v>74</v>
      </c>
      <c r="H106" s="1" t="s">
        <v>74</v>
      </c>
      <c r="I106" s="1" t="s">
        <v>1131</v>
      </c>
      <c r="J106" s="1" t="s">
        <v>1132</v>
      </c>
      <c r="K106" s="1" t="s">
        <v>74</v>
      </c>
      <c r="L106" s="1" t="s">
        <v>74</v>
      </c>
      <c r="M106" s="1" t="s">
        <v>74</v>
      </c>
      <c r="N106" s="1" t="s">
        <v>74</v>
      </c>
      <c r="O106" s="1" t="s">
        <v>1133</v>
      </c>
      <c r="P106" s="1" t="s">
        <v>1134</v>
      </c>
      <c r="Q106" s="1" t="s">
        <v>1135</v>
      </c>
      <c r="R106" s="1" t="s">
        <v>1136</v>
      </c>
      <c r="S106" s="1" t="s">
        <v>74</v>
      </c>
      <c r="T106" s="1" t="s">
        <v>74</v>
      </c>
      <c r="U106" s="1" t="s">
        <v>74</v>
      </c>
      <c r="V106" s="1" t="s">
        <v>1137</v>
      </c>
      <c r="W106" s="1" t="s">
        <v>74</v>
      </c>
      <c r="X106" s="1" t="s">
        <v>74</v>
      </c>
      <c r="Y106" s="1" t="s">
        <v>74</v>
      </c>
      <c r="Z106" s="1" t="s">
        <v>74</v>
      </c>
      <c r="AA106" s="1" t="s">
        <v>74</v>
      </c>
      <c r="AB106" s="1" t="s">
        <v>1138</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74</v>
      </c>
      <c r="AP106" s="1" t="s">
        <v>74</v>
      </c>
      <c r="AQ106" s="1" t="s">
        <v>1139</v>
      </c>
      <c r="AR106" s="1" t="s">
        <v>74</v>
      </c>
      <c r="AS106" s="1" t="s">
        <v>74</v>
      </c>
      <c r="AT106" s="1" t="s">
        <v>74</v>
      </c>
      <c r="AU106" s="1">
        <v>2021.0</v>
      </c>
      <c r="AV106" s="1" t="s">
        <v>74</v>
      </c>
      <c r="AW106" s="1" t="s">
        <v>74</v>
      </c>
      <c r="AX106" s="1" t="s">
        <v>74</v>
      </c>
      <c r="AY106" s="1" t="s">
        <v>74</v>
      </c>
      <c r="AZ106" s="1" t="s">
        <v>74</v>
      </c>
      <c r="BA106" s="1" t="s">
        <v>74</v>
      </c>
      <c r="BB106" s="1">
        <v>78.0</v>
      </c>
      <c r="BC106" s="1">
        <v>83.0</v>
      </c>
      <c r="BD106" s="1" t="s">
        <v>74</v>
      </c>
      <c r="BE106" s="1" t="s">
        <v>1140</v>
      </c>
      <c r="BF106" s="2" t="str">
        <f>HYPERLINK("http://dx.doi.org/10.1109/SACVLC53127.2021.9652309","http://dx.doi.org/10.1109/SACVLC53127.2021.9652309")</f>
        <v>http://dx.doi.org/10.1109/SACVLC53127.2021.9652309</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1141</v>
      </c>
      <c r="BT106" s="1" t="str">
        <f>HYPERLINK("https%3A%2F%2Fwww.webofscience.com%2Fwos%2Fwoscc%2Ffull-record%2FWOS:000760247000014","View Full Record in Web of Science")</f>
        <v>View Full Record in Web of Science</v>
      </c>
    </row>
    <row r="107" ht="12.75" customHeight="1">
      <c r="A107" s="1" t="s">
        <v>72</v>
      </c>
      <c r="B107" s="1" t="s">
        <v>1142</v>
      </c>
      <c r="C107" s="1" t="s">
        <v>74</v>
      </c>
      <c r="D107" s="1" t="s">
        <v>74</v>
      </c>
      <c r="E107" s="1" t="s">
        <v>74</v>
      </c>
      <c r="F107" s="1" t="s">
        <v>1143</v>
      </c>
      <c r="G107" s="1" t="s">
        <v>74</v>
      </c>
      <c r="H107" s="1" t="s">
        <v>74</v>
      </c>
      <c r="I107" s="1" t="s">
        <v>1144</v>
      </c>
      <c r="J107" s="1" t="s">
        <v>562</v>
      </c>
      <c r="K107" s="1" t="s">
        <v>74</v>
      </c>
      <c r="L107" s="1" t="s">
        <v>74</v>
      </c>
      <c r="M107" s="1" t="s">
        <v>74</v>
      </c>
      <c r="N107" s="1" t="s">
        <v>74</v>
      </c>
      <c r="O107" s="1" t="s">
        <v>74</v>
      </c>
      <c r="P107" s="1" t="s">
        <v>74</v>
      </c>
      <c r="Q107" s="1" t="s">
        <v>74</v>
      </c>
      <c r="R107" s="1" t="s">
        <v>74</v>
      </c>
      <c r="S107" s="1" t="s">
        <v>74</v>
      </c>
      <c r="T107" s="1" t="s">
        <v>74</v>
      </c>
      <c r="U107" s="1" t="s">
        <v>74</v>
      </c>
      <c r="V107" s="1" t="s">
        <v>1145</v>
      </c>
      <c r="W107" s="1" t="s">
        <v>74</v>
      </c>
      <c r="X107" s="1" t="s">
        <v>74</v>
      </c>
      <c r="Y107" s="1" t="s">
        <v>74</v>
      </c>
      <c r="Z107" s="1" t="s">
        <v>74</v>
      </c>
      <c r="AA107" s="1" t="s">
        <v>1146</v>
      </c>
      <c r="AB107" s="1" t="s">
        <v>74</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564</v>
      </c>
      <c r="AP107" s="1" t="s">
        <v>74</v>
      </c>
      <c r="AQ107" s="1" t="s">
        <v>74</v>
      </c>
      <c r="AR107" s="1" t="s">
        <v>74</v>
      </c>
      <c r="AS107" s="1" t="s">
        <v>74</v>
      </c>
      <c r="AT107" s="1" t="s">
        <v>228</v>
      </c>
      <c r="AU107" s="1">
        <v>2020.0</v>
      </c>
      <c r="AV107" s="1">
        <v>157.0</v>
      </c>
      <c r="AW107" s="1" t="s">
        <v>74</v>
      </c>
      <c r="AX107" s="1" t="s">
        <v>74</v>
      </c>
      <c r="AY107" s="1" t="s">
        <v>74</v>
      </c>
      <c r="AZ107" s="1" t="s">
        <v>74</v>
      </c>
      <c r="BA107" s="1" t="s">
        <v>74</v>
      </c>
      <c r="BB107" s="1" t="s">
        <v>74</v>
      </c>
      <c r="BC107" s="1" t="s">
        <v>74</v>
      </c>
      <c r="BD107" s="1">
        <v>106543.0</v>
      </c>
      <c r="BE107" s="1" t="s">
        <v>1147</v>
      </c>
      <c r="BF107" s="2" t="str">
        <f>HYPERLINK("http://dx.doi.org/10.1016/j.mineng.2020.106543","http://dx.doi.org/10.1016/j.mineng.2020.106543")</f>
        <v>http://dx.doi.org/10.1016/j.mineng.2020.106543</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1148</v>
      </c>
      <c r="BT107" s="1" t="str">
        <f>HYPERLINK("https%3A%2F%2Fwww.webofscience.com%2Fwos%2Fwoscc%2Ffull-record%2FWOS:000564535400002","View Full Record in Web of Science")</f>
        <v>View Full Record in Web of Science</v>
      </c>
    </row>
    <row r="108" ht="12.75" customHeight="1">
      <c r="A108" s="1" t="s">
        <v>72</v>
      </c>
      <c r="B108" s="1" t="s">
        <v>1149</v>
      </c>
      <c r="C108" s="1" t="s">
        <v>74</v>
      </c>
      <c r="D108" s="1" t="s">
        <v>74</v>
      </c>
      <c r="E108" s="1" t="s">
        <v>74</v>
      </c>
      <c r="F108" s="1" t="s">
        <v>1150</v>
      </c>
      <c r="G108" s="1" t="s">
        <v>74</v>
      </c>
      <c r="H108" s="1" t="s">
        <v>74</v>
      </c>
      <c r="I108" s="1" t="s">
        <v>1151</v>
      </c>
      <c r="J108" s="1" t="s">
        <v>1152</v>
      </c>
      <c r="K108" s="1" t="s">
        <v>74</v>
      </c>
      <c r="L108" s="1" t="s">
        <v>74</v>
      </c>
      <c r="M108" s="1" t="s">
        <v>74</v>
      </c>
      <c r="N108" s="1" t="s">
        <v>74</v>
      </c>
      <c r="O108" s="1" t="s">
        <v>74</v>
      </c>
      <c r="P108" s="1" t="s">
        <v>74</v>
      </c>
      <c r="Q108" s="1" t="s">
        <v>74</v>
      </c>
      <c r="R108" s="1" t="s">
        <v>74</v>
      </c>
      <c r="S108" s="1" t="s">
        <v>74</v>
      </c>
      <c r="T108" s="1" t="s">
        <v>74</v>
      </c>
      <c r="U108" s="1" t="s">
        <v>74</v>
      </c>
      <c r="V108" s="1" t="s">
        <v>1153</v>
      </c>
      <c r="W108" s="1" t="s">
        <v>74</v>
      </c>
      <c r="X108" s="1" t="s">
        <v>74</v>
      </c>
      <c r="Y108" s="1" t="s">
        <v>74</v>
      </c>
      <c r="Z108" s="1" t="s">
        <v>74</v>
      </c>
      <c r="AA108" s="1" t="s">
        <v>1154</v>
      </c>
      <c r="AB108" s="1" t="s">
        <v>1155</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1156</v>
      </c>
      <c r="AP108" s="1" t="s">
        <v>1157</v>
      </c>
      <c r="AQ108" s="1" t="s">
        <v>74</v>
      </c>
      <c r="AR108" s="1" t="s">
        <v>74</v>
      </c>
      <c r="AS108" s="1" t="s">
        <v>74</v>
      </c>
      <c r="AT108" s="1" t="s">
        <v>1158</v>
      </c>
      <c r="AU108" s="1">
        <v>2019.0</v>
      </c>
      <c r="AV108" s="1">
        <v>222.0</v>
      </c>
      <c r="AW108" s="1" t="s">
        <v>74</v>
      </c>
      <c r="AX108" s="1" t="s">
        <v>74</v>
      </c>
      <c r="AY108" s="1" t="s">
        <v>74</v>
      </c>
      <c r="AZ108" s="1" t="s">
        <v>74</v>
      </c>
      <c r="BA108" s="1" t="s">
        <v>74</v>
      </c>
      <c r="BB108" s="1" t="s">
        <v>74</v>
      </c>
      <c r="BC108" s="1" t="s">
        <v>74</v>
      </c>
      <c r="BD108" s="1">
        <v>117264.0</v>
      </c>
      <c r="BE108" s="1" t="s">
        <v>1159</v>
      </c>
      <c r="BF108" s="2" t="str">
        <f>HYPERLINK("http://dx.doi.org/10.1016/j.saa.2019.117264","http://dx.doi.org/10.1016/j.saa.2019.117264")</f>
        <v>http://dx.doi.org/10.1016/j.saa.2019.117264</v>
      </c>
      <c r="BG108" s="1" t="s">
        <v>74</v>
      </c>
      <c r="BH108" s="1" t="s">
        <v>74</v>
      </c>
      <c r="BI108" s="1" t="s">
        <v>74</v>
      </c>
      <c r="BJ108" s="1" t="s">
        <v>74</v>
      </c>
      <c r="BK108" s="1" t="s">
        <v>74</v>
      </c>
      <c r="BL108" s="1" t="s">
        <v>74</v>
      </c>
      <c r="BM108" s="1" t="s">
        <v>74</v>
      </c>
      <c r="BN108" s="1">
        <v>3.1212193E7</v>
      </c>
      <c r="BO108" s="1" t="s">
        <v>74</v>
      </c>
      <c r="BP108" s="1" t="s">
        <v>74</v>
      </c>
      <c r="BQ108" s="1" t="s">
        <v>74</v>
      </c>
      <c r="BR108" s="1" t="s">
        <v>74</v>
      </c>
      <c r="BS108" s="1" t="s">
        <v>1160</v>
      </c>
      <c r="BT108" s="1" t="str">
        <f>HYPERLINK("https%3A%2F%2Fwww.webofscience.com%2Fwos%2Fwoscc%2Ffull-record%2FWOS:000482215100071","View Full Record in Web of Science")</f>
        <v>View Full Record in Web of Science</v>
      </c>
    </row>
    <row r="109" ht="12.75" customHeight="1">
      <c r="A109" s="1" t="s">
        <v>442</v>
      </c>
      <c r="B109" s="1" t="s">
        <v>1161</v>
      </c>
      <c r="C109" s="1" t="s">
        <v>74</v>
      </c>
      <c r="D109" s="1" t="s">
        <v>74</v>
      </c>
      <c r="E109" s="1" t="s">
        <v>962</v>
      </c>
      <c r="F109" s="1" t="s">
        <v>1162</v>
      </c>
      <c r="G109" s="1" t="s">
        <v>74</v>
      </c>
      <c r="H109" s="1" t="s">
        <v>74</v>
      </c>
      <c r="I109" s="1" t="s">
        <v>1163</v>
      </c>
      <c r="J109" s="1" t="s">
        <v>965</v>
      </c>
      <c r="K109" s="1" t="s">
        <v>74</v>
      </c>
      <c r="L109" s="1" t="s">
        <v>74</v>
      </c>
      <c r="M109" s="1" t="s">
        <v>74</v>
      </c>
      <c r="N109" s="1" t="s">
        <v>74</v>
      </c>
      <c r="O109" s="1" t="s">
        <v>74</v>
      </c>
      <c r="P109" s="1" t="s">
        <v>74</v>
      </c>
      <c r="Q109" s="1" t="s">
        <v>74</v>
      </c>
      <c r="R109" s="1" t="s">
        <v>74</v>
      </c>
      <c r="S109" s="1" t="s">
        <v>74</v>
      </c>
      <c r="T109" s="1" t="s">
        <v>74</v>
      </c>
      <c r="U109" s="1" t="s">
        <v>74</v>
      </c>
      <c r="V109" s="1" t="s">
        <v>1164</v>
      </c>
      <c r="W109" s="1" t="s">
        <v>74</v>
      </c>
      <c r="X109" s="1" t="s">
        <v>74</v>
      </c>
      <c r="Y109" s="1" t="s">
        <v>74</v>
      </c>
      <c r="Z109" s="1" t="s">
        <v>74</v>
      </c>
      <c r="AA109" s="1" t="s">
        <v>1165</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74</v>
      </c>
      <c r="AP109" s="1" t="s">
        <v>74</v>
      </c>
      <c r="AQ109" s="1" t="s">
        <v>967</v>
      </c>
      <c r="AR109" s="1" t="s">
        <v>74</v>
      </c>
      <c r="AS109" s="1" t="s">
        <v>74</v>
      </c>
      <c r="AT109" s="1" t="s">
        <v>74</v>
      </c>
      <c r="AU109" s="1">
        <v>2019.0</v>
      </c>
      <c r="AV109" s="1" t="s">
        <v>74</v>
      </c>
      <c r="AW109" s="1" t="s">
        <v>74</v>
      </c>
      <c r="AX109" s="1" t="s">
        <v>74</v>
      </c>
      <c r="AY109" s="1" t="s">
        <v>74</v>
      </c>
      <c r="AZ109" s="1" t="s">
        <v>74</v>
      </c>
      <c r="BA109" s="1" t="s">
        <v>74</v>
      </c>
      <c r="BB109" s="1">
        <v>33.0</v>
      </c>
      <c r="BC109" s="1">
        <v>44.0</v>
      </c>
      <c r="BD109" s="1" t="s">
        <v>74</v>
      </c>
      <c r="BE109" s="1" t="s">
        <v>74</v>
      </c>
      <c r="BF109" s="1" t="s">
        <v>74</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1166</v>
      </c>
      <c r="BT109" s="1" t="str">
        <f>HYPERLINK("https%3A%2F%2Fwww.webofscience.com%2Fwos%2Fwoscc%2Ffull-record%2FWOS:000886992800004","View Full Record in Web of Science")</f>
        <v>View Full Record in Web of Science</v>
      </c>
    </row>
    <row r="110" ht="12.75" customHeight="1">
      <c r="A110" s="1" t="s">
        <v>241</v>
      </c>
      <c r="B110" s="1" t="s">
        <v>1167</v>
      </c>
      <c r="C110" s="1" t="s">
        <v>74</v>
      </c>
      <c r="D110" s="1" t="s">
        <v>969</v>
      </c>
      <c r="E110" s="1" t="s">
        <v>74</v>
      </c>
      <c r="F110" s="1" t="s">
        <v>1168</v>
      </c>
      <c r="G110" s="1" t="s">
        <v>74</v>
      </c>
      <c r="H110" s="1" t="s">
        <v>74</v>
      </c>
      <c r="I110" s="1" t="s">
        <v>1169</v>
      </c>
      <c r="J110" s="1" t="s">
        <v>971</v>
      </c>
      <c r="K110" s="1" t="s">
        <v>74</v>
      </c>
      <c r="L110" s="1" t="s">
        <v>74</v>
      </c>
      <c r="M110" s="1" t="s">
        <v>74</v>
      </c>
      <c r="N110" s="1" t="s">
        <v>74</v>
      </c>
      <c r="O110" s="1" t="s">
        <v>972</v>
      </c>
      <c r="P110" s="1" t="s">
        <v>973</v>
      </c>
      <c r="Q110" s="1" t="s">
        <v>974</v>
      </c>
      <c r="R110" s="1" t="s">
        <v>975</v>
      </c>
      <c r="S110" s="1" t="s">
        <v>74</v>
      </c>
      <c r="T110" s="1" t="s">
        <v>74</v>
      </c>
      <c r="U110" s="1" t="s">
        <v>74</v>
      </c>
      <c r="V110" s="1" t="s">
        <v>1170</v>
      </c>
      <c r="W110" s="1" t="s">
        <v>74</v>
      </c>
      <c r="X110" s="1" t="s">
        <v>74</v>
      </c>
      <c r="Y110" s="1" t="s">
        <v>74</v>
      </c>
      <c r="Z110" s="1" t="s">
        <v>74</v>
      </c>
      <c r="AA110" s="1" t="s">
        <v>1171</v>
      </c>
      <c r="AB110" s="1" t="s">
        <v>1172</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74</v>
      </c>
      <c r="AP110" s="1" t="s">
        <v>74</v>
      </c>
      <c r="AQ110" s="1" t="s">
        <v>977</v>
      </c>
      <c r="AR110" s="1" t="s">
        <v>74</v>
      </c>
      <c r="AS110" s="1" t="s">
        <v>74</v>
      </c>
      <c r="AT110" s="1" t="s">
        <v>74</v>
      </c>
      <c r="AU110" s="1">
        <v>2018.0</v>
      </c>
      <c r="AV110" s="1" t="s">
        <v>74</v>
      </c>
      <c r="AW110" s="1" t="s">
        <v>74</v>
      </c>
      <c r="AX110" s="1" t="s">
        <v>74</v>
      </c>
      <c r="AY110" s="1" t="s">
        <v>74</v>
      </c>
      <c r="AZ110" s="1" t="s">
        <v>74</v>
      </c>
      <c r="BA110" s="1" t="s">
        <v>74</v>
      </c>
      <c r="BB110" s="1" t="s">
        <v>74</v>
      </c>
      <c r="BC110" s="1" t="s">
        <v>74</v>
      </c>
      <c r="BD110" s="1" t="s">
        <v>74</v>
      </c>
      <c r="BE110" s="1" t="s">
        <v>74</v>
      </c>
      <c r="BF110" s="1" t="s">
        <v>74</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1173</v>
      </c>
      <c r="BT110" s="1" t="str">
        <f>HYPERLINK("https%3A%2F%2Fwww.webofscience.com%2Fwos%2Fwoscc%2Ffull-record%2FWOS:000458417600018","View Full Record in Web of Science")</f>
        <v>View Full Record in Web of Science</v>
      </c>
    </row>
    <row r="111" ht="12.75" customHeight="1">
      <c r="A111" s="1" t="s">
        <v>72</v>
      </c>
      <c r="B111" s="1" t="s">
        <v>1174</v>
      </c>
      <c r="C111" s="1" t="s">
        <v>74</v>
      </c>
      <c r="D111" s="1" t="s">
        <v>74</v>
      </c>
      <c r="E111" s="1" t="s">
        <v>74</v>
      </c>
      <c r="F111" s="1" t="s">
        <v>1175</v>
      </c>
      <c r="G111" s="1" t="s">
        <v>74</v>
      </c>
      <c r="H111" s="1" t="s">
        <v>74</v>
      </c>
      <c r="I111" s="1" t="s">
        <v>1176</v>
      </c>
      <c r="J111" s="1" t="s">
        <v>591</v>
      </c>
      <c r="K111" s="1" t="s">
        <v>74</v>
      </c>
      <c r="L111" s="1" t="s">
        <v>74</v>
      </c>
      <c r="M111" s="1" t="s">
        <v>74</v>
      </c>
      <c r="N111" s="1" t="s">
        <v>74</v>
      </c>
      <c r="O111" s="1" t="s">
        <v>74</v>
      </c>
      <c r="P111" s="1" t="s">
        <v>74</v>
      </c>
      <c r="Q111" s="1" t="s">
        <v>74</v>
      </c>
      <c r="R111" s="1" t="s">
        <v>74</v>
      </c>
      <c r="S111" s="1" t="s">
        <v>74</v>
      </c>
      <c r="T111" s="1" t="s">
        <v>74</v>
      </c>
      <c r="U111" s="1" t="s">
        <v>74</v>
      </c>
      <c r="V111" s="1" t="s">
        <v>1177</v>
      </c>
      <c r="W111" s="1" t="s">
        <v>74</v>
      </c>
      <c r="X111" s="1" t="s">
        <v>74</v>
      </c>
      <c r="Y111" s="1" t="s">
        <v>74</v>
      </c>
      <c r="Z111" s="1" t="s">
        <v>74</v>
      </c>
      <c r="AA111" s="1" t="s">
        <v>1178</v>
      </c>
      <c r="AB111" s="1" t="s">
        <v>1179</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594</v>
      </c>
      <c r="AP111" s="1" t="s">
        <v>595</v>
      </c>
      <c r="AQ111" s="1" t="s">
        <v>74</v>
      </c>
      <c r="AR111" s="1" t="s">
        <v>74</v>
      </c>
      <c r="AS111" s="1" t="s">
        <v>74</v>
      </c>
      <c r="AT111" s="1" t="s">
        <v>353</v>
      </c>
      <c r="AU111" s="1">
        <v>2017.0</v>
      </c>
      <c r="AV111" s="1">
        <v>120.0</v>
      </c>
      <c r="AW111" s="1">
        <v>1.0</v>
      </c>
      <c r="AX111" s="1" t="s">
        <v>74</v>
      </c>
      <c r="AY111" s="1" t="s">
        <v>74</v>
      </c>
      <c r="AZ111" s="1" t="s">
        <v>74</v>
      </c>
      <c r="BA111" s="1" t="s">
        <v>74</v>
      </c>
      <c r="BB111" s="1" t="s">
        <v>74</v>
      </c>
      <c r="BC111" s="1" t="s">
        <v>74</v>
      </c>
      <c r="BD111" s="1">
        <v>10003.0</v>
      </c>
      <c r="BE111" s="1" t="s">
        <v>1180</v>
      </c>
      <c r="BF111" s="2" t="str">
        <f>HYPERLINK("http://dx.doi.org/10.1209/0295-5075/120/10003","http://dx.doi.org/10.1209/0295-5075/120/10003")</f>
        <v>http://dx.doi.org/10.1209/0295-5075/120/10003</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1181</v>
      </c>
      <c r="BT111" s="1" t="str">
        <f>HYPERLINK("https%3A%2F%2Fwww.webofscience.com%2Fwos%2Fwoscc%2Ffull-record%2FWOS:000422616100003","View Full Record in Web of Science")</f>
        <v>View Full Record in Web of Science</v>
      </c>
    </row>
    <row r="112" ht="12.75" customHeight="1">
      <c r="A112" s="1" t="s">
        <v>241</v>
      </c>
      <c r="B112" s="1" t="s">
        <v>779</v>
      </c>
      <c r="C112" s="1" t="s">
        <v>74</v>
      </c>
      <c r="D112" s="1" t="s">
        <v>74</v>
      </c>
      <c r="E112" s="1" t="s">
        <v>427</v>
      </c>
      <c r="F112" s="1" t="s">
        <v>780</v>
      </c>
      <c r="G112" s="1" t="s">
        <v>74</v>
      </c>
      <c r="H112" s="1" t="s">
        <v>74</v>
      </c>
      <c r="I112" s="1" t="s">
        <v>1182</v>
      </c>
      <c r="J112" s="1" t="s">
        <v>1183</v>
      </c>
      <c r="K112" s="1" t="s">
        <v>74</v>
      </c>
      <c r="L112" s="1" t="s">
        <v>74</v>
      </c>
      <c r="M112" s="1" t="s">
        <v>74</v>
      </c>
      <c r="N112" s="1" t="s">
        <v>74</v>
      </c>
      <c r="O112" s="1" t="s">
        <v>479</v>
      </c>
      <c r="P112" s="1" t="s">
        <v>1184</v>
      </c>
      <c r="Q112" s="1" t="s">
        <v>1185</v>
      </c>
      <c r="R112" s="1" t="s">
        <v>1186</v>
      </c>
      <c r="S112" s="1" t="s">
        <v>74</v>
      </c>
      <c r="T112" s="1" t="s">
        <v>74</v>
      </c>
      <c r="U112" s="1" t="s">
        <v>74</v>
      </c>
      <c r="V112" s="1" t="s">
        <v>1187</v>
      </c>
      <c r="W112" s="1" t="s">
        <v>74</v>
      </c>
      <c r="X112" s="1" t="s">
        <v>74</v>
      </c>
      <c r="Y112" s="1" t="s">
        <v>74</v>
      </c>
      <c r="Z112" s="1" t="s">
        <v>74</v>
      </c>
      <c r="AA112" s="1" t="s">
        <v>74</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74</v>
      </c>
      <c r="AP112" s="1" t="s">
        <v>74</v>
      </c>
      <c r="AQ112" s="1" t="s">
        <v>1188</v>
      </c>
      <c r="AR112" s="1" t="s">
        <v>74</v>
      </c>
      <c r="AS112" s="1" t="s">
        <v>74</v>
      </c>
      <c r="AT112" s="1" t="s">
        <v>74</v>
      </c>
      <c r="AU112" s="1">
        <v>2017.0</v>
      </c>
      <c r="AV112" s="1" t="s">
        <v>74</v>
      </c>
      <c r="AW112" s="1" t="s">
        <v>74</v>
      </c>
      <c r="AX112" s="1" t="s">
        <v>74</v>
      </c>
      <c r="AY112" s="1" t="s">
        <v>74</v>
      </c>
      <c r="AZ112" s="1" t="s">
        <v>74</v>
      </c>
      <c r="BA112" s="1" t="s">
        <v>74</v>
      </c>
      <c r="BB112" s="1" t="s">
        <v>74</v>
      </c>
      <c r="BC112" s="1" t="s">
        <v>74</v>
      </c>
      <c r="BD112" s="1" t="s">
        <v>74</v>
      </c>
      <c r="BE112" s="1" t="s">
        <v>74</v>
      </c>
      <c r="BF112" s="1" t="s">
        <v>74</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1189</v>
      </c>
      <c r="BT112" s="1" t="str">
        <f>HYPERLINK("https%3A%2F%2Fwww.webofscience.com%2Fwos%2Fwoscc%2Ffull-record%2FWOS:000425925000002","View Full Record in Web of Science")</f>
        <v>View Full Record in Web of Science</v>
      </c>
    </row>
    <row r="113" ht="12.75" customHeight="1">
      <c r="A113" s="1" t="s">
        <v>72</v>
      </c>
      <c r="B113" s="1" t="s">
        <v>1190</v>
      </c>
      <c r="C113" s="1" t="s">
        <v>74</v>
      </c>
      <c r="D113" s="1" t="s">
        <v>74</v>
      </c>
      <c r="E113" s="1" t="s">
        <v>74</v>
      </c>
      <c r="F113" s="1" t="s">
        <v>1191</v>
      </c>
      <c r="G113" s="1" t="s">
        <v>74</v>
      </c>
      <c r="H113" s="1" t="s">
        <v>74</v>
      </c>
      <c r="I113" s="1" t="s">
        <v>1192</v>
      </c>
      <c r="J113" s="1" t="s">
        <v>1193</v>
      </c>
      <c r="K113" s="1" t="s">
        <v>74</v>
      </c>
      <c r="L113" s="1" t="s">
        <v>74</v>
      </c>
      <c r="M113" s="1" t="s">
        <v>74</v>
      </c>
      <c r="N113" s="1" t="s">
        <v>74</v>
      </c>
      <c r="O113" s="1" t="s">
        <v>74</v>
      </c>
      <c r="P113" s="1" t="s">
        <v>74</v>
      </c>
      <c r="Q113" s="1" t="s">
        <v>74</v>
      </c>
      <c r="R113" s="1" t="s">
        <v>74</v>
      </c>
      <c r="S113" s="1" t="s">
        <v>74</v>
      </c>
      <c r="T113" s="1" t="s">
        <v>74</v>
      </c>
      <c r="U113" s="1" t="s">
        <v>74</v>
      </c>
      <c r="V113" s="1" t="s">
        <v>1194</v>
      </c>
      <c r="W113" s="1" t="s">
        <v>74</v>
      </c>
      <c r="X113" s="1" t="s">
        <v>74</v>
      </c>
      <c r="Y113" s="1" t="s">
        <v>74</v>
      </c>
      <c r="Z113" s="1" t="s">
        <v>74</v>
      </c>
      <c r="AA113" s="1" t="s">
        <v>1154</v>
      </c>
      <c r="AB113" s="1" t="s">
        <v>1195</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1196</v>
      </c>
      <c r="AP113" s="1" t="s">
        <v>1197</v>
      </c>
      <c r="AQ113" s="1" t="s">
        <v>74</v>
      </c>
      <c r="AR113" s="1" t="s">
        <v>74</v>
      </c>
      <c r="AS113" s="1" t="s">
        <v>74</v>
      </c>
      <c r="AT113" s="1" t="s">
        <v>160</v>
      </c>
      <c r="AU113" s="1">
        <v>2016.0</v>
      </c>
      <c r="AV113" s="1">
        <v>48.0</v>
      </c>
      <c r="AW113" s="1">
        <v>23.0</v>
      </c>
      <c r="AX113" s="1" t="s">
        <v>74</v>
      </c>
      <c r="AY113" s="1" t="s">
        <v>74</v>
      </c>
      <c r="AZ113" s="1" t="s">
        <v>74</v>
      </c>
      <c r="BA113" s="1" t="s">
        <v>74</v>
      </c>
      <c r="BB113" s="1">
        <v>4246.0</v>
      </c>
      <c r="BC113" s="1">
        <v>4252.0</v>
      </c>
      <c r="BD113" s="1" t="s">
        <v>74</v>
      </c>
      <c r="BE113" s="1" t="s">
        <v>1198</v>
      </c>
      <c r="BF113" s="2" t="str">
        <f>HYPERLINK("http://dx.doi.org/10.1055/s-0035-1562788","http://dx.doi.org/10.1055/s-0035-1562788")</f>
        <v>http://dx.doi.org/10.1055/s-0035-1562788</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1199</v>
      </c>
      <c r="BT113" s="1" t="str">
        <f>HYPERLINK("https%3A%2F%2Fwww.webofscience.com%2Fwos%2Fwoscc%2Ffull-record%2FWOS:000389329500032","View Full Record in Web of Science")</f>
        <v>View Full Record in Web of Science</v>
      </c>
    </row>
    <row r="114" ht="12.75" customHeight="1">
      <c r="A114" s="1" t="s">
        <v>72</v>
      </c>
      <c r="B114" s="1" t="s">
        <v>1200</v>
      </c>
      <c r="C114" s="1" t="s">
        <v>74</v>
      </c>
      <c r="D114" s="1" t="s">
        <v>74</v>
      </c>
      <c r="E114" s="1" t="s">
        <v>74</v>
      </c>
      <c r="F114" s="1" t="s">
        <v>1201</v>
      </c>
      <c r="G114" s="1" t="s">
        <v>74</v>
      </c>
      <c r="H114" s="1" t="s">
        <v>74</v>
      </c>
      <c r="I114" s="1" t="s">
        <v>1202</v>
      </c>
      <c r="J114" s="1" t="s">
        <v>1203</v>
      </c>
      <c r="K114" s="1" t="s">
        <v>74</v>
      </c>
      <c r="L114" s="1" t="s">
        <v>74</v>
      </c>
      <c r="M114" s="1" t="s">
        <v>74</v>
      </c>
      <c r="N114" s="1" t="s">
        <v>74</v>
      </c>
      <c r="O114" s="1" t="s">
        <v>1204</v>
      </c>
      <c r="P114" s="1">
        <v>2014.0</v>
      </c>
      <c r="Q114" s="1" t="s">
        <v>1205</v>
      </c>
      <c r="R114" s="1" t="s">
        <v>74</v>
      </c>
      <c r="S114" s="1" t="s">
        <v>74</v>
      </c>
      <c r="T114" s="1" t="s">
        <v>74</v>
      </c>
      <c r="U114" s="1" t="s">
        <v>74</v>
      </c>
      <c r="V114" s="1" t="s">
        <v>1206</v>
      </c>
      <c r="W114" s="1" t="s">
        <v>74</v>
      </c>
      <c r="X114" s="1" t="s">
        <v>74</v>
      </c>
      <c r="Y114" s="1" t="s">
        <v>74</v>
      </c>
      <c r="Z114" s="1" t="s">
        <v>74</v>
      </c>
      <c r="AA114" s="1" t="s">
        <v>74</v>
      </c>
      <c r="AB114" s="1" t="s">
        <v>74</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1207</v>
      </c>
      <c r="AP114" s="1" t="s">
        <v>1208</v>
      </c>
      <c r="AQ114" s="1" t="s">
        <v>74</v>
      </c>
      <c r="AR114" s="1" t="s">
        <v>74</v>
      </c>
      <c r="AS114" s="1" t="s">
        <v>74</v>
      </c>
      <c r="AT114" s="1" t="s">
        <v>1209</v>
      </c>
      <c r="AU114" s="1">
        <v>2016.0</v>
      </c>
      <c r="AV114" s="1">
        <v>33.0</v>
      </c>
      <c r="AW114" s="1">
        <v>4.0</v>
      </c>
      <c r="AX114" s="1" t="s">
        <v>74</v>
      </c>
      <c r="AY114" s="1" t="s">
        <v>74</v>
      </c>
      <c r="AZ114" s="1" t="s">
        <v>74</v>
      </c>
      <c r="BA114" s="1" t="s">
        <v>74</v>
      </c>
      <c r="BB114" s="1">
        <v>723.0</v>
      </c>
      <c r="BC114" s="1">
        <v>731.0</v>
      </c>
      <c r="BD114" s="1" t="s">
        <v>74</v>
      </c>
      <c r="BE114" s="1" t="s">
        <v>1210</v>
      </c>
      <c r="BF114" s="2" t="str">
        <f>HYPERLINK("http://dx.doi.org/10.1590/0104-6632.20160334s20150264","http://dx.doi.org/10.1590/0104-6632.20160334s20150264")</f>
        <v>http://dx.doi.org/10.1590/0104-6632.20160334s20150264</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1211</v>
      </c>
      <c r="BT114" s="1" t="str">
        <f>HYPERLINK("https%3A%2F%2Fwww.webofscience.com%2Fwos%2Fwoscc%2Ffull-record%2FWOS:000396935700004","View Full Record in Web of Science")</f>
        <v>View Full Record in Web of Science</v>
      </c>
    </row>
    <row r="115" ht="12.75" customHeight="1">
      <c r="A115" s="1" t="s">
        <v>72</v>
      </c>
      <c r="B115" s="1" t="s">
        <v>1212</v>
      </c>
      <c r="C115" s="1" t="s">
        <v>74</v>
      </c>
      <c r="D115" s="1" t="s">
        <v>74</v>
      </c>
      <c r="E115" s="1" t="s">
        <v>74</v>
      </c>
      <c r="F115" s="1" t="s">
        <v>1213</v>
      </c>
      <c r="G115" s="1" t="s">
        <v>74</v>
      </c>
      <c r="H115" s="1" t="s">
        <v>74</v>
      </c>
      <c r="I115" s="1" t="s">
        <v>1214</v>
      </c>
      <c r="J115" s="1" t="s">
        <v>1215</v>
      </c>
      <c r="K115" s="1" t="s">
        <v>74</v>
      </c>
      <c r="L115" s="1" t="s">
        <v>74</v>
      </c>
      <c r="M115" s="1" t="s">
        <v>74</v>
      </c>
      <c r="N115" s="1" t="s">
        <v>74</v>
      </c>
      <c r="O115" s="1" t="s">
        <v>74</v>
      </c>
      <c r="P115" s="1" t="s">
        <v>74</v>
      </c>
      <c r="Q115" s="1" t="s">
        <v>74</v>
      </c>
      <c r="R115" s="1" t="s">
        <v>74</v>
      </c>
      <c r="S115" s="1" t="s">
        <v>74</v>
      </c>
      <c r="T115" s="1" t="s">
        <v>74</v>
      </c>
      <c r="U115" s="1" t="s">
        <v>74</v>
      </c>
      <c r="V115" s="1" t="s">
        <v>1216</v>
      </c>
      <c r="W115" s="1" t="s">
        <v>74</v>
      </c>
      <c r="X115" s="1" t="s">
        <v>74</v>
      </c>
      <c r="Y115" s="1" t="s">
        <v>74</v>
      </c>
      <c r="Z115" s="1" t="s">
        <v>74</v>
      </c>
      <c r="AA115" s="1" t="s">
        <v>74</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1217</v>
      </c>
      <c r="AP115" s="1" t="s">
        <v>1218</v>
      </c>
      <c r="AQ115" s="1" t="s">
        <v>74</v>
      </c>
      <c r="AR115" s="1" t="s">
        <v>74</v>
      </c>
      <c r="AS115" s="1" t="s">
        <v>74</v>
      </c>
      <c r="AT115" s="1" t="s">
        <v>274</v>
      </c>
      <c r="AU115" s="1">
        <v>2015.0</v>
      </c>
      <c r="AV115" s="1">
        <v>39.0</v>
      </c>
      <c r="AW115" s="1">
        <v>4.0</v>
      </c>
      <c r="AX115" s="1" t="s">
        <v>74</v>
      </c>
      <c r="AY115" s="1" t="s">
        <v>74</v>
      </c>
      <c r="AZ115" s="1" t="s">
        <v>74</v>
      </c>
      <c r="BA115" s="1" t="s">
        <v>74</v>
      </c>
      <c r="BB115" s="1">
        <v>378.0</v>
      </c>
      <c r="BC115" s="1">
        <v>382.0</v>
      </c>
      <c r="BD115" s="1" t="s">
        <v>74</v>
      </c>
      <c r="BE115" s="1" t="s">
        <v>1219</v>
      </c>
      <c r="BF115" s="2" t="str">
        <f>HYPERLINK("http://dx.doi.org/10.1152/advan.00072.2015","http://dx.doi.org/10.1152/advan.00072.2015")</f>
        <v>http://dx.doi.org/10.1152/advan.00072.2015</v>
      </c>
      <c r="BG115" s="1" t="s">
        <v>74</v>
      </c>
      <c r="BH115" s="1" t="s">
        <v>74</v>
      </c>
      <c r="BI115" s="1" t="s">
        <v>74</v>
      </c>
      <c r="BJ115" s="1" t="s">
        <v>74</v>
      </c>
      <c r="BK115" s="1" t="s">
        <v>74</v>
      </c>
      <c r="BL115" s="1" t="s">
        <v>74</v>
      </c>
      <c r="BM115" s="1" t="s">
        <v>74</v>
      </c>
      <c r="BN115" s="1">
        <v>2.6628663E7</v>
      </c>
      <c r="BO115" s="1" t="s">
        <v>74</v>
      </c>
      <c r="BP115" s="1" t="s">
        <v>74</v>
      </c>
      <c r="BQ115" s="1" t="s">
        <v>74</v>
      </c>
      <c r="BR115" s="1" t="s">
        <v>74</v>
      </c>
      <c r="BS115" s="1" t="s">
        <v>1220</v>
      </c>
      <c r="BT115" s="1" t="str">
        <f>HYPERLINK("https%3A%2F%2Fwww.webofscience.com%2Fwos%2Fwoscc%2Ffull-record%2FWOS:000366138100020","View Full Record in Web of Science")</f>
        <v>View Full Record in Web of Science</v>
      </c>
    </row>
    <row r="116" ht="12.75" customHeight="1">
      <c r="A116" s="1" t="s">
        <v>72</v>
      </c>
      <c r="B116" s="1" t="s">
        <v>1221</v>
      </c>
      <c r="C116" s="1" t="s">
        <v>74</v>
      </c>
      <c r="D116" s="1" t="s">
        <v>74</v>
      </c>
      <c r="E116" s="1" t="s">
        <v>74</v>
      </c>
      <c r="F116" s="1" t="s">
        <v>1222</v>
      </c>
      <c r="G116" s="1" t="s">
        <v>74</v>
      </c>
      <c r="H116" s="1" t="s">
        <v>74</v>
      </c>
      <c r="I116" s="1" t="s">
        <v>1223</v>
      </c>
      <c r="J116" s="1" t="s">
        <v>1224</v>
      </c>
      <c r="K116" s="1" t="s">
        <v>74</v>
      </c>
      <c r="L116" s="1" t="s">
        <v>74</v>
      </c>
      <c r="M116" s="1" t="s">
        <v>74</v>
      </c>
      <c r="N116" s="1" t="s">
        <v>74</v>
      </c>
      <c r="O116" s="1" t="s">
        <v>74</v>
      </c>
      <c r="P116" s="1" t="s">
        <v>74</v>
      </c>
      <c r="Q116" s="1" t="s">
        <v>74</v>
      </c>
      <c r="R116" s="1" t="s">
        <v>74</v>
      </c>
      <c r="S116" s="1" t="s">
        <v>74</v>
      </c>
      <c r="T116" s="1" t="s">
        <v>74</v>
      </c>
      <c r="U116" s="1" t="s">
        <v>74</v>
      </c>
      <c r="V116" s="1" t="s">
        <v>1225</v>
      </c>
      <c r="W116" s="1" t="s">
        <v>74</v>
      </c>
      <c r="X116" s="1" t="s">
        <v>74</v>
      </c>
      <c r="Y116" s="1" t="s">
        <v>74</v>
      </c>
      <c r="Z116" s="1" t="s">
        <v>74</v>
      </c>
      <c r="AA116" s="1" t="s">
        <v>1226</v>
      </c>
      <c r="AB116" s="1" t="s">
        <v>1227</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1228</v>
      </c>
      <c r="AP116" s="1" t="s">
        <v>1229</v>
      </c>
      <c r="AQ116" s="1" t="s">
        <v>74</v>
      </c>
      <c r="AR116" s="1" t="s">
        <v>74</v>
      </c>
      <c r="AS116" s="1" t="s">
        <v>74</v>
      </c>
      <c r="AT116" s="1" t="s">
        <v>174</v>
      </c>
      <c r="AU116" s="1">
        <v>2015.0</v>
      </c>
      <c r="AV116" s="1">
        <v>35.0</v>
      </c>
      <c r="AW116" s="1" t="s">
        <v>74</v>
      </c>
      <c r="AX116" s="1">
        <v>2.0</v>
      </c>
      <c r="AY116" s="1" t="s">
        <v>74</v>
      </c>
      <c r="AZ116" s="1" t="s">
        <v>74</v>
      </c>
      <c r="BA116" s="1" t="s">
        <v>74</v>
      </c>
      <c r="BB116" s="1">
        <v>374.0</v>
      </c>
      <c r="BC116" s="1">
        <v>402.0</v>
      </c>
      <c r="BD116" s="1" t="s">
        <v>74</v>
      </c>
      <c r="BE116" s="1" t="s">
        <v>1230</v>
      </c>
      <c r="BF116" s="2" t="str">
        <f>HYPERLINK("http://dx.doi.org/10.1017/etds.2013.58","http://dx.doi.org/10.1017/etds.2013.58")</f>
        <v>http://dx.doi.org/10.1017/etds.2013.58</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1231</v>
      </c>
      <c r="BT116" s="1" t="str">
        <f>HYPERLINK("https%3A%2F%2Fwww.webofscience.com%2Fwos%2Fwoscc%2Ffull-record%2FWOS:000350765700003","View Full Record in Web of Science")</f>
        <v>View Full Record in Web of Science</v>
      </c>
    </row>
    <row r="117" ht="12.75" customHeight="1">
      <c r="A117" s="1" t="s">
        <v>241</v>
      </c>
      <c r="B117" s="1" t="s">
        <v>1232</v>
      </c>
      <c r="C117" s="1" t="s">
        <v>74</v>
      </c>
      <c r="D117" s="1" t="s">
        <v>1233</v>
      </c>
      <c r="E117" s="1" t="s">
        <v>74</v>
      </c>
      <c r="F117" s="1" t="s">
        <v>1234</v>
      </c>
      <c r="G117" s="1" t="s">
        <v>74</v>
      </c>
      <c r="H117" s="1" t="s">
        <v>74</v>
      </c>
      <c r="I117" s="1" t="s">
        <v>1235</v>
      </c>
      <c r="J117" s="1" t="s">
        <v>1236</v>
      </c>
      <c r="K117" s="1" t="s">
        <v>1237</v>
      </c>
      <c r="L117" s="1" t="s">
        <v>74</v>
      </c>
      <c r="M117" s="1" t="s">
        <v>74</v>
      </c>
      <c r="N117" s="1" t="s">
        <v>74</v>
      </c>
      <c r="O117" s="1" t="s">
        <v>1238</v>
      </c>
      <c r="P117" s="1" t="s">
        <v>1239</v>
      </c>
      <c r="Q117" s="1" t="s">
        <v>1240</v>
      </c>
      <c r="R117" s="1" t="s">
        <v>1241</v>
      </c>
      <c r="S117" s="1" t="s">
        <v>74</v>
      </c>
      <c r="T117" s="1" t="s">
        <v>74</v>
      </c>
      <c r="U117" s="1" t="s">
        <v>74</v>
      </c>
      <c r="V117" s="1" t="s">
        <v>1242</v>
      </c>
      <c r="W117" s="1" t="s">
        <v>74</v>
      </c>
      <c r="X117" s="1" t="s">
        <v>74</v>
      </c>
      <c r="Y117" s="1" t="s">
        <v>74</v>
      </c>
      <c r="Z117" s="1" t="s">
        <v>74</v>
      </c>
      <c r="AA117" s="1" t="s">
        <v>1243</v>
      </c>
      <c r="AB117" s="1" t="s">
        <v>1244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1245</v>
      </c>
      <c r="AP117" s="1" t="s">
        <v>74</v>
      </c>
      <c r="AQ117" s="1" t="s">
        <v>74</v>
      </c>
      <c r="AR117" s="1" t="s">
        <v>74</v>
      </c>
      <c r="AS117" s="1" t="s">
        <v>74</v>
      </c>
      <c r="AT117" s="1" t="s">
        <v>74</v>
      </c>
      <c r="AU117" s="1">
        <v>2015.0</v>
      </c>
      <c r="AV117" s="1">
        <v>63.0</v>
      </c>
      <c r="AW117" s="1" t="s">
        <v>74</v>
      </c>
      <c r="AX117" s="1" t="s">
        <v>74</v>
      </c>
      <c r="AY117" s="1" t="s">
        <v>74</v>
      </c>
      <c r="AZ117" s="1" t="s">
        <v>74</v>
      </c>
      <c r="BA117" s="1" t="s">
        <v>74</v>
      </c>
      <c r="BB117" s="1">
        <v>37.0</v>
      </c>
      <c r="BC117" s="1">
        <v>41.0</v>
      </c>
      <c r="BD117" s="1" t="s">
        <v>74</v>
      </c>
      <c r="BE117" s="1" t="s">
        <v>1246</v>
      </c>
      <c r="BF117" s="2" t="str">
        <f>HYPERLINK("http://dx.doi.org/10.1016/j.phpro.2015.03.006","http://dx.doi.org/10.1016/j.phpro.2015.03.006")</f>
        <v>http://dx.doi.org/10.1016/j.phpro.2015.03.006</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1247</v>
      </c>
      <c r="BT117" s="1" t="str">
        <f>HYPERLINK("https%3A%2F%2Fwww.webofscience.com%2Fwos%2Fwoscc%2Ffull-record%2FWOS:000380950200005","View Full Record in Web of Science")</f>
        <v>View Full Record in Web of Science</v>
      </c>
    </row>
    <row r="118" ht="12.75" customHeight="1">
      <c r="A118" s="1" t="s">
        <v>72</v>
      </c>
      <c r="B118" s="1" t="s">
        <v>1248</v>
      </c>
      <c r="C118" s="1" t="s">
        <v>74</v>
      </c>
      <c r="D118" s="1" t="s">
        <v>74</v>
      </c>
      <c r="E118" s="1" t="s">
        <v>74</v>
      </c>
      <c r="F118" s="1" t="s">
        <v>1249</v>
      </c>
      <c r="G118" s="1" t="s">
        <v>74</v>
      </c>
      <c r="H118" s="1" t="s">
        <v>74</v>
      </c>
      <c r="I118" s="1" t="s">
        <v>1250</v>
      </c>
      <c r="J118" s="1" t="s">
        <v>1251</v>
      </c>
      <c r="K118" s="1" t="s">
        <v>74</v>
      </c>
      <c r="L118" s="1" t="s">
        <v>74</v>
      </c>
      <c r="M118" s="1" t="s">
        <v>74</v>
      </c>
      <c r="N118" s="1" t="s">
        <v>74</v>
      </c>
      <c r="O118" s="1" t="s">
        <v>74</v>
      </c>
      <c r="P118" s="1" t="s">
        <v>74</v>
      </c>
      <c r="Q118" s="1" t="s">
        <v>74</v>
      </c>
      <c r="R118" s="1" t="s">
        <v>74</v>
      </c>
      <c r="S118" s="1" t="s">
        <v>74</v>
      </c>
      <c r="T118" s="1" t="s">
        <v>74</v>
      </c>
      <c r="U118" s="1" t="s">
        <v>74</v>
      </c>
      <c r="V118" s="1" t="s">
        <v>1252</v>
      </c>
      <c r="W118" s="1" t="s">
        <v>74</v>
      </c>
      <c r="X118" s="1" t="s">
        <v>74</v>
      </c>
      <c r="Y118" s="1" t="s">
        <v>74</v>
      </c>
      <c r="Z118" s="1" t="s">
        <v>74</v>
      </c>
      <c r="AA118" s="1" t="s">
        <v>1253</v>
      </c>
      <c r="AB118" s="1" t="s">
        <v>1254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1255</v>
      </c>
      <c r="AP118" s="1" t="s">
        <v>1256</v>
      </c>
      <c r="AQ118" s="1" t="s">
        <v>74</v>
      </c>
      <c r="AR118" s="1" t="s">
        <v>74</v>
      </c>
      <c r="AS118" s="1" t="s">
        <v>74</v>
      </c>
      <c r="AT118" s="1" t="s">
        <v>183</v>
      </c>
      <c r="AU118" s="1">
        <v>2013.0</v>
      </c>
      <c r="AV118" s="1">
        <v>43.0</v>
      </c>
      <c r="AW118" s="1" t="s">
        <v>74</v>
      </c>
      <c r="AX118" s="1" t="s">
        <v>74</v>
      </c>
      <c r="AY118" s="1" t="s">
        <v>74</v>
      </c>
      <c r="AZ118" s="1" t="s">
        <v>74</v>
      </c>
      <c r="BA118" s="1" t="s">
        <v>74</v>
      </c>
      <c r="BB118" s="1">
        <v>360.0</v>
      </c>
      <c r="BC118" s="1">
        <v>364.0</v>
      </c>
      <c r="BD118" s="1" t="s">
        <v>74</v>
      </c>
      <c r="BE118" s="1" t="s">
        <v>1257</v>
      </c>
      <c r="BF118" s="2" t="str">
        <f>HYPERLINK("http://dx.doi.org/10.1016/j.indcroP.2012.07.048","http://dx.doi.org/10.1016/j.indcroP.2012.07.048")</f>
        <v>http://dx.doi.org/10.1016/j.indcroP.2012.07.048</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1258</v>
      </c>
      <c r="BT118" s="1" t="str">
        <f>HYPERLINK("https%3A%2F%2Fwww.webofscience.com%2Fwos%2Fwoscc%2Ffull-record%2FWOS:000311865000055","View Full Record in Web of Science")</f>
        <v>View Full Record in Web of Science</v>
      </c>
    </row>
    <row r="119" ht="12.75" customHeight="1">
      <c r="A119" s="1" t="s">
        <v>72</v>
      </c>
      <c r="B119" s="1" t="s">
        <v>1259</v>
      </c>
      <c r="C119" s="1" t="s">
        <v>74</v>
      </c>
      <c r="D119" s="1" t="s">
        <v>74</v>
      </c>
      <c r="E119" s="1" t="s">
        <v>74</v>
      </c>
      <c r="F119" s="1" t="s">
        <v>1260</v>
      </c>
      <c r="G119" s="1" t="s">
        <v>74</v>
      </c>
      <c r="H119" s="1" t="s">
        <v>74</v>
      </c>
      <c r="I119" s="1" t="s">
        <v>1261</v>
      </c>
      <c r="J119" s="1" t="s">
        <v>1262</v>
      </c>
      <c r="K119" s="1" t="s">
        <v>74</v>
      </c>
      <c r="L119" s="1" t="s">
        <v>74</v>
      </c>
      <c r="M119" s="1" t="s">
        <v>74</v>
      </c>
      <c r="N119" s="1" t="s">
        <v>74</v>
      </c>
      <c r="O119" s="1" t="s">
        <v>1263</v>
      </c>
      <c r="P119" s="1" t="s">
        <v>1264</v>
      </c>
      <c r="Q119" s="1" t="s">
        <v>1265</v>
      </c>
      <c r="R119" s="1" t="s">
        <v>74</v>
      </c>
      <c r="S119" s="1" t="s">
        <v>74</v>
      </c>
      <c r="T119" s="1" t="s">
        <v>74</v>
      </c>
      <c r="U119" s="1" t="s">
        <v>74</v>
      </c>
      <c r="V119" s="1" t="s">
        <v>1266</v>
      </c>
      <c r="W119" s="1" t="s">
        <v>74</v>
      </c>
      <c r="X119" s="1" t="s">
        <v>74</v>
      </c>
      <c r="Y119" s="1" t="s">
        <v>74</v>
      </c>
      <c r="Z119" s="1" t="s">
        <v>74</v>
      </c>
      <c r="AA119" s="1" t="s">
        <v>74</v>
      </c>
      <c r="AB119" s="1" t="s">
        <v>1267</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1268</v>
      </c>
      <c r="AP119" s="1" t="s">
        <v>74</v>
      </c>
      <c r="AQ119" s="1" t="s">
        <v>74</v>
      </c>
      <c r="AR119" s="1" t="s">
        <v>74</v>
      </c>
      <c r="AS119" s="1" t="s">
        <v>74</v>
      </c>
      <c r="AT119" s="1" t="s">
        <v>116</v>
      </c>
      <c r="AU119" s="1">
        <v>2011.0</v>
      </c>
      <c r="AV119" s="1">
        <v>51.0</v>
      </c>
      <c r="AW119" s="1">
        <v>5.0</v>
      </c>
      <c r="AX119" s="1" t="s">
        <v>74</v>
      </c>
      <c r="AY119" s="1" t="s">
        <v>74</v>
      </c>
      <c r="AZ119" s="1" t="s">
        <v>74</v>
      </c>
      <c r="BA119" s="1" t="s">
        <v>74</v>
      </c>
      <c r="BB119" s="1">
        <v>581.0</v>
      </c>
      <c r="BC119" s="1">
        <v>585.0</v>
      </c>
      <c r="BD119" s="1" t="s">
        <v>74</v>
      </c>
      <c r="BE119" s="1" t="s">
        <v>1269</v>
      </c>
      <c r="BF119" s="2" t="str">
        <f>HYPERLINK("http://dx.doi.org/10.1016/j.ultras.2010.12.012","http://dx.doi.org/10.1016/j.ultras.2010.12.012")</f>
        <v>http://dx.doi.org/10.1016/j.ultras.2010.12.012</v>
      </c>
      <c r="BG119" s="1" t="s">
        <v>74</v>
      </c>
      <c r="BH119" s="1" t="s">
        <v>74</v>
      </c>
      <c r="BI119" s="1" t="s">
        <v>74</v>
      </c>
      <c r="BJ119" s="1" t="s">
        <v>74</v>
      </c>
      <c r="BK119" s="1" t="s">
        <v>74</v>
      </c>
      <c r="BL119" s="1" t="s">
        <v>74</v>
      </c>
      <c r="BM119" s="1" t="s">
        <v>74</v>
      </c>
      <c r="BN119" s="1">
        <v>2.1255812E7</v>
      </c>
      <c r="BO119" s="1" t="s">
        <v>74</v>
      </c>
      <c r="BP119" s="1" t="s">
        <v>74</v>
      </c>
      <c r="BQ119" s="1" t="s">
        <v>74</v>
      </c>
      <c r="BR119" s="1" t="s">
        <v>74</v>
      </c>
      <c r="BS119" s="1" t="s">
        <v>1270</v>
      </c>
      <c r="BT119" s="1" t="str">
        <f>HYPERLINK("https%3A%2F%2Fwww.webofscience.com%2Fwos%2Fwoscc%2Ffull-record%2FWOS:000288014000009","View Full Record in Web of Science")</f>
        <v>View Full Record in Web of Science</v>
      </c>
    </row>
    <row r="120" ht="12.75" customHeight="1">
      <c r="A120" s="1" t="s">
        <v>72</v>
      </c>
      <c r="B120" s="1" t="s">
        <v>1271</v>
      </c>
      <c r="C120" s="1" t="s">
        <v>74</v>
      </c>
      <c r="D120" s="1" t="s">
        <v>74</v>
      </c>
      <c r="E120" s="1" t="s">
        <v>74</v>
      </c>
      <c r="F120" s="1" t="s">
        <v>1272</v>
      </c>
      <c r="G120" s="1" t="s">
        <v>74</v>
      </c>
      <c r="H120" s="1" t="s">
        <v>74</v>
      </c>
      <c r="I120" s="1" t="s">
        <v>1273</v>
      </c>
      <c r="J120" s="1" t="s">
        <v>1274</v>
      </c>
      <c r="K120" s="1" t="s">
        <v>74</v>
      </c>
      <c r="L120" s="1" t="s">
        <v>74</v>
      </c>
      <c r="M120" s="1" t="s">
        <v>74</v>
      </c>
      <c r="N120" s="1" t="s">
        <v>74</v>
      </c>
      <c r="O120" s="1" t="s">
        <v>74</v>
      </c>
      <c r="P120" s="1" t="s">
        <v>74</v>
      </c>
      <c r="Q120" s="1" t="s">
        <v>74</v>
      </c>
      <c r="R120" s="1" t="s">
        <v>74</v>
      </c>
      <c r="S120" s="1" t="s">
        <v>74</v>
      </c>
      <c r="T120" s="1" t="s">
        <v>74</v>
      </c>
      <c r="U120" s="1" t="s">
        <v>74</v>
      </c>
      <c r="V120" s="1" t="s">
        <v>1275</v>
      </c>
      <c r="W120" s="1" t="s">
        <v>74</v>
      </c>
      <c r="X120" s="1" t="s">
        <v>74</v>
      </c>
      <c r="Y120" s="1" t="s">
        <v>74</v>
      </c>
      <c r="Z120" s="1" t="s">
        <v>74</v>
      </c>
      <c r="AA120" s="1" t="s">
        <v>74</v>
      </c>
      <c r="AB120" s="1" t="s">
        <v>74</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1276</v>
      </c>
      <c r="AP120" s="1" t="s">
        <v>1277</v>
      </c>
      <c r="AQ120" s="1" t="s">
        <v>74</v>
      </c>
      <c r="AR120" s="1" t="s">
        <v>74</v>
      </c>
      <c r="AS120" s="1" t="s">
        <v>74</v>
      </c>
      <c r="AT120" s="1" t="s">
        <v>74</v>
      </c>
      <c r="AU120" s="1">
        <v>2010.0</v>
      </c>
      <c r="AV120" s="1">
        <v>43.0</v>
      </c>
      <c r="AW120" s="1">
        <v>2.0</v>
      </c>
      <c r="AX120" s="1" t="s">
        <v>74</v>
      </c>
      <c r="AY120" s="1" t="s">
        <v>74</v>
      </c>
      <c r="AZ120" s="1" t="s">
        <v>74</v>
      </c>
      <c r="BA120" s="1" t="s">
        <v>74</v>
      </c>
      <c r="BB120" s="1">
        <v>191.0</v>
      </c>
      <c r="BC120" s="1">
        <v>195.0</v>
      </c>
      <c r="BD120" s="1" t="s">
        <v>74</v>
      </c>
      <c r="BE120" s="1" t="s">
        <v>74</v>
      </c>
      <c r="BF120" s="1" t="s">
        <v>74</v>
      </c>
      <c r="BG120" s="1" t="s">
        <v>74</v>
      </c>
      <c r="BH120" s="1" t="s">
        <v>74</v>
      </c>
      <c r="BI120" s="1" t="s">
        <v>74</v>
      </c>
      <c r="BJ120" s="1" t="s">
        <v>74</v>
      </c>
      <c r="BK120" s="1" t="s">
        <v>74</v>
      </c>
      <c r="BL120" s="1" t="s">
        <v>74</v>
      </c>
      <c r="BM120" s="1" t="s">
        <v>74</v>
      </c>
      <c r="BN120" s="1">
        <v>2.1031264E7</v>
      </c>
      <c r="BO120" s="1" t="s">
        <v>74</v>
      </c>
      <c r="BP120" s="1" t="s">
        <v>74</v>
      </c>
      <c r="BQ120" s="1" t="s">
        <v>74</v>
      </c>
      <c r="BR120" s="1" t="s">
        <v>74</v>
      </c>
      <c r="BS120" s="1" t="s">
        <v>1278</v>
      </c>
      <c r="BT120" s="1" t="str">
        <f>HYPERLINK("https%3A%2F%2Fwww.webofscience.com%2Fwos%2Fwoscc%2Ffull-record%2FWOS:000280362000007","View Full Record in Web of Science")</f>
        <v>View Full Record in Web of Science</v>
      </c>
    </row>
    <row r="121" ht="12.75" customHeight="1">
      <c r="A121" s="1" t="s">
        <v>72</v>
      </c>
      <c r="B121" s="1" t="s">
        <v>1279</v>
      </c>
      <c r="C121" s="1" t="s">
        <v>74</v>
      </c>
      <c r="D121" s="1" t="s">
        <v>74</v>
      </c>
      <c r="E121" s="1" t="s">
        <v>74</v>
      </c>
      <c r="F121" s="1" t="s">
        <v>1280</v>
      </c>
      <c r="G121" s="1" t="s">
        <v>74</v>
      </c>
      <c r="H121" s="1" t="s">
        <v>74</v>
      </c>
      <c r="I121" s="1" t="s">
        <v>1281</v>
      </c>
      <c r="J121" s="1" t="s">
        <v>1282</v>
      </c>
      <c r="K121" s="1" t="s">
        <v>74</v>
      </c>
      <c r="L121" s="1" t="s">
        <v>74</v>
      </c>
      <c r="M121" s="1" t="s">
        <v>74</v>
      </c>
      <c r="N121" s="1" t="s">
        <v>74</v>
      </c>
      <c r="O121" s="1" t="s">
        <v>74</v>
      </c>
      <c r="P121" s="1" t="s">
        <v>74</v>
      </c>
      <c r="Q121" s="1" t="s">
        <v>74</v>
      </c>
      <c r="R121" s="1" t="s">
        <v>74</v>
      </c>
      <c r="S121" s="1" t="s">
        <v>74</v>
      </c>
      <c r="T121" s="1" t="s">
        <v>74</v>
      </c>
      <c r="U121" s="1" t="s">
        <v>74</v>
      </c>
      <c r="V121" s="1" t="s">
        <v>1283</v>
      </c>
      <c r="W121" s="1" t="s">
        <v>74</v>
      </c>
      <c r="X121" s="1" t="s">
        <v>74</v>
      </c>
      <c r="Y121" s="1" t="s">
        <v>74</v>
      </c>
      <c r="Z121" s="1" t="s">
        <v>74</v>
      </c>
      <c r="AA121" s="1" t="s">
        <v>508</v>
      </c>
      <c r="AB121" s="1" t="s">
        <v>1284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1285</v>
      </c>
      <c r="AP121" s="1" t="s">
        <v>74</v>
      </c>
      <c r="AQ121" s="1" t="s">
        <v>74</v>
      </c>
      <c r="AR121" s="1" t="s">
        <v>74</v>
      </c>
      <c r="AS121" s="1" t="s">
        <v>74</v>
      </c>
      <c r="AT121" s="1" t="s">
        <v>353</v>
      </c>
      <c r="AU121" s="1">
        <v>2006.0</v>
      </c>
      <c r="AV121" s="1">
        <v>40.0</v>
      </c>
      <c r="AW121" s="1">
        <v>32.0</v>
      </c>
      <c r="AX121" s="1" t="s">
        <v>74</v>
      </c>
      <c r="AY121" s="1" t="s">
        <v>74</v>
      </c>
      <c r="AZ121" s="1" t="s">
        <v>74</v>
      </c>
      <c r="BA121" s="1" t="s">
        <v>74</v>
      </c>
      <c r="BB121" s="1">
        <v>6165.0</v>
      </c>
      <c r="BC121" s="1">
        <v>6172.0</v>
      </c>
      <c r="BD121" s="1" t="s">
        <v>74</v>
      </c>
      <c r="BE121" s="1" t="s">
        <v>1286</v>
      </c>
      <c r="BF121" s="2" t="str">
        <f>HYPERLINK("http://dx.doi.org/10.1016/j.atmosenv.2006.05.021","http://dx.doi.org/10.1016/j.atmosenv.2006.05.021")</f>
        <v>http://dx.doi.org/10.1016/j.atmosenv.2006.05.021</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1287</v>
      </c>
      <c r="BT121" s="1" t="str">
        <f>HYPERLINK("https%3A%2F%2Fwww.webofscience.com%2Fwos%2Fwoscc%2Ffull-record%2FWOS:000241182700010","View Full Record in Web of Science")</f>
        <v>View Full Record in Web of Science</v>
      </c>
    </row>
    <row r="122" ht="12.75" customHeight="1">
      <c r="A122" s="1" t="s">
        <v>72</v>
      </c>
      <c r="B122" s="1" t="s">
        <v>1288</v>
      </c>
      <c r="C122" s="1" t="s">
        <v>74</v>
      </c>
      <c r="D122" s="1" t="s">
        <v>74</v>
      </c>
      <c r="E122" s="1" t="s">
        <v>74</v>
      </c>
      <c r="F122" s="1" t="s">
        <v>1288</v>
      </c>
      <c r="G122" s="1" t="s">
        <v>74</v>
      </c>
      <c r="H122" s="1" t="s">
        <v>74</v>
      </c>
      <c r="I122" s="1" t="s">
        <v>1289</v>
      </c>
      <c r="J122" s="1" t="s">
        <v>1290</v>
      </c>
      <c r="K122" s="1" t="s">
        <v>74</v>
      </c>
      <c r="L122" s="1" t="s">
        <v>74</v>
      </c>
      <c r="M122" s="1" t="s">
        <v>74</v>
      </c>
      <c r="N122" s="1" t="s">
        <v>74</v>
      </c>
      <c r="O122" s="1" t="s">
        <v>74</v>
      </c>
      <c r="P122" s="1" t="s">
        <v>74</v>
      </c>
      <c r="Q122" s="1" t="s">
        <v>74</v>
      </c>
      <c r="R122" s="1" t="s">
        <v>74</v>
      </c>
      <c r="S122" s="1" t="s">
        <v>74</v>
      </c>
      <c r="T122" s="1" t="s">
        <v>74</v>
      </c>
      <c r="U122" s="1" t="s">
        <v>74</v>
      </c>
      <c r="V122" s="1" t="s">
        <v>1291</v>
      </c>
      <c r="W122" s="1" t="s">
        <v>74</v>
      </c>
      <c r="X122" s="1" t="s">
        <v>74</v>
      </c>
      <c r="Y122" s="1" t="s">
        <v>74</v>
      </c>
      <c r="Z122" s="1" t="s">
        <v>74</v>
      </c>
      <c r="AA122" s="1" t="s">
        <v>74</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1292</v>
      </c>
      <c r="AP122" s="1" t="s">
        <v>74</v>
      </c>
      <c r="AQ122" s="1" t="s">
        <v>74</v>
      </c>
      <c r="AR122" s="1" t="s">
        <v>74</v>
      </c>
      <c r="AS122" s="1" t="s">
        <v>74</v>
      </c>
      <c r="AT122" s="1" t="s">
        <v>607</v>
      </c>
      <c r="AU122" s="1">
        <v>2000.0</v>
      </c>
      <c r="AV122" s="1">
        <v>19.0</v>
      </c>
      <c r="AW122" s="1">
        <v>2.0</v>
      </c>
      <c r="AX122" s="1" t="s">
        <v>74</v>
      </c>
      <c r="AY122" s="1" t="s">
        <v>74</v>
      </c>
      <c r="AZ122" s="1" t="s">
        <v>74</v>
      </c>
      <c r="BA122" s="1" t="s">
        <v>74</v>
      </c>
      <c r="BB122" s="1">
        <v>151.0</v>
      </c>
      <c r="BC122" s="1">
        <v>155.0</v>
      </c>
      <c r="BD122" s="1" t="s">
        <v>74</v>
      </c>
      <c r="BE122" s="1" t="s">
        <v>1293</v>
      </c>
      <c r="BF122" s="2" t="str">
        <f>HYPERLINK("http://dx.doi.org/10.1023/A:1007038801482","http://dx.doi.org/10.1023/A:1007038801482")</f>
        <v>http://dx.doi.org/10.1023/A:1007038801482</v>
      </c>
      <c r="BG122" s="1" t="s">
        <v>74</v>
      </c>
      <c r="BH122" s="1" t="s">
        <v>74</v>
      </c>
      <c r="BI122" s="1" t="s">
        <v>74</v>
      </c>
      <c r="BJ122" s="1" t="s">
        <v>74</v>
      </c>
      <c r="BK122" s="1" t="s">
        <v>74</v>
      </c>
      <c r="BL122" s="1" t="s">
        <v>74</v>
      </c>
      <c r="BM122" s="1" t="s">
        <v>74</v>
      </c>
      <c r="BN122" s="1">
        <v>1.0945439E7</v>
      </c>
      <c r="BO122" s="1" t="s">
        <v>74</v>
      </c>
      <c r="BP122" s="1" t="s">
        <v>74</v>
      </c>
      <c r="BQ122" s="1" t="s">
        <v>74</v>
      </c>
      <c r="BR122" s="1" t="s">
        <v>74</v>
      </c>
      <c r="BS122" s="1" t="s">
        <v>1294</v>
      </c>
      <c r="BT122" s="1" t="str">
        <f>HYPERLINK("https%3A%2F%2Fwww.webofscience.com%2Fwos%2Fwoscc%2Ffull-record%2FWOS:000088277500009","View Full Record in Web of Science")</f>
        <v>View Full Record in Web of Science</v>
      </c>
    </row>
    <row r="123" ht="12.75" customHeight="1">
      <c r="A123" s="1" t="s">
        <v>72</v>
      </c>
      <c r="B123" s="1" t="s">
        <v>1295</v>
      </c>
      <c r="C123" s="1" t="s">
        <v>74</v>
      </c>
      <c r="D123" s="1" t="s">
        <v>74</v>
      </c>
      <c r="E123" s="1" t="s">
        <v>74</v>
      </c>
      <c r="F123" s="1" t="s">
        <v>1295</v>
      </c>
      <c r="G123" s="1" t="s">
        <v>74</v>
      </c>
      <c r="H123" s="1" t="s">
        <v>74</v>
      </c>
      <c r="I123" s="1" t="s">
        <v>1296</v>
      </c>
      <c r="J123" s="1" t="s">
        <v>1297</v>
      </c>
      <c r="K123" s="1" t="s">
        <v>74</v>
      </c>
      <c r="L123" s="1" t="s">
        <v>74</v>
      </c>
      <c r="M123" s="1" t="s">
        <v>74</v>
      </c>
      <c r="N123" s="1" t="s">
        <v>74</v>
      </c>
      <c r="O123" s="1" t="s">
        <v>74</v>
      </c>
      <c r="P123" s="1" t="s">
        <v>74</v>
      </c>
      <c r="Q123" s="1" t="s">
        <v>74</v>
      </c>
      <c r="R123" s="1" t="s">
        <v>74</v>
      </c>
      <c r="S123" s="1" t="s">
        <v>74</v>
      </c>
      <c r="T123" s="1" t="s">
        <v>74</v>
      </c>
      <c r="U123" s="1" t="s">
        <v>74</v>
      </c>
      <c r="V123" s="1" t="s">
        <v>1298</v>
      </c>
      <c r="W123" s="1" t="s">
        <v>74</v>
      </c>
      <c r="X123" s="1" t="s">
        <v>74</v>
      </c>
      <c r="Y123" s="1" t="s">
        <v>74</v>
      </c>
      <c r="Z123" s="1" t="s">
        <v>74</v>
      </c>
      <c r="AA123" s="1" t="s">
        <v>146</v>
      </c>
      <c r="AB123" s="1" t="s">
        <v>1155</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1299</v>
      </c>
      <c r="AP123" s="1" t="s">
        <v>74</v>
      </c>
      <c r="AQ123" s="1" t="s">
        <v>74</v>
      </c>
      <c r="AR123" s="1" t="s">
        <v>74</v>
      </c>
      <c r="AS123" s="1" t="s">
        <v>74</v>
      </c>
      <c r="AT123" s="1" t="s">
        <v>638</v>
      </c>
      <c r="AU123" s="1">
        <v>1997.0</v>
      </c>
      <c r="AV123" s="1">
        <v>8.0</v>
      </c>
      <c r="AW123" s="1">
        <v>6.0</v>
      </c>
      <c r="AX123" s="1" t="s">
        <v>74</v>
      </c>
      <c r="AY123" s="1" t="s">
        <v>74</v>
      </c>
      <c r="AZ123" s="1" t="s">
        <v>74</v>
      </c>
      <c r="BA123" s="1" t="s">
        <v>74</v>
      </c>
      <c r="BB123" s="1">
        <v>631.0</v>
      </c>
      <c r="BC123" s="1">
        <v>635.0</v>
      </c>
      <c r="BD123" s="1" t="s">
        <v>74</v>
      </c>
      <c r="BE123" s="1" t="s">
        <v>1300</v>
      </c>
      <c r="BF123" s="2" t="str">
        <f>HYPERLINK("http://dx.doi.org/10.1590/S0103-50531997000600011","http://dx.doi.org/10.1590/S0103-50531997000600011")</f>
        <v>http://dx.doi.org/10.1590/S0103-50531997000600011</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1301</v>
      </c>
      <c r="BT123" s="1" t="str">
        <f>HYPERLINK("https%3A%2F%2Fwww.webofscience.com%2Fwos%2Fwoscc%2Ffull-record%2FWOS:000072639400011","View Full Record in Web of Science")</f>
        <v>View Full Record in Web of Science</v>
      </c>
    </row>
    <row r="124" ht="12.75" customHeight="1">
      <c r="A124" s="1" t="s">
        <v>72</v>
      </c>
      <c r="B124" s="1" t="s">
        <v>1302</v>
      </c>
      <c r="C124" s="1" t="s">
        <v>74</v>
      </c>
      <c r="D124" s="1" t="s">
        <v>74</v>
      </c>
      <c r="E124" s="1" t="s">
        <v>74</v>
      </c>
      <c r="F124" s="1" t="s">
        <v>1303</v>
      </c>
      <c r="G124" s="1" t="s">
        <v>74</v>
      </c>
      <c r="H124" s="1" t="s">
        <v>74</v>
      </c>
      <c r="I124" s="1" t="s">
        <v>1304</v>
      </c>
      <c r="J124" s="1" t="s">
        <v>1305</v>
      </c>
      <c r="K124" s="1" t="s">
        <v>74</v>
      </c>
      <c r="L124" s="1" t="s">
        <v>74</v>
      </c>
      <c r="M124" s="1" t="s">
        <v>74</v>
      </c>
      <c r="N124" s="1" t="s">
        <v>74</v>
      </c>
      <c r="O124" s="1" t="s">
        <v>74</v>
      </c>
      <c r="P124" s="1" t="s">
        <v>74</v>
      </c>
      <c r="Q124" s="1" t="s">
        <v>74</v>
      </c>
      <c r="R124" s="1" t="s">
        <v>74</v>
      </c>
      <c r="S124" s="1" t="s">
        <v>74</v>
      </c>
      <c r="T124" s="1" t="s">
        <v>74</v>
      </c>
      <c r="U124" s="1" t="s">
        <v>74</v>
      </c>
      <c r="V124" s="1" t="s">
        <v>1306</v>
      </c>
      <c r="W124" s="1" t="s">
        <v>74</v>
      </c>
      <c r="X124" s="1" t="s">
        <v>74</v>
      </c>
      <c r="Y124" s="1" t="s">
        <v>74</v>
      </c>
      <c r="Z124" s="1" t="s">
        <v>74</v>
      </c>
      <c r="AA124" s="1" t="s">
        <v>74</v>
      </c>
      <c r="AB124" s="1" t="s">
        <v>74</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1307</v>
      </c>
      <c r="AP124" s="1" t="s">
        <v>1308</v>
      </c>
      <c r="AQ124" s="1" t="s">
        <v>74</v>
      </c>
      <c r="AR124" s="1" t="s">
        <v>74</v>
      </c>
      <c r="AS124" s="1" t="s">
        <v>74</v>
      </c>
      <c r="AT124" s="1" t="s">
        <v>74</v>
      </c>
      <c r="AU124" s="1">
        <v>2023.0</v>
      </c>
      <c r="AV124" s="1" t="s">
        <v>74</v>
      </c>
      <c r="AW124" s="1">
        <v>71.0</v>
      </c>
      <c r="AX124" s="1" t="s">
        <v>74</v>
      </c>
      <c r="AY124" s="1" t="s">
        <v>74</v>
      </c>
      <c r="AZ124" s="1" t="s">
        <v>74</v>
      </c>
      <c r="BA124" s="1" t="s">
        <v>74</v>
      </c>
      <c r="BB124" s="1">
        <v>97.0</v>
      </c>
      <c r="BC124" s="1">
        <v>114.0</v>
      </c>
      <c r="BD124" s="1" t="s">
        <v>74</v>
      </c>
      <c r="BE124" s="1" t="s">
        <v>1309</v>
      </c>
      <c r="BF124" s="2" t="str">
        <f>HYPERLINK("http://dx.doi.org/10.5565/rev/enrahonar.1491","http://dx.doi.org/10.5565/rev/enrahonar.1491")</f>
        <v>http://dx.doi.org/10.5565/rev/enrahonar.1491</v>
      </c>
      <c r="BG124" s="1" t="s">
        <v>74</v>
      </c>
      <c r="BH124" s="1" t="s">
        <v>74</v>
      </c>
      <c r="BI124" s="1" t="s">
        <v>74</v>
      </c>
      <c r="BJ124" s="1" t="s">
        <v>74</v>
      </c>
      <c r="BK124" s="1" t="s">
        <v>74</v>
      </c>
      <c r="BL124" s="1" t="s">
        <v>74</v>
      </c>
      <c r="BM124" s="1" t="s">
        <v>74</v>
      </c>
      <c r="BN124" s="1" t="s">
        <v>74</v>
      </c>
      <c r="BO124" s="1" t="s">
        <v>74</v>
      </c>
      <c r="BP124" s="1" t="s">
        <v>74</v>
      </c>
      <c r="BQ124" s="1" t="s">
        <v>74</v>
      </c>
      <c r="BR124" s="1" t="s">
        <v>74</v>
      </c>
      <c r="BS124" s="1" t="s">
        <v>1310</v>
      </c>
      <c r="BT124" s="1" t="str">
        <f>HYPERLINK("https%3A%2F%2Fwww.webofscience.com%2Fwos%2Fwoscc%2Ffull-record%2FWOS:001111014900002","View Full Record in Web of Science")</f>
        <v>View Full Record in Web of Science</v>
      </c>
    </row>
    <row r="125" ht="12.75" customHeight="1">
      <c r="A125" s="1" t="s">
        <v>72</v>
      </c>
      <c r="B125" s="1" t="s">
        <v>1311</v>
      </c>
      <c r="C125" s="1" t="s">
        <v>74</v>
      </c>
      <c r="D125" s="1" t="s">
        <v>74</v>
      </c>
      <c r="E125" s="1" t="s">
        <v>74</v>
      </c>
      <c r="F125" s="1" t="s">
        <v>1312</v>
      </c>
      <c r="G125" s="1" t="s">
        <v>74</v>
      </c>
      <c r="H125" s="1" t="s">
        <v>74</v>
      </c>
      <c r="I125" s="1" t="s">
        <v>1313</v>
      </c>
      <c r="J125" s="1" t="s">
        <v>1314</v>
      </c>
      <c r="K125" s="1" t="s">
        <v>74</v>
      </c>
      <c r="L125" s="1" t="s">
        <v>74</v>
      </c>
      <c r="M125" s="1" t="s">
        <v>74</v>
      </c>
      <c r="N125" s="1" t="s">
        <v>74</v>
      </c>
      <c r="O125" s="1" t="s">
        <v>74</v>
      </c>
      <c r="P125" s="1" t="s">
        <v>74</v>
      </c>
      <c r="Q125" s="1" t="s">
        <v>74</v>
      </c>
      <c r="R125" s="1" t="s">
        <v>74</v>
      </c>
      <c r="S125" s="1" t="s">
        <v>74</v>
      </c>
      <c r="T125" s="1" t="s">
        <v>74</v>
      </c>
      <c r="U125" s="1" t="s">
        <v>74</v>
      </c>
      <c r="V125" s="1" t="s">
        <v>1315</v>
      </c>
      <c r="W125" s="1" t="s">
        <v>74</v>
      </c>
      <c r="X125" s="1" t="s">
        <v>74</v>
      </c>
      <c r="Y125" s="1" t="s">
        <v>74</v>
      </c>
      <c r="Z125" s="1" t="s">
        <v>74</v>
      </c>
      <c r="AA125" s="1" t="s">
        <v>1316</v>
      </c>
      <c r="AB125" s="1" t="s">
        <v>1317</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74</v>
      </c>
      <c r="AP125" s="1" t="s">
        <v>1318</v>
      </c>
      <c r="AQ125" s="1" t="s">
        <v>74</v>
      </c>
      <c r="AR125" s="1" t="s">
        <v>74</v>
      </c>
      <c r="AS125" s="1" t="s">
        <v>74</v>
      </c>
      <c r="AT125" s="1" t="s">
        <v>319</v>
      </c>
      <c r="AU125" s="1">
        <v>2022.0</v>
      </c>
      <c r="AV125" s="1">
        <v>14.0</v>
      </c>
      <c r="AW125" s="1">
        <v>6.0</v>
      </c>
      <c r="AX125" s="1" t="s">
        <v>74</v>
      </c>
      <c r="AY125" s="1" t="s">
        <v>74</v>
      </c>
      <c r="AZ125" s="1" t="s">
        <v>74</v>
      </c>
      <c r="BA125" s="1" t="s">
        <v>74</v>
      </c>
      <c r="BB125" s="1" t="s">
        <v>74</v>
      </c>
      <c r="BC125" s="1" t="s">
        <v>74</v>
      </c>
      <c r="BD125" s="1">
        <v>3617.0</v>
      </c>
      <c r="BE125" s="1" t="s">
        <v>1319</v>
      </c>
      <c r="BF125" s="2" t="str">
        <f>HYPERLINK("http://dx.doi.org/10.3390/su14063617","http://dx.doi.org/10.3390/su14063617")</f>
        <v>http://dx.doi.org/10.3390/su14063617</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1320</v>
      </c>
      <c r="BT125" s="1" t="str">
        <f>HYPERLINK("https%3A%2F%2Fwww.webofscience.com%2Fwos%2Fwoscc%2Ffull-record%2FWOS:000774479500001","View Full Record in Web of Science")</f>
        <v>View Full Record in Web of Science</v>
      </c>
    </row>
    <row r="126" ht="12.75" customHeight="1">
      <c r="A126" s="1" t="s">
        <v>241</v>
      </c>
      <c r="B126" s="1" t="s">
        <v>1321</v>
      </c>
      <c r="C126" s="1" t="s">
        <v>74</v>
      </c>
      <c r="D126" s="1" t="s">
        <v>1322</v>
      </c>
      <c r="E126" s="1" t="s">
        <v>74</v>
      </c>
      <c r="F126" s="1" t="s">
        <v>1323</v>
      </c>
      <c r="G126" s="1" t="s">
        <v>74</v>
      </c>
      <c r="H126" s="1" t="s">
        <v>74</v>
      </c>
      <c r="I126" s="1" t="s">
        <v>1324</v>
      </c>
      <c r="J126" s="1" t="s">
        <v>1325</v>
      </c>
      <c r="K126" s="1" t="s">
        <v>1326</v>
      </c>
      <c r="L126" s="1" t="s">
        <v>74</v>
      </c>
      <c r="M126" s="1" t="s">
        <v>74</v>
      </c>
      <c r="N126" s="1" t="s">
        <v>74</v>
      </c>
      <c r="O126" s="1" t="s">
        <v>1327</v>
      </c>
      <c r="P126" s="1" t="s">
        <v>1328</v>
      </c>
      <c r="Q126" s="1" t="s">
        <v>1329</v>
      </c>
      <c r="R126" s="1" t="s">
        <v>74</v>
      </c>
      <c r="S126" s="1" t="s">
        <v>74</v>
      </c>
      <c r="T126" s="1" t="s">
        <v>74</v>
      </c>
      <c r="U126" s="1" t="s">
        <v>74</v>
      </c>
      <c r="V126" s="1" t="s">
        <v>1330</v>
      </c>
      <c r="W126" s="1" t="s">
        <v>74</v>
      </c>
      <c r="X126" s="1" t="s">
        <v>74</v>
      </c>
      <c r="Y126" s="1" t="s">
        <v>74</v>
      </c>
      <c r="Z126" s="1" t="s">
        <v>74</v>
      </c>
      <c r="AA126" s="1" t="s">
        <v>1331</v>
      </c>
      <c r="AB126" s="1" t="s">
        <v>1332</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1333</v>
      </c>
      <c r="AP126" s="1" t="s">
        <v>74</v>
      </c>
      <c r="AQ126" s="1" t="s">
        <v>74</v>
      </c>
      <c r="AR126" s="1" t="s">
        <v>74</v>
      </c>
      <c r="AS126" s="1" t="s">
        <v>74</v>
      </c>
      <c r="AT126" s="1" t="s">
        <v>74</v>
      </c>
      <c r="AU126" s="1">
        <v>2022.0</v>
      </c>
      <c r="AV126" s="1">
        <v>199.0</v>
      </c>
      <c r="AW126" s="1" t="s">
        <v>74</v>
      </c>
      <c r="AX126" s="1" t="s">
        <v>74</v>
      </c>
      <c r="AY126" s="1" t="s">
        <v>74</v>
      </c>
      <c r="AZ126" s="1" t="s">
        <v>74</v>
      </c>
      <c r="BA126" s="1" t="s">
        <v>74</v>
      </c>
      <c r="BB126" s="1">
        <v>463.0</v>
      </c>
      <c r="BC126" s="1">
        <v>470.0</v>
      </c>
      <c r="BD126" s="1" t="s">
        <v>74</v>
      </c>
      <c r="BE126" s="1" t="s">
        <v>1334</v>
      </c>
      <c r="BF126" s="2" t="str">
        <f>HYPERLINK("http://dx.doi.org/10.1016/j.procs.2022.01.056","http://dx.doi.org/10.1016/j.procs.2022.01.056")</f>
        <v>http://dx.doi.org/10.1016/j.procs.2022.01.056</v>
      </c>
      <c r="BG126" s="1" t="s">
        <v>74</v>
      </c>
      <c r="BH126" s="1" t="s">
        <v>1335</v>
      </c>
      <c r="BI126" s="1" t="s">
        <v>74</v>
      </c>
      <c r="BJ126" s="1" t="s">
        <v>74</v>
      </c>
      <c r="BK126" s="1" t="s">
        <v>74</v>
      </c>
      <c r="BL126" s="1" t="s">
        <v>74</v>
      </c>
      <c r="BM126" s="1" t="s">
        <v>74</v>
      </c>
      <c r="BN126" s="1" t="s">
        <v>74</v>
      </c>
      <c r="BO126" s="1" t="s">
        <v>74</v>
      </c>
      <c r="BP126" s="1" t="s">
        <v>74</v>
      </c>
      <c r="BQ126" s="1" t="s">
        <v>74</v>
      </c>
      <c r="BR126" s="1" t="s">
        <v>74</v>
      </c>
      <c r="BS126" s="1" t="s">
        <v>1336</v>
      </c>
      <c r="BT126" s="1" t="str">
        <f>HYPERLINK("https%3A%2F%2Fwww.webofscience.com%2Fwos%2Fwoscc%2Ffull-record%2FWOS:000765802100059","View Full Record in Web of Science")</f>
        <v>View Full Record in Web of Science</v>
      </c>
    </row>
    <row r="127" ht="12.75" customHeight="1">
      <c r="A127" s="1" t="s">
        <v>72</v>
      </c>
      <c r="B127" s="1" t="s">
        <v>1337</v>
      </c>
      <c r="C127" s="1" t="s">
        <v>74</v>
      </c>
      <c r="D127" s="1" t="s">
        <v>74</v>
      </c>
      <c r="E127" s="1" t="s">
        <v>74</v>
      </c>
      <c r="F127" s="1" t="s">
        <v>1338</v>
      </c>
      <c r="G127" s="1" t="s">
        <v>74</v>
      </c>
      <c r="H127" s="1" t="s">
        <v>74</v>
      </c>
      <c r="I127" s="1" t="s">
        <v>1339</v>
      </c>
      <c r="J127" s="1" t="s">
        <v>1340</v>
      </c>
      <c r="K127" s="1" t="s">
        <v>74</v>
      </c>
      <c r="L127" s="1" t="s">
        <v>74</v>
      </c>
      <c r="M127" s="1" t="s">
        <v>74</v>
      </c>
      <c r="N127" s="1" t="s">
        <v>74</v>
      </c>
      <c r="O127" s="1" t="s">
        <v>74</v>
      </c>
      <c r="P127" s="1" t="s">
        <v>74</v>
      </c>
      <c r="Q127" s="1" t="s">
        <v>74</v>
      </c>
      <c r="R127" s="1" t="s">
        <v>74</v>
      </c>
      <c r="S127" s="1" t="s">
        <v>74</v>
      </c>
      <c r="T127" s="1" t="s">
        <v>74</v>
      </c>
      <c r="U127" s="1" t="s">
        <v>74</v>
      </c>
      <c r="V127" s="1" t="s">
        <v>1341</v>
      </c>
      <c r="W127" s="1" t="s">
        <v>74</v>
      </c>
      <c r="X127" s="1" t="s">
        <v>74</v>
      </c>
      <c r="Y127" s="1" t="s">
        <v>74</v>
      </c>
      <c r="Z127" s="1" t="s">
        <v>74</v>
      </c>
      <c r="AA127" s="1" t="s">
        <v>1342</v>
      </c>
      <c r="AB127" s="1" t="s">
        <v>1343</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1344</v>
      </c>
      <c r="AP127" s="1" t="s">
        <v>74</v>
      </c>
      <c r="AQ127" s="1" t="s">
        <v>74</v>
      </c>
      <c r="AR127" s="1" t="s">
        <v>74</v>
      </c>
      <c r="AS127" s="1" t="s">
        <v>74</v>
      </c>
      <c r="AT127" s="1" t="s">
        <v>1345</v>
      </c>
      <c r="AU127" s="1">
        <v>2020.0</v>
      </c>
      <c r="AV127" s="1">
        <v>11.0</v>
      </c>
      <c r="AW127" s="1" t="s">
        <v>74</v>
      </c>
      <c r="AX127" s="1" t="s">
        <v>74</v>
      </c>
      <c r="AY127" s="1" t="s">
        <v>74</v>
      </c>
      <c r="AZ127" s="1" t="s">
        <v>74</v>
      </c>
      <c r="BA127" s="1" t="s">
        <v>74</v>
      </c>
      <c r="BB127" s="1">
        <v>1450.0</v>
      </c>
      <c r="BC127" s="1">
        <v>1469.0</v>
      </c>
      <c r="BD127" s="1" t="s">
        <v>74</v>
      </c>
      <c r="BE127" s="1" t="s">
        <v>1346</v>
      </c>
      <c r="BF127" s="2" t="str">
        <f>HYPERLINK("http://dx.doi.org/10.3762/bjnano.11.129","http://dx.doi.org/10.3762/bjnano.11.129")</f>
        <v>http://dx.doi.org/10.3762/bjnano.11.129</v>
      </c>
      <c r="BG127" s="1" t="s">
        <v>74</v>
      </c>
      <c r="BH127" s="1" t="s">
        <v>74</v>
      </c>
      <c r="BI127" s="1" t="s">
        <v>74</v>
      </c>
      <c r="BJ127" s="1" t="s">
        <v>74</v>
      </c>
      <c r="BK127" s="1" t="s">
        <v>74</v>
      </c>
      <c r="BL127" s="1" t="s">
        <v>74</v>
      </c>
      <c r="BM127" s="1" t="s">
        <v>74</v>
      </c>
      <c r="BN127" s="1">
        <v>3.3029474E7</v>
      </c>
      <c r="BO127" s="1" t="s">
        <v>74</v>
      </c>
      <c r="BP127" s="1" t="s">
        <v>74</v>
      </c>
      <c r="BQ127" s="1" t="s">
        <v>74</v>
      </c>
      <c r="BR127" s="1" t="s">
        <v>74</v>
      </c>
      <c r="BS127" s="1" t="s">
        <v>1347</v>
      </c>
      <c r="BT127" s="1" t="str">
        <f>HYPERLINK("https%3A%2F%2Fwww.webofscience.com%2Fwos%2Fwoscc%2Ffull-record%2FWOS:000575578800001","View Full Record in Web of Science")</f>
        <v>View Full Record in Web of Science</v>
      </c>
    </row>
    <row r="128" ht="12.75" customHeight="1">
      <c r="A128" s="1" t="s">
        <v>72</v>
      </c>
      <c r="B128" s="1" t="s">
        <v>1348</v>
      </c>
      <c r="C128" s="1" t="s">
        <v>74</v>
      </c>
      <c r="D128" s="1" t="s">
        <v>74</v>
      </c>
      <c r="E128" s="1" t="s">
        <v>74</v>
      </c>
      <c r="F128" s="1" t="s">
        <v>1349</v>
      </c>
      <c r="G128" s="1" t="s">
        <v>74</v>
      </c>
      <c r="H128" s="1" t="s">
        <v>74</v>
      </c>
      <c r="I128" s="1" t="s">
        <v>1350</v>
      </c>
      <c r="J128" s="1" t="s">
        <v>1351</v>
      </c>
      <c r="K128" s="1" t="s">
        <v>74</v>
      </c>
      <c r="L128" s="1" t="s">
        <v>74</v>
      </c>
      <c r="M128" s="1" t="s">
        <v>74</v>
      </c>
      <c r="N128" s="1" t="s">
        <v>74</v>
      </c>
      <c r="O128" s="1" t="s">
        <v>74</v>
      </c>
      <c r="P128" s="1" t="s">
        <v>74</v>
      </c>
      <c r="Q128" s="1" t="s">
        <v>74</v>
      </c>
      <c r="R128" s="1" t="s">
        <v>74</v>
      </c>
      <c r="S128" s="1" t="s">
        <v>74</v>
      </c>
      <c r="T128" s="1" t="s">
        <v>74</v>
      </c>
      <c r="U128" s="1" t="s">
        <v>74</v>
      </c>
      <c r="V128" s="1" t="s">
        <v>74</v>
      </c>
      <c r="W128" s="1" t="s">
        <v>74</v>
      </c>
      <c r="X128" s="1" t="s">
        <v>74</v>
      </c>
      <c r="Y128" s="1" t="s">
        <v>74</v>
      </c>
      <c r="Z128" s="1" t="s">
        <v>74</v>
      </c>
      <c r="AA128" s="1" t="s">
        <v>74</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1352</v>
      </c>
      <c r="AP128" s="1" t="s">
        <v>74</v>
      </c>
      <c r="AQ128" s="1" t="s">
        <v>74</v>
      </c>
      <c r="AR128" s="1" t="s">
        <v>74</v>
      </c>
      <c r="AS128" s="1" t="s">
        <v>74</v>
      </c>
      <c r="AT128" s="1" t="s">
        <v>94</v>
      </c>
      <c r="AU128" s="1">
        <v>2020.0</v>
      </c>
      <c r="AV128" s="1">
        <v>4.0</v>
      </c>
      <c r="AW128" s="1">
        <v>1.0</v>
      </c>
      <c r="AX128" s="1" t="s">
        <v>74</v>
      </c>
      <c r="AY128" s="1" t="s">
        <v>74</v>
      </c>
      <c r="AZ128" s="1" t="s">
        <v>74</v>
      </c>
      <c r="BA128" s="1" t="s">
        <v>74</v>
      </c>
      <c r="BB128" s="1">
        <v>8.0</v>
      </c>
      <c r="BC128" s="1">
        <v>9.0</v>
      </c>
      <c r="BD128" s="1" t="s">
        <v>74</v>
      </c>
      <c r="BE128" s="1" t="s">
        <v>1353</v>
      </c>
      <c r="BF128" s="2" t="str">
        <f>HYPERLINK("http://dx.doi.org/10.1016/S2352-4642(19)30331-1","http://dx.doi.org/10.1016/S2352-4642(19)30331-1")</f>
        <v>http://dx.doi.org/10.1016/S2352-4642(19)30331-1</v>
      </c>
      <c r="BG128" s="1" t="s">
        <v>74</v>
      </c>
      <c r="BH128" s="1" t="s">
        <v>74</v>
      </c>
      <c r="BI128" s="1" t="s">
        <v>74</v>
      </c>
      <c r="BJ128" s="1" t="s">
        <v>74</v>
      </c>
      <c r="BK128" s="1" t="s">
        <v>74</v>
      </c>
      <c r="BL128" s="1" t="s">
        <v>74</v>
      </c>
      <c r="BM128" s="1" t="s">
        <v>74</v>
      </c>
      <c r="BN128" s="1">
        <v>3.1757761E7</v>
      </c>
      <c r="BO128" s="1" t="s">
        <v>74</v>
      </c>
      <c r="BP128" s="1" t="s">
        <v>74</v>
      </c>
      <c r="BQ128" s="1" t="s">
        <v>74</v>
      </c>
      <c r="BR128" s="1" t="s">
        <v>74</v>
      </c>
      <c r="BS128" s="1" t="s">
        <v>1354</v>
      </c>
      <c r="BT128" s="1" t="str">
        <f>HYPERLINK("https%3A%2F%2Fwww.webofscience.com%2Fwos%2Fwoscc%2Ffull-record%2FWOS:000502820800011","View Full Record in Web of Science")</f>
        <v>View Full Record in Web of Science</v>
      </c>
    </row>
    <row r="129" ht="12.75" customHeight="1">
      <c r="A129" s="1" t="s">
        <v>442</v>
      </c>
      <c r="B129" s="1" t="s">
        <v>1355</v>
      </c>
      <c r="C129" s="1" t="s">
        <v>74</v>
      </c>
      <c r="D129" s="1" t="s">
        <v>1356</v>
      </c>
      <c r="E129" s="1" t="s">
        <v>74</v>
      </c>
      <c r="F129" s="1" t="s">
        <v>1357</v>
      </c>
      <c r="G129" s="1" t="s">
        <v>74</v>
      </c>
      <c r="H129" s="1" t="s">
        <v>74</v>
      </c>
      <c r="I129" s="1" t="s">
        <v>1358</v>
      </c>
      <c r="J129" s="1" t="s">
        <v>1359</v>
      </c>
      <c r="K129" s="1" t="s">
        <v>1360</v>
      </c>
      <c r="L129" s="1" t="s">
        <v>74</v>
      </c>
      <c r="M129" s="1" t="s">
        <v>74</v>
      </c>
      <c r="N129" s="1" t="s">
        <v>74</v>
      </c>
      <c r="O129" s="1" t="s">
        <v>74</v>
      </c>
      <c r="P129" s="1" t="s">
        <v>74</v>
      </c>
      <c r="Q129" s="1" t="s">
        <v>74</v>
      </c>
      <c r="R129" s="1" t="s">
        <v>74</v>
      </c>
      <c r="S129" s="1" t="s">
        <v>74</v>
      </c>
      <c r="T129" s="1" t="s">
        <v>74</v>
      </c>
      <c r="U129" s="1" t="s">
        <v>74</v>
      </c>
      <c r="V129" s="1" t="s">
        <v>74</v>
      </c>
      <c r="W129" s="1" t="s">
        <v>74</v>
      </c>
      <c r="X129" s="1" t="s">
        <v>74</v>
      </c>
      <c r="Y129" s="1" t="s">
        <v>74</v>
      </c>
      <c r="Z129" s="1" t="s">
        <v>74</v>
      </c>
      <c r="AA129" s="1" t="s">
        <v>74</v>
      </c>
      <c r="AB129" s="1" t="s">
        <v>74</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74</v>
      </c>
      <c r="AP129" s="1" t="s">
        <v>74</v>
      </c>
      <c r="AQ129" s="1" t="s">
        <v>1361</v>
      </c>
      <c r="AR129" s="1" t="s">
        <v>74</v>
      </c>
      <c r="AS129" s="1" t="s">
        <v>74</v>
      </c>
      <c r="AT129" s="1" t="s">
        <v>74</v>
      </c>
      <c r="AU129" s="1">
        <v>2020.0</v>
      </c>
      <c r="AV129" s="1">
        <v>8.0</v>
      </c>
      <c r="AW129" s="1" t="s">
        <v>74</v>
      </c>
      <c r="AX129" s="1" t="s">
        <v>74</v>
      </c>
      <c r="AY129" s="1" t="s">
        <v>74</v>
      </c>
      <c r="AZ129" s="1" t="s">
        <v>74</v>
      </c>
      <c r="BA129" s="1" t="s">
        <v>74</v>
      </c>
      <c r="BB129" s="1">
        <v>169.0</v>
      </c>
      <c r="BC129" s="1">
        <v>171.0</v>
      </c>
      <c r="BD129" s="1" t="s">
        <v>74</v>
      </c>
      <c r="BE129" s="1" t="s">
        <v>74</v>
      </c>
      <c r="BF129" s="1" t="s">
        <v>74</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1362</v>
      </c>
      <c r="BT129" s="1" t="str">
        <f>HYPERLINK("https%3A%2F%2Fwww.webofscience.com%2Fwos%2Fwoscc%2Ffull-record%2FWOS:000608865900042","View Full Record in Web of Science")</f>
        <v>View Full Record in Web of Science</v>
      </c>
    </row>
    <row r="130" ht="12.75" customHeight="1">
      <c r="A130" s="1" t="s">
        <v>442</v>
      </c>
      <c r="B130" s="1" t="s">
        <v>1363</v>
      </c>
      <c r="C130" s="1" t="s">
        <v>74</v>
      </c>
      <c r="D130" s="1" t="s">
        <v>74</v>
      </c>
      <c r="E130" s="1" t="s">
        <v>962</v>
      </c>
      <c r="F130" s="1" t="s">
        <v>1364</v>
      </c>
      <c r="G130" s="1" t="s">
        <v>74</v>
      </c>
      <c r="H130" s="1" t="s">
        <v>74</v>
      </c>
      <c r="I130" s="1" t="s">
        <v>1365</v>
      </c>
      <c r="J130" s="1" t="s">
        <v>965</v>
      </c>
      <c r="K130" s="1" t="s">
        <v>74</v>
      </c>
      <c r="L130" s="1" t="s">
        <v>74</v>
      </c>
      <c r="M130" s="1" t="s">
        <v>74</v>
      </c>
      <c r="N130" s="1" t="s">
        <v>74</v>
      </c>
      <c r="O130" s="1" t="s">
        <v>74</v>
      </c>
      <c r="P130" s="1" t="s">
        <v>74</v>
      </c>
      <c r="Q130" s="1" t="s">
        <v>74</v>
      </c>
      <c r="R130" s="1" t="s">
        <v>74</v>
      </c>
      <c r="S130" s="1" t="s">
        <v>74</v>
      </c>
      <c r="T130" s="1" t="s">
        <v>74</v>
      </c>
      <c r="U130" s="1" t="s">
        <v>74</v>
      </c>
      <c r="V130" s="1" t="s">
        <v>1366</v>
      </c>
      <c r="W130" s="1" t="s">
        <v>74</v>
      </c>
      <c r="X130" s="1" t="s">
        <v>74</v>
      </c>
      <c r="Y130" s="1" t="s">
        <v>74</v>
      </c>
      <c r="Z130" s="1" t="s">
        <v>74</v>
      </c>
      <c r="AA130" s="1" t="s">
        <v>74</v>
      </c>
      <c r="AB130" s="1" t="s">
        <v>74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74</v>
      </c>
      <c r="AP130" s="1" t="s">
        <v>74</v>
      </c>
      <c r="AQ130" s="1" t="s">
        <v>967</v>
      </c>
      <c r="AR130" s="1" t="s">
        <v>74</v>
      </c>
      <c r="AS130" s="1" t="s">
        <v>74</v>
      </c>
      <c r="AT130" s="1" t="s">
        <v>74</v>
      </c>
      <c r="AU130" s="1">
        <v>2019.0</v>
      </c>
      <c r="AV130" s="1" t="s">
        <v>74</v>
      </c>
      <c r="AW130" s="1" t="s">
        <v>74</v>
      </c>
      <c r="AX130" s="1" t="s">
        <v>74</v>
      </c>
      <c r="AY130" s="1" t="s">
        <v>74</v>
      </c>
      <c r="AZ130" s="1" t="s">
        <v>74</v>
      </c>
      <c r="BA130" s="1" t="s">
        <v>74</v>
      </c>
      <c r="BB130" s="1">
        <v>89.0</v>
      </c>
      <c r="BC130" s="1">
        <v>103.0</v>
      </c>
      <c r="BD130" s="1" t="s">
        <v>74</v>
      </c>
      <c r="BE130" s="1" t="s">
        <v>74</v>
      </c>
      <c r="BF130" s="1" t="s">
        <v>74</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1367</v>
      </c>
      <c r="BT130" s="1" t="str">
        <f>HYPERLINK("https%3A%2F%2Fwww.webofscience.com%2Fwos%2Fwoscc%2Ffull-record%2FWOS:000886992800008","View Full Record in Web of Science")</f>
        <v>View Full Record in Web of Science</v>
      </c>
    </row>
    <row r="131" ht="12.75" customHeight="1">
      <c r="A131" s="1" t="s">
        <v>241</v>
      </c>
      <c r="B131" s="1" t="s">
        <v>1368</v>
      </c>
      <c r="C131" s="1" t="s">
        <v>74</v>
      </c>
      <c r="D131" s="1" t="s">
        <v>969</v>
      </c>
      <c r="E131" s="1" t="s">
        <v>74</v>
      </c>
      <c r="F131" s="1" t="s">
        <v>1369</v>
      </c>
      <c r="G131" s="1" t="s">
        <v>74</v>
      </c>
      <c r="H131" s="1" t="s">
        <v>74</v>
      </c>
      <c r="I131" s="1" t="s">
        <v>1370</v>
      </c>
      <c r="J131" s="1" t="s">
        <v>971</v>
      </c>
      <c r="K131" s="1" t="s">
        <v>74</v>
      </c>
      <c r="L131" s="1" t="s">
        <v>74</v>
      </c>
      <c r="M131" s="1" t="s">
        <v>74</v>
      </c>
      <c r="N131" s="1" t="s">
        <v>74</v>
      </c>
      <c r="O131" s="1" t="s">
        <v>972</v>
      </c>
      <c r="P131" s="1" t="s">
        <v>973</v>
      </c>
      <c r="Q131" s="1" t="s">
        <v>974</v>
      </c>
      <c r="R131" s="1" t="s">
        <v>975</v>
      </c>
      <c r="S131" s="1" t="s">
        <v>74</v>
      </c>
      <c r="T131" s="1" t="s">
        <v>74</v>
      </c>
      <c r="U131" s="1" t="s">
        <v>74</v>
      </c>
      <c r="V131" s="1" t="s">
        <v>1371</v>
      </c>
      <c r="W131" s="1" t="s">
        <v>74</v>
      </c>
      <c r="X131" s="1" t="s">
        <v>74</v>
      </c>
      <c r="Y131" s="1" t="s">
        <v>74</v>
      </c>
      <c r="Z131" s="1" t="s">
        <v>74</v>
      </c>
      <c r="AA131" s="1" t="s">
        <v>1372</v>
      </c>
      <c r="AB131" s="1" t="s">
        <v>74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74</v>
      </c>
      <c r="AP131" s="1" t="s">
        <v>74</v>
      </c>
      <c r="AQ131" s="1" t="s">
        <v>977</v>
      </c>
      <c r="AR131" s="1" t="s">
        <v>74</v>
      </c>
      <c r="AS131" s="1" t="s">
        <v>74</v>
      </c>
      <c r="AT131" s="1" t="s">
        <v>74</v>
      </c>
      <c r="AU131" s="1">
        <v>2018.0</v>
      </c>
      <c r="AV131" s="1" t="s">
        <v>74</v>
      </c>
      <c r="AW131" s="1" t="s">
        <v>74</v>
      </c>
      <c r="AX131" s="1" t="s">
        <v>74</v>
      </c>
      <c r="AY131" s="1" t="s">
        <v>74</v>
      </c>
      <c r="AZ131" s="1" t="s">
        <v>74</v>
      </c>
      <c r="BA131" s="1" t="s">
        <v>74</v>
      </c>
      <c r="BB131" s="1" t="s">
        <v>74</v>
      </c>
      <c r="BC131" s="1" t="s">
        <v>74</v>
      </c>
      <c r="BD131" s="1" t="s">
        <v>74</v>
      </c>
      <c r="BE131" s="1" t="s">
        <v>74</v>
      </c>
      <c r="BF131" s="1" t="s">
        <v>74</v>
      </c>
      <c r="BG131" s="1" t="s">
        <v>74</v>
      </c>
      <c r="BH131" s="1" t="s">
        <v>74</v>
      </c>
      <c r="BI131" s="1" t="s">
        <v>74</v>
      </c>
      <c r="BJ131" s="1" t="s">
        <v>74</v>
      </c>
      <c r="BK131" s="1" t="s">
        <v>74</v>
      </c>
      <c r="BL131" s="1" t="s">
        <v>74</v>
      </c>
      <c r="BM131" s="1" t="s">
        <v>74</v>
      </c>
      <c r="BN131" s="1" t="s">
        <v>74</v>
      </c>
      <c r="BO131" s="1" t="s">
        <v>74</v>
      </c>
      <c r="BP131" s="1" t="s">
        <v>74</v>
      </c>
      <c r="BQ131" s="1" t="s">
        <v>74</v>
      </c>
      <c r="BR131" s="1" t="s">
        <v>74</v>
      </c>
      <c r="BS131" s="1" t="s">
        <v>1373</v>
      </c>
      <c r="BT131" s="1" t="str">
        <f>HYPERLINK("https%3A%2F%2Fwww.webofscience.com%2Fwos%2Fwoscc%2Ffull-record%2FWOS:000458417600094","View Full Record in Web of Science")</f>
        <v>View Full Record in Web of Science</v>
      </c>
    </row>
    <row r="132" ht="12.75" customHeight="1">
      <c r="A132" s="1" t="s">
        <v>72</v>
      </c>
      <c r="B132" s="1" t="s">
        <v>1374</v>
      </c>
      <c r="C132" s="1" t="s">
        <v>74</v>
      </c>
      <c r="D132" s="1" t="s">
        <v>74</v>
      </c>
      <c r="E132" s="1" t="s">
        <v>74</v>
      </c>
      <c r="F132" s="1" t="s">
        <v>1375</v>
      </c>
      <c r="G132" s="1" t="s">
        <v>74</v>
      </c>
      <c r="H132" s="1" t="s">
        <v>74</v>
      </c>
      <c r="I132" s="1" t="s">
        <v>1376</v>
      </c>
      <c r="J132" s="1" t="s">
        <v>1377</v>
      </c>
      <c r="K132" s="1" t="s">
        <v>74</v>
      </c>
      <c r="L132" s="1" t="s">
        <v>74</v>
      </c>
      <c r="M132" s="1" t="s">
        <v>74</v>
      </c>
      <c r="N132" s="1" t="s">
        <v>74</v>
      </c>
      <c r="O132" s="1" t="s">
        <v>74</v>
      </c>
      <c r="P132" s="1" t="s">
        <v>74</v>
      </c>
      <c r="Q132" s="1" t="s">
        <v>74</v>
      </c>
      <c r="R132" s="1" t="s">
        <v>74</v>
      </c>
      <c r="S132" s="1" t="s">
        <v>74</v>
      </c>
      <c r="T132" s="1" t="s">
        <v>74</v>
      </c>
      <c r="U132" s="1" t="s">
        <v>74</v>
      </c>
      <c r="V132" s="1" t="s">
        <v>1378</v>
      </c>
      <c r="W132" s="1" t="s">
        <v>74</v>
      </c>
      <c r="X132" s="1" t="s">
        <v>74</v>
      </c>
      <c r="Y132" s="1" t="s">
        <v>74</v>
      </c>
      <c r="Z132" s="1" t="s">
        <v>74</v>
      </c>
      <c r="AA132" s="1" t="s">
        <v>1379</v>
      </c>
      <c r="AB132" s="1" t="s">
        <v>1380</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1381</v>
      </c>
      <c r="AP132" s="1" t="s">
        <v>1382</v>
      </c>
      <c r="AQ132" s="1" t="s">
        <v>74</v>
      </c>
      <c r="AR132" s="1" t="s">
        <v>74</v>
      </c>
      <c r="AS132" s="1" t="s">
        <v>74</v>
      </c>
      <c r="AT132" s="1" t="s">
        <v>1383</v>
      </c>
      <c r="AU132" s="1">
        <v>2017.0</v>
      </c>
      <c r="AV132" s="1">
        <v>96.0</v>
      </c>
      <c r="AW132" s="1">
        <v>5.0</v>
      </c>
      <c r="AX132" s="1" t="s">
        <v>74</v>
      </c>
      <c r="AY132" s="1" t="s">
        <v>74</v>
      </c>
      <c r="AZ132" s="1" t="s">
        <v>74</v>
      </c>
      <c r="BA132" s="1" t="s">
        <v>74</v>
      </c>
      <c r="BB132" s="1" t="s">
        <v>74</v>
      </c>
      <c r="BC132" s="1" t="s">
        <v>74</v>
      </c>
      <c r="BD132" s="1">
        <v>52119.0</v>
      </c>
      <c r="BE132" s="1" t="s">
        <v>1384</v>
      </c>
      <c r="BF132" s="2" t="str">
        <f>HYPERLINK("http://dx.doi.org/10.1103/PhysRevA.96.052119","http://dx.doi.org/10.1103/PhysRevA.96.052119")</f>
        <v>http://dx.doi.org/10.1103/PhysRevA.96.052119</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1385</v>
      </c>
      <c r="BT132" s="1" t="str">
        <f>HYPERLINK("https%3A%2F%2Fwww.webofscience.com%2Fwos%2Fwoscc%2Ffull-record%2FWOS:000415318400002","View Full Record in Web of Science")</f>
        <v>View Full Record in Web of Science</v>
      </c>
    </row>
    <row r="133" ht="12.75" customHeight="1">
      <c r="A133" s="1" t="s">
        <v>72</v>
      </c>
      <c r="B133" s="1" t="s">
        <v>1386</v>
      </c>
      <c r="C133" s="1" t="s">
        <v>74</v>
      </c>
      <c r="D133" s="1" t="s">
        <v>74</v>
      </c>
      <c r="E133" s="1" t="s">
        <v>74</v>
      </c>
      <c r="F133" s="1" t="s">
        <v>1387</v>
      </c>
      <c r="G133" s="1" t="s">
        <v>74</v>
      </c>
      <c r="H133" s="1" t="s">
        <v>74</v>
      </c>
      <c r="I133" s="1" t="s">
        <v>1388</v>
      </c>
      <c r="J133" s="1" t="s">
        <v>1389</v>
      </c>
      <c r="K133" s="1" t="s">
        <v>74</v>
      </c>
      <c r="L133" s="1" t="s">
        <v>74</v>
      </c>
      <c r="M133" s="1" t="s">
        <v>74</v>
      </c>
      <c r="N133" s="1" t="s">
        <v>74</v>
      </c>
      <c r="O133" s="1" t="s">
        <v>74</v>
      </c>
      <c r="P133" s="1" t="s">
        <v>74</v>
      </c>
      <c r="Q133" s="1" t="s">
        <v>74</v>
      </c>
      <c r="R133" s="1" t="s">
        <v>74</v>
      </c>
      <c r="S133" s="1" t="s">
        <v>74</v>
      </c>
      <c r="T133" s="1" t="s">
        <v>74</v>
      </c>
      <c r="U133" s="1" t="s">
        <v>74</v>
      </c>
      <c r="V133" s="1" t="s">
        <v>1390</v>
      </c>
      <c r="W133" s="1" t="s">
        <v>74</v>
      </c>
      <c r="X133" s="1" t="s">
        <v>74</v>
      </c>
      <c r="Y133" s="1" t="s">
        <v>74</v>
      </c>
      <c r="Z133" s="1" t="s">
        <v>74</v>
      </c>
      <c r="AA133" s="1" t="s">
        <v>74</v>
      </c>
      <c r="AB133" s="1" t="s">
        <v>74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1391</v>
      </c>
      <c r="AP133" s="1" t="s">
        <v>1392</v>
      </c>
      <c r="AQ133" s="1" t="s">
        <v>74</v>
      </c>
      <c r="AR133" s="1" t="s">
        <v>74</v>
      </c>
      <c r="AS133" s="1" t="s">
        <v>74</v>
      </c>
      <c r="AT133" s="1" t="s">
        <v>74</v>
      </c>
      <c r="AU133" s="1">
        <v>2017.0</v>
      </c>
      <c r="AV133" s="1">
        <v>73.0</v>
      </c>
      <c r="AW133" s="1" t="s">
        <v>74</v>
      </c>
      <c r="AX133" s="1" t="s">
        <v>74</v>
      </c>
      <c r="AY133" s="1" t="s">
        <v>74</v>
      </c>
      <c r="AZ133" s="1" t="s">
        <v>74</v>
      </c>
      <c r="BA133" s="1" t="s">
        <v>74</v>
      </c>
      <c r="BB133" s="1">
        <v>337.0</v>
      </c>
      <c r="BC133" s="1">
        <v>350.0</v>
      </c>
      <c r="BD133" s="1" t="s">
        <v>74</v>
      </c>
      <c r="BE133" s="1" t="s">
        <v>74</v>
      </c>
      <c r="BF133" s="1" t="s">
        <v>74</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1393</v>
      </c>
      <c r="BT133" s="1" t="str">
        <f>HYPERLINK("https%3A%2F%2Fwww.webofscience.com%2Fwos%2Fwoscc%2Ffull-record%2FWOS:000424545600023","View Full Record in Web of Science")</f>
        <v>View Full Record in Web of Science</v>
      </c>
    </row>
    <row r="134" ht="12.75" customHeight="1">
      <c r="A134" s="1" t="s">
        <v>72</v>
      </c>
      <c r="B134" s="1" t="s">
        <v>1394</v>
      </c>
      <c r="C134" s="1" t="s">
        <v>74</v>
      </c>
      <c r="D134" s="1" t="s">
        <v>74</v>
      </c>
      <c r="E134" s="1" t="s">
        <v>74</v>
      </c>
      <c r="F134" s="1" t="s">
        <v>1395</v>
      </c>
      <c r="G134" s="1" t="s">
        <v>74</v>
      </c>
      <c r="H134" s="1" t="s">
        <v>74</v>
      </c>
      <c r="I134" s="1" t="s">
        <v>1396</v>
      </c>
      <c r="J134" s="1" t="s">
        <v>1397</v>
      </c>
      <c r="K134" s="1" t="s">
        <v>74</v>
      </c>
      <c r="L134" s="1" t="s">
        <v>74</v>
      </c>
      <c r="M134" s="1" t="s">
        <v>74</v>
      </c>
      <c r="N134" s="1" t="s">
        <v>74</v>
      </c>
      <c r="O134" s="1" t="s">
        <v>74</v>
      </c>
      <c r="P134" s="1" t="s">
        <v>74</v>
      </c>
      <c r="Q134" s="1" t="s">
        <v>74</v>
      </c>
      <c r="R134" s="1" t="s">
        <v>74</v>
      </c>
      <c r="S134" s="1" t="s">
        <v>74</v>
      </c>
      <c r="T134" s="1" t="s">
        <v>74</v>
      </c>
      <c r="U134" s="1" t="s">
        <v>74</v>
      </c>
      <c r="V134" s="1" t="s">
        <v>1398</v>
      </c>
      <c r="W134" s="1" t="s">
        <v>74</v>
      </c>
      <c r="X134" s="1" t="s">
        <v>74</v>
      </c>
      <c r="Y134" s="1" t="s">
        <v>74</v>
      </c>
      <c r="Z134" s="1" t="s">
        <v>74</v>
      </c>
      <c r="AA134" s="1" t="s">
        <v>1399</v>
      </c>
      <c r="AB134" s="1" t="s">
        <v>1400</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1401</v>
      </c>
      <c r="AP134" s="1" t="s">
        <v>1402</v>
      </c>
      <c r="AQ134" s="1" t="s">
        <v>74</v>
      </c>
      <c r="AR134" s="1" t="s">
        <v>74</v>
      </c>
      <c r="AS134" s="1" t="s">
        <v>74</v>
      </c>
      <c r="AT134" s="1" t="s">
        <v>160</v>
      </c>
      <c r="AU134" s="1">
        <v>2014.0</v>
      </c>
      <c r="AV134" s="1">
        <v>141.0</v>
      </c>
      <c r="AW134" s="1" t="s">
        <v>74</v>
      </c>
      <c r="AX134" s="1" t="s">
        <v>74</v>
      </c>
      <c r="AY134" s="1" t="s">
        <v>74</v>
      </c>
      <c r="AZ134" s="1" t="s">
        <v>74</v>
      </c>
      <c r="BA134" s="1" t="s">
        <v>74</v>
      </c>
      <c r="BB134" s="1">
        <v>275.0</v>
      </c>
      <c r="BC134" s="1">
        <v>282.0</v>
      </c>
      <c r="BD134" s="1" t="s">
        <v>74</v>
      </c>
      <c r="BE134" s="1" t="s">
        <v>1403</v>
      </c>
      <c r="BF134" s="2" t="str">
        <f>HYPERLINK("http://dx.doi.org/10.1016/j.jphotobiol.2014.09.014","http://dx.doi.org/10.1016/j.jphotobiol.2014.09.014")</f>
        <v>http://dx.doi.org/10.1016/j.jphotobiol.2014.09.014</v>
      </c>
      <c r="BG134" s="1" t="s">
        <v>74</v>
      </c>
      <c r="BH134" s="1" t="s">
        <v>74</v>
      </c>
      <c r="BI134" s="1" t="s">
        <v>74</v>
      </c>
      <c r="BJ134" s="1" t="s">
        <v>74</v>
      </c>
      <c r="BK134" s="1" t="s">
        <v>74</v>
      </c>
      <c r="BL134" s="1" t="s">
        <v>74</v>
      </c>
      <c r="BM134" s="1" t="s">
        <v>74</v>
      </c>
      <c r="BN134" s="1">
        <v>2.5463678E7</v>
      </c>
      <c r="BO134" s="1" t="s">
        <v>74</v>
      </c>
      <c r="BP134" s="1" t="s">
        <v>74</v>
      </c>
      <c r="BQ134" s="1" t="s">
        <v>74</v>
      </c>
      <c r="BR134" s="1" t="s">
        <v>74</v>
      </c>
      <c r="BS134" s="1" t="s">
        <v>1404</v>
      </c>
      <c r="BT134" s="1" t="str">
        <f>HYPERLINK("https%3A%2F%2Fwww.webofscience.com%2Fwos%2Fwoscc%2Ffull-record%2FWOS:000347662400034","View Full Record in Web of Science")</f>
        <v>View Full Record in Web of Science</v>
      </c>
    </row>
    <row r="135" ht="12.75" customHeight="1">
      <c r="A135" s="1" t="s">
        <v>72</v>
      </c>
      <c r="B135" s="1" t="s">
        <v>1405</v>
      </c>
      <c r="C135" s="1" t="s">
        <v>74</v>
      </c>
      <c r="D135" s="1" t="s">
        <v>74</v>
      </c>
      <c r="E135" s="1" t="s">
        <v>74</v>
      </c>
      <c r="F135" s="1" t="s">
        <v>1406</v>
      </c>
      <c r="G135" s="1" t="s">
        <v>74</v>
      </c>
      <c r="H135" s="1" t="s">
        <v>74</v>
      </c>
      <c r="I135" s="1" t="s">
        <v>1407</v>
      </c>
      <c r="J135" s="1" t="s">
        <v>268</v>
      </c>
      <c r="K135" s="1" t="s">
        <v>74</v>
      </c>
      <c r="L135" s="1" t="s">
        <v>74</v>
      </c>
      <c r="M135" s="1" t="s">
        <v>74</v>
      </c>
      <c r="N135" s="1" t="s">
        <v>74</v>
      </c>
      <c r="O135" s="1" t="s">
        <v>74</v>
      </c>
      <c r="P135" s="1" t="s">
        <v>74</v>
      </c>
      <c r="Q135" s="1" t="s">
        <v>74</v>
      </c>
      <c r="R135" s="1" t="s">
        <v>74</v>
      </c>
      <c r="S135" s="1" t="s">
        <v>74</v>
      </c>
      <c r="T135" s="1" t="s">
        <v>74</v>
      </c>
      <c r="U135" s="1" t="s">
        <v>74</v>
      </c>
      <c r="V135" s="1" t="s">
        <v>1408</v>
      </c>
      <c r="W135" s="1" t="s">
        <v>74</v>
      </c>
      <c r="X135" s="1" t="s">
        <v>74</v>
      </c>
      <c r="Y135" s="1" t="s">
        <v>74</v>
      </c>
      <c r="Z135" s="1" t="s">
        <v>74</v>
      </c>
      <c r="AA135" s="1" t="s">
        <v>1409</v>
      </c>
      <c r="AB135" s="1" t="s">
        <v>1410</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272</v>
      </c>
      <c r="AP135" s="1" t="s">
        <v>273</v>
      </c>
      <c r="AQ135" s="1" t="s">
        <v>74</v>
      </c>
      <c r="AR135" s="1" t="s">
        <v>74</v>
      </c>
      <c r="AS135" s="1" t="s">
        <v>74</v>
      </c>
      <c r="AT135" s="1" t="s">
        <v>501</v>
      </c>
      <c r="AU135" s="1">
        <v>2012.0</v>
      </c>
      <c r="AV135" s="1">
        <v>324.0</v>
      </c>
      <c r="AW135" s="1">
        <v>22.0</v>
      </c>
      <c r="AX135" s="1" t="s">
        <v>74</v>
      </c>
      <c r="AY135" s="1" t="s">
        <v>74</v>
      </c>
      <c r="AZ135" s="1" t="s">
        <v>74</v>
      </c>
      <c r="BA135" s="1" t="s">
        <v>74</v>
      </c>
      <c r="BB135" s="1">
        <v>3829.0</v>
      </c>
      <c r="BC135" s="1">
        <v>3833.0</v>
      </c>
      <c r="BD135" s="1" t="s">
        <v>74</v>
      </c>
      <c r="BE135" s="1" t="s">
        <v>1411</v>
      </c>
      <c r="BF135" s="2" t="str">
        <f>HYPERLINK("http://dx.doi.org/10.1016/j.jmmm.2012.06.023","http://dx.doi.org/10.1016/j.jmmm.2012.06.023")</f>
        <v>http://dx.doi.org/10.1016/j.jmmm.2012.06.023</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1412</v>
      </c>
      <c r="BT135" s="1" t="str">
        <f>HYPERLINK("https%3A%2F%2Fwww.webofscience.com%2Fwos%2Fwoscc%2Ffull-record%2FWOS:000307299700039","View Full Record in Web of Science")</f>
        <v>View Full Record in Web of Science</v>
      </c>
    </row>
    <row r="136" ht="12.75" customHeight="1">
      <c r="A136" s="1" t="s">
        <v>72</v>
      </c>
      <c r="B136" s="1" t="s">
        <v>1413</v>
      </c>
      <c r="C136" s="1" t="s">
        <v>74</v>
      </c>
      <c r="D136" s="1" t="s">
        <v>74</v>
      </c>
      <c r="E136" s="1" t="s">
        <v>74</v>
      </c>
      <c r="F136" s="1" t="s">
        <v>1414</v>
      </c>
      <c r="G136" s="1" t="s">
        <v>74</v>
      </c>
      <c r="H136" s="1" t="s">
        <v>74</v>
      </c>
      <c r="I136" s="1" t="s">
        <v>1415</v>
      </c>
      <c r="J136" s="1" t="s">
        <v>1416</v>
      </c>
      <c r="K136" s="1" t="s">
        <v>74</v>
      </c>
      <c r="L136" s="1" t="s">
        <v>74</v>
      </c>
      <c r="M136" s="1" t="s">
        <v>74</v>
      </c>
      <c r="N136" s="1" t="s">
        <v>74</v>
      </c>
      <c r="O136" s="1" t="s">
        <v>74</v>
      </c>
      <c r="P136" s="1" t="s">
        <v>74</v>
      </c>
      <c r="Q136" s="1" t="s">
        <v>74</v>
      </c>
      <c r="R136" s="1" t="s">
        <v>74</v>
      </c>
      <c r="S136" s="1" t="s">
        <v>74</v>
      </c>
      <c r="T136" s="1" t="s">
        <v>74</v>
      </c>
      <c r="U136" s="1" t="s">
        <v>74</v>
      </c>
      <c r="V136" s="1" t="s">
        <v>1417</v>
      </c>
      <c r="W136" s="1" t="s">
        <v>74</v>
      </c>
      <c r="X136" s="1" t="s">
        <v>74</v>
      </c>
      <c r="Y136" s="1" t="s">
        <v>74</v>
      </c>
      <c r="Z136" s="1" t="s">
        <v>74</v>
      </c>
      <c r="AA136" s="1" t="s">
        <v>74</v>
      </c>
      <c r="AB136" s="1" t="s">
        <v>74</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1418</v>
      </c>
      <c r="AP136" s="1" t="s">
        <v>1419</v>
      </c>
      <c r="AQ136" s="1" t="s">
        <v>74</v>
      </c>
      <c r="AR136" s="1" t="s">
        <v>74</v>
      </c>
      <c r="AS136" s="1" t="s">
        <v>74</v>
      </c>
      <c r="AT136" s="1" t="s">
        <v>116</v>
      </c>
      <c r="AU136" s="1">
        <v>2010.0</v>
      </c>
      <c r="AV136" s="1">
        <v>92.0</v>
      </c>
      <c r="AW136" s="1">
        <v>7.0</v>
      </c>
      <c r="AX136" s="1" t="s">
        <v>74</v>
      </c>
      <c r="AY136" s="1" t="s">
        <v>74</v>
      </c>
      <c r="AZ136" s="1" t="s">
        <v>74</v>
      </c>
      <c r="BA136" s="1" t="s">
        <v>74</v>
      </c>
      <c r="BB136" s="1">
        <v>814.0</v>
      </c>
      <c r="BC136" s="1">
        <v>819.0</v>
      </c>
      <c r="BD136" s="1" t="s">
        <v>74</v>
      </c>
      <c r="BE136" s="1" t="s">
        <v>1420</v>
      </c>
      <c r="BF136" s="2" t="str">
        <f>HYPERLINK("http://dx.doi.org/10.1016/j.biochi.2010.02.032","http://dx.doi.org/10.1016/j.biochi.2010.02.032")</f>
        <v>http://dx.doi.org/10.1016/j.biochi.2010.02.032</v>
      </c>
      <c r="BG136" s="1" t="s">
        <v>74</v>
      </c>
      <c r="BH136" s="1" t="s">
        <v>74</v>
      </c>
      <c r="BI136" s="1" t="s">
        <v>74</v>
      </c>
      <c r="BJ136" s="1" t="s">
        <v>74</v>
      </c>
      <c r="BK136" s="1" t="s">
        <v>74</v>
      </c>
      <c r="BL136" s="1" t="s">
        <v>74</v>
      </c>
      <c r="BM136" s="1" t="s">
        <v>74</v>
      </c>
      <c r="BN136" s="1">
        <v>2.0211682E7</v>
      </c>
      <c r="BO136" s="1" t="s">
        <v>74</v>
      </c>
      <c r="BP136" s="1" t="s">
        <v>74</v>
      </c>
      <c r="BQ136" s="1" t="s">
        <v>74</v>
      </c>
      <c r="BR136" s="1" t="s">
        <v>74</v>
      </c>
      <c r="BS136" s="1" t="s">
        <v>1421</v>
      </c>
      <c r="BT136" s="1" t="str">
        <f>HYPERLINK("https%3A%2F%2Fwww.webofscience.com%2Fwos%2Fwoscc%2Ffull-record%2FWOS:000279474800011","View Full Record in Web of Science")</f>
        <v>View Full Record in Web of Science</v>
      </c>
    </row>
    <row r="137" ht="12.75" customHeight="1">
      <c r="A137" s="1" t="s">
        <v>72</v>
      </c>
      <c r="B137" s="1" t="s">
        <v>1422</v>
      </c>
      <c r="C137" s="1" t="s">
        <v>74</v>
      </c>
      <c r="D137" s="1" t="s">
        <v>74</v>
      </c>
      <c r="E137" s="1" t="s">
        <v>74</v>
      </c>
      <c r="F137" s="1" t="s">
        <v>1423</v>
      </c>
      <c r="G137" s="1" t="s">
        <v>74</v>
      </c>
      <c r="H137" s="1" t="s">
        <v>74</v>
      </c>
      <c r="I137" s="1" t="s">
        <v>1424</v>
      </c>
      <c r="J137" s="1" t="s">
        <v>953</v>
      </c>
      <c r="K137" s="1" t="s">
        <v>74</v>
      </c>
      <c r="L137" s="1" t="s">
        <v>74</v>
      </c>
      <c r="M137" s="1" t="s">
        <v>74</v>
      </c>
      <c r="N137" s="1" t="s">
        <v>74</v>
      </c>
      <c r="O137" s="1" t="s">
        <v>74</v>
      </c>
      <c r="P137" s="1" t="s">
        <v>74</v>
      </c>
      <c r="Q137" s="1" t="s">
        <v>74</v>
      </c>
      <c r="R137" s="1" t="s">
        <v>74</v>
      </c>
      <c r="S137" s="1" t="s">
        <v>74</v>
      </c>
      <c r="T137" s="1" t="s">
        <v>74</v>
      </c>
      <c r="U137" s="1" t="s">
        <v>74</v>
      </c>
      <c r="V137" s="1" t="s">
        <v>1425</v>
      </c>
      <c r="W137" s="1" t="s">
        <v>74</v>
      </c>
      <c r="X137" s="1" t="s">
        <v>74</v>
      </c>
      <c r="Y137" s="1" t="s">
        <v>74</v>
      </c>
      <c r="Z137" s="1" t="s">
        <v>74</v>
      </c>
      <c r="AA137" s="1" t="s">
        <v>1426</v>
      </c>
      <c r="AB137" s="1" t="s">
        <v>1427</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957</v>
      </c>
      <c r="AP137" s="1" t="s">
        <v>958</v>
      </c>
      <c r="AQ137" s="1" t="s">
        <v>74</v>
      </c>
      <c r="AR137" s="1" t="s">
        <v>74</v>
      </c>
      <c r="AS137" s="1" t="s">
        <v>74</v>
      </c>
      <c r="AT137" s="1" t="s">
        <v>1428</v>
      </c>
      <c r="AU137" s="1">
        <v>2025.0</v>
      </c>
      <c r="AV137" s="1" t="s">
        <v>74</v>
      </c>
      <c r="AW137" s="1" t="s">
        <v>74</v>
      </c>
      <c r="AX137" s="1" t="s">
        <v>74</v>
      </c>
      <c r="AY137" s="1" t="s">
        <v>74</v>
      </c>
      <c r="AZ137" s="1" t="s">
        <v>74</v>
      </c>
      <c r="BA137" s="1" t="s">
        <v>74</v>
      </c>
      <c r="BB137" s="1" t="s">
        <v>74</v>
      </c>
      <c r="BC137" s="1" t="s">
        <v>74</v>
      </c>
      <c r="BD137" s="1" t="s">
        <v>74</v>
      </c>
      <c r="BE137" s="1" t="s">
        <v>1429</v>
      </c>
      <c r="BF137" s="2" t="str">
        <f>HYPERLINK("http://dx.doi.org/10.1002/pc.29628","http://dx.doi.org/10.1002/pc.29628")</f>
        <v>http://dx.doi.org/10.1002/pc.29628</v>
      </c>
      <c r="BG137" s="1" t="s">
        <v>74</v>
      </c>
      <c r="BH137" s="1" t="s">
        <v>1430</v>
      </c>
      <c r="BI137" s="1" t="s">
        <v>74</v>
      </c>
      <c r="BJ137" s="1" t="s">
        <v>74</v>
      </c>
      <c r="BK137" s="1" t="s">
        <v>74</v>
      </c>
      <c r="BL137" s="1" t="s">
        <v>74</v>
      </c>
      <c r="BM137" s="1" t="s">
        <v>74</v>
      </c>
      <c r="BN137" s="1" t="s">
        <v>74</v>
      </c>
      <c r="BO137" s="1" t="s">
        <v>74</v>
      </c>
      <c r="BP137" s="1" t="s">
        <v>74</v>
      </c>
      <c r="BQ137" s="1" t="s">
        <v>74</v>
      </c>
      <c r="BR137" s="1" t="s">
        <v>74</v>
      </c>
      <c r="BS137" s="1" t="s">
        <v>1431</v>
      </c>
      <c r="BT137" s="1" t="str">
        <f>HYPERLINK("https%3A%2F%2Fwww.webofscience.com%2Fwos%2Fwoscc%2Ffull-record%2FWOS:001427140500001","View Full Record in Web of Science")</f>
        <v>View Full Record in Web of Science</v>
      </c>
    </row>
    <row r="138" ht="12.75" customHeight="1">
      <c r="A138" s="1" t="s">
        <v>72</v>
      </c>
      <c r="B138" s="1" t="s">
        <v>1432</v>
      </c>
      <c r="C138" s="1" t="s">
        <v>74</v>
      </c>
      <c r="D138" s="1" t="s">
        <v>74</v>
      </c>
      <c r="E138" s="1" t="s">
        <v>74</v>
      </c>
      <c r="F138" s="1" t="s">
        <v>1433</v>
      </c>
      <c r="G138" s="1" t="s">
        <v>74</v>
      </c>
      <c r="H138" s="1" t="s">
        <v>74</v>
      </c>
      <c r="I138" s="1" t="s">
        <v>1434</v>
      </c>
      <c r="J138" s="1" t="s">
        <v>1435</v>
      </c>
      <c r="K138" s="1" t="s">
        <v>74</v>
      </c>
      <c r="L138" s="1" t="s">
        <v>74</v>
      </c>
      <c r="M138" s="1" t="s">
        <v>74</v>
      </c>
      <c r="N138" s="1" t="s">
        <v>74</v>
      </c>
      <c r="O138" s="1" t="s">
        <v>74</v>
      </c>
      <c r="P138" s="1" t="s">
        <v>74</v>
      </c>
      <c r="Q138" s="1" t="s">
        <v>74</v>
      </c>
      <c r="R138" s="1" t="s">
        <v>74</v>
      </c>
      <c r="S138" s="1" t="s">
        <v>74</v>
      </c>
      <c r="T138" s="1" t="s">
        <v>74</v>
      </c>
      <c r="U138" s="1" t="s">
        <v>74</v>
      </c>
      <c r="V138" s="1" t="s">
        <v>1436</v>
      </c>
      <c r="W138" s="1" t="s">
        <v>74</v>
      </c>
      <c r="X138" s="1" t="s">
        <v>74</v>
      </c>
      <c r="Y138" s="1" t="s">
        <v>74</v>
      </c>
      <c r="Z138" s="1" t="s">
        <v>74</v>
      </c>
      <c r="AA138" s="1" t="s">
        <v>1437</v>
      </c>
      <c r="AB138" s="1" t="s">
        <v>1438</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1439</v>
      </c>
      <c r="AP138" s="1" t="s">
        <v>1440</v>
      </c>
      <c r="AQ138" s="1" t="s">
        <v>74</v>
      </c>
      <c r="AR138" s="1" t="s">
        <v>74</v>
      </c>
      <c r="AS138" s="1" t="s">
        <v>74</v>
      </c>
      <c r="AT138" s="1" t="s">
        <v>1441</v>
      </c>
      <c r="AU138" s="1">
        <v>2024.0</v>
      </c>
      <c r="AV138" s="1" t="s">
        <v>74</v>
      </c>
      <c r="AW138" s="1" t="s">
        <v>74</v>
      </c>
      <c r="AX138" s="1" t="s">
        <v>74</v>
      </c>
      <c r="AY138" s="1" t="s">
        <v>74</v>
      </c>
      <c r="AZ138" s="1" t="s">
        <v>74</v>
      </c>
      <c r="BA138" s="1" t="s">
        <v>74</v>
      </c>
      <c r="BB138" s="1" t="s">
        <v>74</v>
      </c>
      <c r="BC138" s="1" t="s">
        <v>74</v>
      </c>
      <c r="BD138" s="1" t="s">
        <v>74</v>
      </c>
      <c r="BE138" s="1" t="s">
        <v>1442</v>
      </c>
      <c r="BF138" s="2" t="str">
        <f>HYPERLINK("http://dx.doi.org/10.1142/S0129055X24500430","http://dx.doi.org/10.1142/S0129055X24500430")</f>
        <v>http://dx.doi.org/10.1142/S0129055X24500430</v>
      </c>
      <c r="BG138" s="1" t="s">
        <v>74</v>
      </c>
      <c r="BH138" s="1" t="s">
        <v>1443</v>
      </c>
      <c r="BI138" s="1" t="s">
        <v>74</v>
      </c>
      <c r="BJ138" s="1" t="s">
        <v>74</v>
      </c>
      <c r="BK138" s="1" t="s">
        <v>74</v>
      </c>
      <c r="BL138" s="1" t="s">
        <v>74</v>
      </c>
      <c r="BM138" s="1" t="s">
        <v>74</v>
      </c>
      <c r="BN138" s="1" t="s">
        <v>74</v>
      </c>
      <c r="BO138" s="1" t="s">
        <v>74</v>
      </c>
      <c r="BP138" s="1" t="s">
        <v>74</v>
      </c>
      <c r="BQ138" s="1" t="s">
        <v>74</v>
      </c>
      <c r="BR138" s="1" t="s">
        <v>74</v>
      </c>
      <c r="BS138" s="1" t="s">
        <v>1444</v>
      </c>
      <c r="BT138" s="1" t="str">
        <f>HYPERLINK("https%3A%2F%2Fwww.webofscience.com%2Fwos%2Fwoscc%2Ffull-record%2FWOS:001321607000001","View Full Record in Web of Science")</f>
        <v>View Full Record in Web of Science</v>
      </c>
    </row>
    <row r="139" ht="12.75" customHeight="1">
      <c r="A139" s="1" t="s">
        <v>72</v>
      </c>
      <c r="B139" s="1" t="s">
        <v>1445</v>
      </c>
      <c r="C139" s="1" t="s">
        <v>74</v>
      </c>
      <c r="D139" s="1" t="s">
        <v>74</v>
      </c>
      <c r="E139" s="1" t="s">
        <v>74</v>
      </c>
      <c r="F139" s="1" t="s">
        <v>1446</v>
      </c>
      <c r="G139" s="1" t="s">
        <v>74</v>
      </c>
      <c r="H139" s="1" t="s">
        <v>74</v>
      </c>
      <c r="I139" s="1" t="s">
        <v>1447</v>
      </c>
      <c r="J139" s="1" t="s">
        <v>1448</v>
      </c>
      <c r="K139" s="1" t="s">
        <v>74</v>
      </c>
      <c r="L139" s="1" t="s">
        <v>74</v>
      </c>
      <c r="M139" s="1" t="s">
        <v>74</v>
      </c>
      <c r="N139" s="1" t="s">
        <v>74</v>
      </c>
      <c r="O139" s="1" t="s">
        <v>74</v>
      </c>
      <c r="P139" s="1" t="s">
        <v>74</v>
      </c>
      <c r="Q139" s="1" t="s">
        <v>74</v>
      </c>
      <c r="R139" s="1" t="s">
        <v>74</v>
      </c>
      <c r="S139" s="1" t="s">
        <v>74</v>
      </c>
      <c r="T139" s="1" t="s">
        <v>74</v>
      </c>
      <c r="U139" s="1" t="s">
        <v>74</v>
      </c>
      <c r="V139" s="1" t="s">
        <v>1449</v>
      </c>
      <c r="W139" s="1" t="s">
        <v>74</v>
      </c>
      <c r="X139" s="1" t="s">
        <v>74</v>
      </c>
      <c r="Y139" s="1" t="s">
        <v>74</v>
      </c>
      <c r="Z139" s="1" t="s">
        <v>74</v>
      </c>
      <c r="AA139" s="1" t="s">
        <v>74</v>
      </c>
      <c r="AB139" s="1" t="s">
        <v>74</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1450</v>
      </c>
      <c r="AP139" s="1" t="s">
        <v>1451</v>
      </c>
      <c r="AQ139" s="1" t="s">
        <v>74</v>
      </c>
      <c r="AR139" s="1" t="s">
        <v>74</v>
      </c>
      <c r="AS139" s="1" t="s">
        <v>74</v>
      </c>
      <c r="AT139" s="1" t="s">
        <v>74</v>
      </c>
      <c r="AU139" s="1">
        <v>2024.0</v>
      </c>
      <c r="AV139" s="1">
        <v>33.0</v>
      </c>
      <c r="AW139" s="1">
        <v>4.0</v>
      </c>
      <c r="AX139" s="1" t="s">
        <v>74</v>
      </c>
      <c r="AY139" s="1" t="s">
        <v>74</v>
      </c>
      <c r="AZ139" s="1" t="s">
        <v>74</v>
      </c>
      <c r="BA139" s="1" t="s">
        <v>74</v>
      </c>
      <c r="BB139" s="1" t="s">
        <v>74</v>
      </c>
      <c r="BC139" s="1" t="s">
        <v>74</v>
      </c>
      <c r="BD139" s="1" t="s">
        <v>1452</v>
      </c>
      <c r="BE139" s="1" t="s">
        <v>1453</v>
      </c>
      <c r="BF139" s="2" t="str">
        <f>HYPERLINK("http://dx.doi.org/10.1590/S0104-12902024230580pt","http://dx.doi.org/10.1590/S0104-12902024230580pt")</f>
        <v>http://dx.doi.org/10.1590/S0104-12902024230580pt</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1454</v>
      </c>
      <c r="BT139" s="1" t="str">
        <f>HYPERLINK("https%3A%2F%2Fwww.webofscience.com%2Fwos%2Fwoscc%2Ffull-record%2FWOS:001461526400001","View Full Record in Web of Science")</f>
        <v>View Full Record in Web of Science</v>
      </c>
    </row>
    <row r="140" ht="12.75" customHeight="1">
      <c r="A140" s="1" t="s">
        <v>72</v>
      </c>
      <c r="B140" s="1" t="s">
        <v>1455</v>
      </c>
      <c r="C140" s="1" t="s">
        <v>74</v>
      </c>
      <c r="D140" s="1" t="s">
        <v>74</v>
      </c>
      <c r="E140" s="1" t="s">
        <v>74</v>
      </c>
      <c r="F140" s="1" t="s">
        <v>1456</v>
      </c>
      <c r="G140" s="1" t="s">
        <v>74</v>
      </c>
      <c r="H140" s="1" t="s">
        <v>74</v>
      </c>
      <c r="I140" s="1" t="s">
        <v>1457</v>
      </c>
      <c r="J140" s="1" t="s">
        <v>1458</v>
      </c>
      <c r="K140" s="1" t="s">
        <v>74</v>
      </c>
      <c r="L140" s="1" t="s">
        <v>74</v>
      </c>
      <c r="M140" s="1" t="s">
        <v>74</v>
      </c>
      <c r="N140" s="1" t="s">
        <v>74</v>
      </c>
      <c r="O140" s="1" t="s">
        <v>74</v>
      </c>
      <c r="P140" s="1" t="s">
        <v>74</v>
      </c>
      <c r="Q140" s="1" t="s">
        <v>74</v>
      </c>
      <c r="R140" s="1" t="s">
        <v>74</v>
      </c>
      <c r="S140" s="1" t="s">
        <v>74</v>
      </c>
      <c r="T140" s="1" t="s">
        <v>74</v>
      </c>
      <c r="U140" s="1" t="s">
        <v>74</v>
      </c>
      <c r="V140" s="1" t="s">
        <v>1459</v>
      </c>
      <c r="W140" s="1" t="s">
        <v>74</v>
      </c>
      <c r="X140" s="1" t="s">
        <v>74</v>
      </c>
      <c r="Y140" s="1" t="s">
        <v>74</v>
      </c>
      <c r="Z140" s="1" t="s">
        <v>74</v>
      </c>
      <c r="AA140" s="1" t="s">
        <v>1460</v>
      </c>
      <c r="AB140" s="1" t="s">
        <v>74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1461</v>
      </c>
      <c r="AP140" s="1" t="s">
        <v>1462</v>
      </c>
      <c r="AQ140" s="1" t="s">
        <v>74</v>
      </c>
      <c r="AR140" s="1" t="s">
        <v>74</v>
      </c>
      <c r="AS140" s="1" t="s">
        <v>74</v>
      </c>
      <c r="AT140" s="1" t="s">
        <v>680</v>
      </c>
      <c r="AU140" s="1">
        <v>2024.0</v>
      </c>
      <c r="AV140" s="1">
        <v>14.0</v>
      </c>
      <c r="AW140" s="1">
        <v>1.0</v>
      </c>
      <c r="AX140" s="1" t="s">
        <v>74</v>
      </c>
      <c r="AY140" s="1" t="s">
        <v>74</v>
      </c>
      <c r="AZ140" s="1" t="s">
        <v>74</v>
      </c>
      <c r="BA140" s="1" t="s">
        <v>74</v>
      </c>
      <c r="BB140" s="1">
        <v>361.0</v>
      </c>
      <c r="BC140" s="1">
        <v>392.0</v>
      </c>
      <c r="BD140" s="1" t="s">
        <v>74</v>
      </c>
      <c r="BE140" s="1" t="s">
        <v>74</v>
      </c>
      <c r="BF140" s="1" t="s">
        <v>74</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1463</v>
      </c>
      <c r="BT140" s="1" t="str">
        <f>HYPERLINK("https%3A%2F%2Fwww.webofscience.com%2Fwos%2Fwoscc%2Ffull-record%2FWOS:001282337500008","View Full Record in Web of Science")</f>
        <v>View Full Record in Web of Science</v>
      </c>
    </row>
    <row r="141" ht="12.75" customHeight="1">
      <c r="A141" s="1" t="s">
        <v>72</v>
      </c>
      <c r="B141" s="1" t="s">
        <v>1464</v>
      </c>
      <c r="C141" s="1" t="s">
        <v>74</v>
      </c>
      <c r="D141" s="1" t="s">
        <v>74</v>
      </c>
      <c r="E141" s="1" t="s">
        <v>74</v>
      </c>
      <c r="F141" s="1" t="s">
        <v>1465</v>
      </c>
      <c r="G141" s="1" t="s">
        <v>74</v>
      </c>
      <c r="H141" s="1" t="s">
        <v>74</v>
      </c>
      <c r="I141" s="1" t="s">
        <v>1466</v>
      </c>
      <c r="J141" s="1" t="s">
        <v>1467</v>
      </c>
      <c r="K141" s="1" t="s">
        <v>74</v>
      </c>
      <c r="L141" s="1" t="s">
        <v>74</v>
      </c>
      <c r="M141" s="1" t="s">
        <v>74</v>
      </c>
      <c r="N141" s="1" t="s">
        <v>74</v>
      </c>
      <c r="O141" s="1" t="s">
        <v>74</v>
      </c>
      <c r="P141" s="1" t="s">
        <v>74</v>
      </c>
      <c r="Q141" s="1" t="s">
        <v>74</v>
      </c>
      <c r="R141" s="1" t="s">
        <v>74</v>
      </c>
      <c r="S141" s="1" t="s">
        <v>74</v>
      </c>
      <c r="T141" s="1" t="s">
        <v>74</v>
      </c>
      <c r="U141" s="1" t="s">
        <v>74</v>
      </c>
      <c r="V141" s="1" t="s">
        <v>74</v>
      </c>
      <c r="W141" s="1" t="s">
        <v>74</v>
      </c>
      <c r="X141" s="1" t="s">
        <v>74</v>
      </c>
      <c r="Y141" s="1" t="s">
        <v>74</v>
      </c>
      <c r="Z141" s="1" t="s">
        <v>74</v>
      </c>
      <c r="AA141" s="1" t="s">
        <v>1468</v>
      </c>
      <c r="AB141" s="1" t="s">
        <v>1469</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1470</v>
      </c>
      <c r="AP141" s="1" t="s">
        <v>74</v>
      </c>
      <c r="AQ141" s="1" t="s">
        <v>74</v>
      </c>
      <c r="AR141" s="1" t="s">
        <v>74</v>
      </c>
      <c r="AS141" s="1" t="s">
        <v>74</v>
      </c>
      <c r="AT141" s="1" t="s">
        <v>319</v>
      </c>
      <c r="AU141" s="1">
        <v>2023.0</v>
      </c>
      <c r="AV141" s="1">
        <v>23.0</v>
      </c>
      <c r="AW141" s="1">
        <v>2.0</v>
      </c>
      <c r="AX141" s="1" t="s">
        <v>74</v>
      </c>
      <c r="AY141" s="1" t="s">
        <v>74</v>
      </c>
      <c r="AZ141" s="1" t="s">
        <v>74</v>
      </c>
      <c r="BA141" s="1" t="s">
        <v>74</v>
      </c>
      <c r="BB141" s="1" t="s">
        <v>74</v>
      </c>
      <c r="BC141" s="1" t="s">
        <v>74</v>
      </c>
      <c r="BD141" s="1" t="s">
        <v>1471</v>
      </c>
      <c r="BE141" s="1" t="s">
        <v>1472</v>
      </c>
      <c r="BF141" s="2" t="str">
        <f>HYPERLINK("http://dx.doi.org/10.5867/medwave.2023.02.2711","http://dx.doi.org/10.5867/medwave.2023.02.2711")</f>
        <v>http://dx.doi.org/10.5867/medwave.2023.02.2711</v>
      </c>
      <c r="BG141" s="1" t="s">
        <v>74</v>
      </c>
      <c r="BH141" s="1" t="s">
        <v>74</v>
      </c>
      <c r="BI141" s="1" t="s">
        <v>74</v>
      </c>
      <c r="BJ141" s="1" t="s">
        <v>74</v>
      </c>
      <c r="BK141" s="1" t="s">
        <v>74</v>
      </c>
      <c r="BL141" s="1" t="s">
        <v>74</v>
      </c>
      <c r="BM141" s="1" t="s">
        <v>74</v>
      </c>
      <c r="BN141" s="1">
        <v>3.6947737E7</v>
      </c>
      <c r="BO141" s="1" t="s">
        <v>74</v>
      </c>
      <c r="BP141" s="1" t="s">
        <v>74</v>
      </c>
      <c r="BQ141" s="1" t="s">
        <v>74</v>
      </c>
      <c r="BR141" s="1" t="s">
        <v>74</v>
      </c>
      <c r="BS141" s="1" t="s">
        <v>1473</v>
      </c>
      <c r="BT141" s="1" t="str">
        <f>HYPERLINK("https%3A%2F%2Fwww.webofscience.com%2Fwos%2Fwoscc%2Ffull-record%2FWOS:000974840900001","View Full Record in Web of Science")</f>
        <v>View Full Record in Web of Science</v>
      </c>
    </row>
    <row r="142" ht="12.75" customHeight="1">
      <c r="A142" s="1" t="s">
        <v>72</v>
      </c>
      <c r="B142" s="1" t="s">
        <v>1474</v>
      </c>
      <c r="C142" s="1" t="s">
        <v>74</v>
      </c>
      <c r="D142" s="1" t="s">
        <v>74</v>
      </c>
      <c r="E142" s="1" t="s">
        <v>74</v>
      </c>
      <c r="F142" s="1" t="s">
        <v>1475</v>
      </c>
      <c r="G142" s="1" t="s">
        <v>74</v>
      </c>
      <c r="H142" s="1" t="s">
        <v>74</v>
      </c>
      <c r="I142" s="1" t="s">
        <v>1476</v>
      </c>
      <c r="J142" s="1" t="s">
        <v>1477</v>
      </c>
      <c r="K142" s="1" t="s">
        <v>74</v>
      </c>
      <c r="L142" s="1" t="s">
        <v>74</v>
      </c>
      <c r="M142" s="1" t="s">
        <v>74</v>
      </c>
      <c r="N142" s="1" t="s">
        <v>74</v>
      </c>
      <c r="O142" s="1" t="s">
        <v>74</v>
      </c>
      <c r="P142" s="1" t="s">
        <v>74</v>
      </c>
      <c r="Q142" s="1" t="s">
        <v>74</v>
      </c>
      <c r="R142" s="1" t="s">
        <v>74</v>
      </c>
      <c r="S142" s="1" t="s">
        <v>74</v>
      </c>
      <c r="T142" s="1" t="s">
        <v>74</v>
      </c>
      <c r="U142" s="1" t="s">
        <v>74</v>
      </c>
      <c r="V142" s="1" t="s">
        <v>1478</v>
      </c>
      <c r="W142" s="1" t="s">
        <v>74</v>
      </c>
      <c r="X142" s="1" t="s">
        <v>74</v>
      </c>
      <c r="Y142" s="1" t="s">
        <v>74</v>
      </c>
      <c r="Z142" s="1" t="s">
        <v>74</v>
      </c>
      <c r="AA142" s="1" t="s">
        <v>74</v>
      </c>
      <c r="AB142" s="1" t="s">
        <v>74</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1479</v>
      </c>
      <c r="AP142" s="1" t="s">
        <v>1480</v>
      </c>
      <c r="AQ142" s="1" t="s">
        <v>74</v>
      </c>
      <c r="AR142" s="1" t="s">
        <v>74</v>
      </c>
      <c r="AS142" s="1" t="s">
        <v>74</v>
      </c>
      <c r="AT142" s="1" t="s">
        <v>680</v>
      </c>
      <c r="AU142" s="1">
        <v>2023.0</v>
      </c>
      <c r="AV142" s="1">
        <v>64.0</v>
      </c>
      <c r="AW142" s="1">
        <v>1.0</v>
      </c>
      <c r="AX142" s="1" t="s">
        <v>74</v>
      </c>
      <c r="AY142" s="1" t="s">
        <v>74</v>
      </c>
      <c r="AZ142" s="1" t="s">
        <v>74</v>
      </c>
      <c r="BA142" s="1" t="s">
        <v>74</v>
      </c>
      <c r="BB142" s="1">
        <v>85.0</v>
      </c>
      <c r="BC142" s="1">
        <v>95.0</v>
      </c>
      <c r="BD142" s="1" t="s">
        <v>74</v>
      </c>
      <c r="BE142" s="1" t="s">
        <v>1481</v>
      </c>
      <c r="BF142" s="2" t="str">
        <f>HYPERLINK("http://dx.doi.org/10.53766/RGV/2022.64.01.04","http://dx.doi.org/10.53766/RGV/2022.64.01.04")</f>
        <v>http://dx.doi.org/10.53766/RGV/2022.64.01.04</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1482</v>
      </c>
      <c r="BT142" s="1" t="str">
        <f>HYPERLINK("https%3A%2F%2Fwww.webofscience.com%2Fwos%2Fwoscc%2Ffull-record%2FWOS:001098431200001","View Full Record in Web of Science")</f>
        <v>View Full Record in Web of Science</v>
      </c>
    </row>
    <row r="143" ht="12.75" customHeight="1">
      <c r="A143" s="1" t="s">
        <v>72</v>
      </c>
      <c r="B143" s="1" t="s">
        <v>1483</v>
      </c>
      <c r="C143" s="1" t="s">
        <v>74</v>
      </c>
      <c r="D143" s="1" t="s">
        <v>74</v>
      </c>
      <c r="E143" s="1" t="s">
        <v>74</v>
      </c>
      <c r="F143" s="1" t="s">
        <v>1484</v>
      </c>
      <c r="G143" s="1" t="s">
        <v>74</v>
      </c>
      <c r="H143" s="1" t="s">
        <v>74</v>
      </c>
      <c r="I143" s="1" t="s">
        <v>1485</v>
      </c>
      <c r="J143" s="1" t="s">
        <v>112</v>
      </c>
      <c r="K143" s="1" t="s">
        <v>74</v>
      </c>
      <c r="L143" s="1" t="s">
        <v>74</v>
      </c>
      <c r="M143" s="1" t="s">
        <v>74</v>
      </c>
      <c r="N143" s="1" t="s">
        <v>74</v>
      </c>
      <c r="O143" s="1" t="s">
        <v>74</v>
      </c>
      <c r="P143" s="1" t="s">
        <v>74</v>
      </c>
      <c r="Q143" s="1" t="s">
        <v>74</v>
      </c>
      <c r="R143" s="1" t="s">
        <v>74</v>
      </c>
      <c r="S143" s="1" t="s">
        <v>74</v>
      </c>
      <c r="T143" s="1" t="s">
        <v>74</v>
      </c>
      <c r="U143" s="1" t="s">
        <v>74</v>
      </c>
      <c r="V143" s="1" t="s">
        <v>1486</v>
      </c>
      <c r="W143" s="1" t="s">
        <v>74</v>
      </c>
      <c r="X143" s="1" t="s">
        <v>74</v>
      </c>
      <c r="Y143" s="1" t="s">
        <v>74</v>
      </c>
      <c r="Z143" s="1" t="s">
        <v>74</v>
      </c>
      <c r="AA143" s="1" t="s">
        <v>1487</v>
      </c>
      <c r="AB143" s="1" t="s">
        <v>1488</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115</v>
      </c>
      <c r="AP143" s="1" t="s">
        <v>492</v>
      </c>
      <c r="AQ143" s="1" t="s">
        <v>74</v>
      </c>
      <c r="AR143" s="1" t="s">
        <v>74</v>
      </c>
      <c r="AS143" s="1" t="s">
        <v>74</v>
      </c>
      <c r="AT143" s="1" t="s">
        <v>160</v>
      </c>
      <c r="AU143" s="1">
        <v>2022.0</v>
      </c>
      <c r="AV143" s="1">
        <v>150.0</v>
      </c>
      <c r="AW143" s="1">
        <v>12.0</v>
      </c>
      <c r="AX143" s="1" t="s">
        <v>74</v>
      </c>
      <c r="AY143" s="1" t="s">
        <v>74</v>
      </c>
      <c r="AZ143" s="1" t="s">
        <v>74</v>
      </c>
      <c r="BA143" s="1" t="s">
        <v>74</v>
      </c>
      <c r="BB143" s="1">
        <v>1664.0</v>
      </c>
      <c r="BC143" s="1">
        <v>1673.0</v>
      </c>
      <c r="BD143" s="1" t="s">
        <v>74</v>
      </c>
      <c r="BE143" s="1" t="s">
        <v>74</v>
      </c>
      <c r="BF143" s="1" t="s">
        <v>74</v>
      </c>
      <c r="BG143" s="1" t="s">
        <v>74</v>
      </c>
      <c r="BH143" s="1" t="s">
        <v>74</v>
      </c>
      <c r="BI143" s="1" t="s">
        <v>74</v>
      </c>
      <c r="BJ143" s="1" t="s">
        <v>74</v>
      </c>
      <c r="BK143" s="1" t="s">
        <v>74</v>
      </c>
      <c r="BL143" s="1" t="s">
        <v>74</v>
      </c>
      <c r="BM143" s="1" t="s">
        <v>74</v>
      </c>
      <c r="BN143" s="1">
        <v>3.7906788E7</v>
      </c>
      <c r="BO143" s="1" t="s">
        <v>74</v>
      </c>
      <c r="BP143" s="1" t="s">
        <v>74</v>
      </c>
      <c r="BQ143" s="1" t="s">
        <v>74</v>
      </c>
      <c r="BR143" s="1" t="s">
        <v>74</v>
      </c>
      <c r="BS143" s="1" t="s">
        <v>1489</v>
      </c>
      <c r="BT143" s="1" t="str">
        <f>HYPERLINK("https%3A%2F%2Fwww.webofscience.com%2Fwos%2Fwoscc%2Ffull-record%2FWOS:001042468100013","View Full Record in Web of Science")</f>
        <v>View Full Record in Web of Science</v>
      </c>
    </row>
    <row r="144" ht="12.75" customHeight="1">
      <c r="A144" s="1" t="s">
        <v>72</v>
      </c>
      <c r="B144" s="1" t="s">
        <v>1490</v>
      </c>
      <c r="C144" s="1" t="s">
        <v>74</v>
      </c>
      <c r="D144" s="1" t="s">
        <v>74</v>
      </c>
      <c r="E144" s="1" t="s">
        <v>74</v>
      </c>
      <c r="F144" s="1" t="s">
        <v>1491</v>
      </c>
      <c r="G144" s="1" t="s">
        <v>74</v>
      </c>
      <c r="H144" s="1" t="s">
        <v>74</v>
      </c>
      <c r="I144" s="1" t="s">
        <v>1492</v>
      </c>
      <c r="J144" s="1" t="s">
        <v>1493</v>
      </c>
      <c r="K144" s="1" t="s">
        <v>74</v>
      </c>
      <c r="L144" s="1" t="s">
        <v>74</v>
      </c>
      <c r="M144" s="1" t="s">
        <v>74</v>
      </c>
      <c r="N144" s="1" t="s">
        <v>74</v>
      </c>
      <c r="O144" s="1" t="s">
        <v>74</v>
      </c>
      <c r="P144" s="1" t="s">
        <v>74</v>
      </c>
      <c r="Q144" s="1" t="s">
        <v>74</v>
      </c>
      <c r="R144" s="1" t="s">
        <v>74</v>
      </c>
      <c r="S144" s="1" t="s">
        <v>74</v>
      </c>
      <c r="T144" s="1" t="s">
        <v>74</v>
      </c>
      <c r="U144" s="1" t="s">
        <v>74</v>
      </c>
      <c r="V144" s="1" t="s">
        <v>1494</v>
      </c>
      <c r="W144" s="1" t="s">
        <v>74</v>
      </c>
      <c r="X144" s="1" t="s">
        <v>74</v>
      </c>
      <c r="Y144" s="1" t="s">
        <v>74</v>
      </c>
      <c r="Z144" s="1" t="s">
        <v>74</v>
      </c>
      <c r="AA144" s="1" t="s">
        <v>74</v>
      </c>
      <c r="AB144" s="1" t="s">
        <v>1495</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1496</v>
      </c>
      <c r="AP144" s="1" t="s">
        <v>1497</v>
      </c>
      <c r="AQ144" s="1" t="s">
        <v>74</v>
      </c>
      <c r="AR144" s="1" t="s">
        <v>74</v>
      </c>
      <c r="AS144" s="1" t="s">
        <v>74</v>
      </c>
      <c r="AT144" s="1" t="s">
        <v>74</v>
      </c>
      <c r="AU144" s="1">
        <v>2022.0</v>
      </c>
      <c r="AV144" s="1">
        <v>75.0</v>
      </c>
      <c r="AW144" s="1">
        <v>1.0</v>
      </c>
      <c r="AX144" s="1" t="s">
        <v>74</v>
      </c>
      <c r="AY144" s="1" t="s">
        <v>74</v>
      </c>
      <c r="AZ144" s="1" t="s">
        <v>74</v>
      </c>
      <c r="BA144" s="1" t="s">
        <v>74</v>
      </c>
      <c r="BB144" s="1">
        <v>47.0</v>
      </c>
      <c r="BC144" s="1">
        <v>51.0</v>
      </c>
      <c r="BD144" s="1" t="s">
        <v>74</v>
      </c>
      <c r="BE144" s="1" t="s">
        <v>1498</v>
      </c>
      <c r="BF144" s="2" t="str">
        <f>HYPERLINK("http://dx.doi.org/10.5173/ceju.2022.0206","http://dx.doi.org/10.5173/ceju.2022.0206")</f>
        <v>http://dx.doi.org/10.5173/ceju.2022.0206</v>
      </c>
      <c r="BG144" s="1" t="s">
        <v>74</v>
      </c>
      <c r="BH144" s="1" t="s">
        <v>74</v>
      </c>
      <c r="BI144" s="1" t="s">
        <v>74</v>
      </c>
      <c r="BJ144" s="1" t="s">
        <v>74</v>
      </c>
      <c r="BK144" s="1" t="s">
        <v>74</v>
      </c>
      <c r="BL144" s="1" t="s">
        <v>74</v>
      </c>
      <c r="BM144" s="1" t="s">
        <v>74</v>
      </c>
      <c r="BN144" s="1">
        <v>3.5591957E7</v>
      </c>
      <c r="BO144" s="1" t="s">
        <v>74</v>
      </c>
      <c r="BP144" s="1" t="s">
        <v>74</v>
      </c>
      <c r="BQ144" s="1" t="s">
        <v>74</v>
      </c>
      <c r="BR144" s="1" t="s">
        <v>74</v>
      </c>
      <c r="BS144" s="1" t="s">
        <v>1499</v>
      </c>
      <c r="BT144" s="1" t="str">
        <f>HYPERLINK("https%3A%2F%2Fwww.webofscience.com%2Fwos%2Fwoscc%2Ffull-record%2FWOS:000788682000005","View Full Record in Web of Science")</f>
        <v>View Full Record in Web of Science</v>
      </c>
    </row>
    <row r="145" ht="12.75" customHeight="1">
      <c r="A145" s="1" t="s">
        <v>241</v>
      </c>
      <c r="B145" s="1" t="s">
        <v>1500</v>
      </c>
      <c r="C145" s="1" t="s">
        <v>74</v>
      </c>
      <c r="D145" s="1" t="s">
        <v>74</v>
      </c>
      <c r="E145" s="1" t="s">
        <v>427</v>
      </c>
      <c r="F145" s="1" t="s">
        <v>1501</v>
      </c>
      <c r="G145" s="1" t="s">
        <v>74</v>
      </c>
      <c r="H145" s="1" t="s">
        <v>74</v>
      </c>
      <c r="I145" s="1" t="s">
        <v>1502</v>
      </c>
      <c r="J145" s="1" t="s">
        <v>1503</v>
      </c>
      <c r="K145" s="1" t="s">
        <v>74</v>
      </c>
      <c r="L145" s="1" t="s">
        <v>74</v>
      </c>
      <c r="M145" s="1" t="s">
        <v>74</v>
      </c>
      <c r="N145" s="1" t="s">
        <v>74</v>
      </c>
      <c r="O145" s="1" t="s">
        <v>1504</v>
      </c>
      <c r="P145" s="1" t="s">
        <v>1505</v>
      </c>
      <c r="Q145" s="1" t="s">
        <v>1506</v>
      </c>
      <c r="R145" s="1" t="s">
        <v>1507</v>
      </c>
      <c r="S145" s="1" t="s">
        <v>74</v>
      </c>
      <c r="T145" s="1" t="s">
        <v>74</v>
      </c>
      <c r="U145" s="1" t="s">
        <v>74</v>
      </c>
      <c r="V145" s="1" t="s">
        <v>1508</v>
      </c>
      <c r="W145" s="1" t="s">
        <v>74</v>
      </c>
      <c r="X145" s="1" t="s">
        <v>74</v>
      </c>
      <c r="Y145" s="1" t="s">
        <v>74</v>
      </c>
      <c r="Z145" s="1" t="s">
        <v>74</v>
      </c>
      <c r="AA145" s="1" t="s">
        <v>74</v>
      </c>
      <c r="AB145" s="1" t="s">
        <v>1509</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74</v>
      </c>
      <c r="AP145" s="1" t="s">
        <v>74</v>
      </c>
      <c r="AQ145" s="1" t="s">
        <v>1510</v>
      </c>
      <c r="AR145" s="1" t="s">
        <v>74</v>
      </c>
      <c r="AS145" s="1" t="s">
        <v>74</v>
      </c>
      <c r="AT145" s="1" t="s">
        <v>74</v>
      </c>
      <c r="AU145" s="1">
        <v>2021.0</v>
      </c>
      <c r="AV145" s="1" t="s">
        <v>74</v>
      </c>
      <c r="AW145" s="1" t="s">
        <v>74</v>
      </c>
      <c r="AX145" s="1" t="s">
        <v>74</v>
      </c>
      <c r="AY145" s="1" t="s">
        <v>74</v>
      </c>
      <c r="AZ145" s="1" t="s">
        <v>74</v>
      </c>
      <c r="BA145" s="1" t="s">
        <v>74</v>
      </c>
      <c r="BB145" s="1" t="s">
        <v>74</v>
      </c>
      <c r="BC145" s="1" t="s">
        <v>74</v>
      </c>
      <c r="BD145" s="1" t="s">
        <v>74</v>
      </c>
      <c r="BE145" s="1" t="s">
        <v>1511</v>
      </c>
      <c r="BF145" s="2" t="str">
        <f>HYPERLINK("http://dx.doi.org/10.1109/ICAACCA51523.2021.9465258","http://dx.doi.org/10.1109/ICAACCA51523.2021.9465258")</f>
        <v>http://dx.doi.org/10.1109/ICAACCA51523.2021.9465258</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1512</v>
      </c>
      <c r="BT145" s="1" t="str">
        <f>HYPERLINK("https%3A%2F%2Fwww.webofscience.com%2Fwos%2Fwoscc%2Ffull-record%2FWOS:000855764500103","View Full Record in Web of Science")</f>
        <v>View Full Record in Web of Science</v>
      </c>
    </row>
    <row r="146" ht="12.75" customHeight="1">
      <c r="A146" s="1" t="s">
        <v>72</v>
      </c>
      <c r="B146" s="1" t="s">
        <v>1513</v>
      </c>
      <c r="C146" s="1" t="s">
        <v>74</v>
      </c>
      <c r="D146" s="1" t="s">
        <v>74</v>
      </c>
      <c r="E146" s="1" t="s">
        <v>74</v>
      </c>
      <c r="F146" s="1" t="s">
        <v>1514</v>
      </c>
      <c r="G146" s="1" t="s">
        <v>74</v>
      </c>
      <c r="H146" s="1" t="s">
        <v>74</v>
      </c>
      <c r="I146" s="1" t="s">
        <v>1515</v>
      </c>
      <c r="J146" s="1" t="s">
        <v>1516</v>
      </c>
      <c r="K146" s="1" t="s">
        <v>74</v>
      </c>
      <c r="L146" s="1" t="s">
        <v>74</v>
      </c>
      <c r="M146" s="1" t="s">
        <v>74</v>
      </c>
      <c r="N146" s="1" t="s">
        <v>74</v>
      </c>
      <c r="O146" s="1" t="s">
        <v>74</v>
      </c>
      <c r="P146" s="1" t="s">
        <v>74</v>
      </c>
      <c r="Q146" s="1" t="s">
        <v>74</v>
      </c>
      <c r="R146" s="1" t="s">
        <v>74</v>
      </c>
      <c r="S146" s="1" t="s">
        <v>74</v>
      </c>
      <c r="T146" s="1" t="s">
        <v>74</v>
      </c>
      <c r="U146" s="1" t="s">
        <v>74</v>
      </c>
      <c r="V146" s="1" t="s">
        <v>1517</v>
      </c>
      <c r="W146" s="1" t="s">
        <v>74</v>
      </c>
      <c r="X146" s="1" t="s">
        <v>74</v>
      </c>
      <c r="Y146" s="1" t="s">
        <v>74</v>
      </c>
      <c r="Z146" s="1" t="s">
        <v>74</v>
      </c>
      <c r="AA146" s="1" t="s">
        <v>74</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1518</v>
      </c>
      <c r="AP146" s="1" t="s">
        <v>74</v>
      </c>
      <c r="AQ146" s="1" t="s">
        <v>74</v>
      </c>
      <c r="AR146" s="1" t="s">
        <v>74</v>
      </c>
      <c r="AS146" s="1" t="s">
        <v>74</v>
      </c>
      <c r="AT146" s="1" t="s">
        <v>94</v>
      </c>
      <c r="AU146" s="1">
        <v>2020.0</v>
      </c>
      <c r="AV146" s="1">
        <v>49.0</v>
      </c>
      <c r="AW146" s="1" t="s">
        <v>74</v>
      </c>
      <c r="AX146" s="1" t="s">
        <v>74</v>
      </c>
      <c r="AY146" s="1" t="s">
        <v>74</v>
      </c>
      <c r="AZ146" s="1" t="s">
        <v>74</v>
      </c>
      <c r="BA146" s="1" t="s">
        <v>74</v>
      </c>
      <c r="BB146" s="1">
        <v>3608.0</v>
      </c>
      <c r="BC146" s="1">
        <v>3630.0</v>
      </c>
      <c r="BD146" s="1" t="s">
        <v>74</v>
      </c>
      <c r="BE146" s="1" t="s">
        <v>74</v>
      </c>
      <c r="BF146" s="1" t="s">
        <v>74</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1519</v>
      </c>
      <c r="BT146" s="1" t="str">
        <f>HYPERLINK("https%3A%2F%2Fwww.webofscience.com%2Fwos%2Fwoscc%2Ffull-record%2FWOS:000614864700031","View Full Record in Web of Science")</f>
        <v>View Full Record in Web of Science</v>
      </c>
    </row>
    <row r="147" ht="12.75" customHeight="1">
      <c r="A147" s="1" t="s">
        <v>72</v>
      </c>
      <c r="B147" s="1" t="s">
        <v>1520</v>
      </c>
      <c r="C147" s="1" t="s">
        <v>74</v>
      </c>
      <c r="D147" s="1" t="s">
        <v>74</v>
      </c>
      <c r="E147" s="1" t="s">
        <v>74</v>
      </c>
      <c r="F147" s="1" t="s">
        <v>1521</v>
      </c>
      <c r="G147" s="1" t="s">
        <v>74</v>
      </c>
      <c r="H147" s="1" t="s">
        <v>74</v>
      </c>
      <c r="I147" s="1" t="s">
        <v>1522</v>
      </c>
      <c r="J147" s="1" t="s">
        <v>1523</v>
      </c>
      <c r="K147" s="1" t="s">
        <v>74</v>
      </c>
      <c r="L147" s="1" t="s">
        <v>74</v>
      </c>
      <c r="M147" s="1" t="s">
        <v>74</v>
      </c>
      <c r="N147" s="1" t="s">
        <v>74</v>
      </c>
      <c r="O147" s="1" t="s">
        <v>74</v>
      </c>
      <c r="P147" s="1" t="s">
        <v>74</v>
      </c>
      <c r="Q147" s="1" t="s">
        <v>74</v>
      </c>
      <c r="R147" s="1" t="s">
        <v>74</v>
      </c>
      <c r="S147" s="1" t="s">
        <v>74</v>
      </c>
      <c r="T147" s="1" t="s">
        <v>74</v>
      </c>
      <c r="U147" s="1" t="s">
        <v>74</v>
      </c>
      <c r="V147" s="1" t="s">
        <v>1524</v>
      </c>
      <c r="W147" s="1" t="s">
        <v>74</v>
      </c>
      <c r="X147" s="1" t="s">
        <v>74</v>
      </c>
      <c r="Y147" s="1" t="s">
        <v>74</v>
      </c>
      <c r="Z147" s="1" t="s">
        <v>74</v>
      </c>
      <c r="AA147" s="1" t="s">
        <v>1525</v>
      </c>
      <c r="AB147" s="1" t="s">
        <v>1526</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1527</v>
      </c>
      <c r="AP147" s="1" t="s">
        <v>1528</v>
      </c>
      <c r="AQ147" s="1" t="s">
        <v>74</v>
      </c>
      <c r="AR147" s="1" t="s">
        <v>74</v>
      </c>
      <c r="AS147" s="1" t="s">
        <v>74</v>
      </c>
      <c r="AT147" s="1" t="s">
        <v>1529</v>
      </c>
      <c r="AU147" s="1">
        <v>2019.0</v>
      </c>
      <c r="AV147" s="1">
        <v>151.0</v>
      </c>
      <c r="AW147" s="1">
        <v>14.0</v>
      </c>
      <c r="AX147" s="1" t="s">
        <v>74</v>
      </c>
      <c r="AY147" s="1" t="s">
        <v>74</v>
      </c>
      <c r="AZ147" s="1" t="s">
        <v>74</v>
      </c>
      <c r="BA147" s="1" t="s">
        <v>74</v>
      </c>
      <c r="BB147" s="1" t="s">
        <v>74</v>
      </c>
      <c r="BC147" s="1" t="s">
        <v>74</v>
      </c>
      <c r="BD147" s="1">
        <v>144116.0</v>
      </c>
      <c r="BE147" s="1" t="s">
        <v>1530</v>
      </c>
      <c r="BF147" s="2" t="str">
        <f>HYPERLINK("http://dx.doi.org/10.1063/1.5121426","http://dx.doi.org/10.1063/1.5121426")</f>
        <v>http://dx.doi.org/10.1063/1.5121426</v>
      </c>
      <c r="BG147" s="1" t="s">
        <v>74</v>
      </c>
      <c r="BH147" s="1" t="s">
        <v>74</v>
      </c>
      <c r="BI147" s="1" t="s">
        <v>74</v>
      </c>
      <c r="BJ147" s="1" t="s">
        <v>74</v>
      </c>
      <c r="BK147" s="1" t="s">
        <v>74</v>
      </c>
      <c r="BL147" s="1" t="s">
        <v>74</v>
      </c>
      <c r="BM147" s="1" t="s">
        <v>74</v>
      </c>
      <c r="BN147" s="1">
        <v>3.1615252E7</v>
      </c>
      <c r="BO147" s="1" t="s">
        <v>74</v>
      </c>
      <c r="BP147" s="1" t="s">
        <v>74</v>
      </c>
      <c r="BQ147" s="1" t="s">
        <v>74</v>
      </c>
      <c r="BR147" s="1" t="s">
        <v>74</v>
      </c>
      <c r="BS147" s="1" t="s">
        <v>1531</v>
      </c>
      <c r="BT147" s="1" t="str">
        <f>HYPERLINK("https%3A%2F%2Fwww.webofscience.com%2Fwos%2Fwoscc%2Ffull-record%2FWOS:000500356200020","View Full Record in Web of Science")</f>
        <v>View Full Record in Web of Science</v>
      </c>
    </row>
    <row r="148" ht="12.75" customHeight="1">
      <c r="A148" s="1" t="s">
        <v>72</v>
      </c>
      <c r="B148" s="1" t="s">
        <v>1532</v>
      </c>
      <c r="C148" s="1" t="s">
        <v>74</v>
      </c>
      <c r="D148" s="1" t="s">
        <v>74</v>
      </c>
      <c r="E148" s="1" t="s">
        <v>74</v>
      </c>
      <c r="F148" s="1" t="s">
        <v>1533</v>
      </c>
      <c r="G148" s="1" t="s">
        <v>74</v>
      </c>
      <c r="H148" s="1" t="s">
        <v>74</v>
      </c>
      <c r="I148" s="1" t="s">
        <v>1534</v>
      </c>
      <c r="J148" s="1" t="s">
        <v>1535</v>
      </c>
      <c r="K148" s="1" t="s">
        <v>74</v>
      </c>
      <c r="L148" s="1" t="s">
        <v>74</v>
      </c>
      <c r="M148" s="1" t="s">
        <v>74</v>
      </c>
      <c r="N148" s="1" t="s">
        <v>74</v>
      </c>
      <c r="O148" s="1" t="s">
        <v>74</v>
      </c>
      <c r="P148" s="1" t="s">
        <v>74</v>
      </c>
      <c r="Q148" s="1" t="s">
        <v>74</v>
      </c>
      <c r="R148" s="1" t="s">
        <v>74</v>
      </c>
      <c r="S148" s="1" t="s">
        <v>74</v>
      </c>
      <c r="T148" s="1" t="s">
        <v>74</v>
      </c>
      <c r="U148" s="1" t="s">
        <v>74</v>
      </c>
      <c r="V148" s="1" t="s">
        <v>1536</v>
      </c>
      <c r="W148" s="1" t="s">
        <v>74</v>
      </c>
      <c r="X148" s="1" t="s">
        <v>74</v>
      </c>
      <c r="Y148" s="1" t="s">
        <v>74</v>
      </c>
      <c r="Z148" s="1" t="s">
        <v>74</v>
      </c>
      <c r="AA148" s="1" t="s">
        <v>1537</v>
      </c>
      <c r="AB148" s="1" t="s">
        <v>1538</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1539</v>
      </c>
      <c r="AP148" s="1" t="s">
        <v>1540</v>
      </c>
      <c r="AQ148" s="1" t="s">
        <v>74</v>
      </c>
      <c r="AR148" s="1" t="s">
        <v>74</v>
      </c>
      <c r="AS148" s="1" t="s">
        <v>74</v>
      </c>
      <c r="AT148" s="1" t="s">
        <v>607</v>
      </c>
      <c r="AU148" s="1">
        <v>2016.0</v>
      </c>
      <c r="AV148" s="1">
        <v>28.0</v>
      </c>
      <c r="AW148" s="1">
        <v>2.0</v>
      </c>
      <c r="AX148" s="1" t="s">
        <v>74</v>
      </c>
      <c r="AY148" s="1" t="s">
        <v>74</v>
      </c>
      <c r="AZ148" s="1" t="s">
        <v>74</v>
      </c>
      <c r="BA148" s="1" t="s">
        <v>74</v>
      </c>
      <c r="BB148" s="1" t="s">
        <v>74</v>
      </c>
      <c r="BC148" s="1" t="s">
        <v>74</v>
      </c>
      <c r="BD148" s="1">
        <v>25105.0</v>
      </c>
      <c r="BE148" s="1" t="s">
        <v>1541</v>
      </c>
      <c r="BF148" s="2" t="str">
        <f>HYPERLINK("http://dx.doi.org/10.1063/1.4941051","http://dx.doi.org/10.1063/1.4941051")</f>
        <v>http://dx.doi.org/10.1063/1.4941051</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1542</v>
      </c>
      <c r="BT148" s="1" t="str">
        <f>HYPERLINK("https%3A%2F%2Fwww.webofscience.com%2Fwos%2Fwoscc%2Ffull-record%2FWOS:000371286500047","View Full Record in Web of Science")</f>
        <v>View Full Record in Web of Science</v>
      </c>
    </row>
    <row r="149" ht="12.75" customHeight="1">
      <c r="A149" s="1" t="s">
        <v>72</v>
      </c>
      <c r="B149" s="1" t="s">
        <v>1543</v>
      </c>
      <c r="C149" s="1" t="s">
        <v>74</v>
      </c>
      <c r="D149" s="1" t="s">
        <v>74</v>
      </c>
      <c r="E149" s="1" t="s">
        <v>74</v>
      </c>
      <c r="F149" s="1" t="s">
        <v>1544</v>
      </c>
      <c r="G149" s="1" t="s">
        <v>74</v>
      </c>
      <c r="H149" s="1" t="s">
        <v>74</v>
      </c>
      <c r="I149" s="1" t="s">
        <v>1545</v>
      </c>
      <c r="J149" s="1" t="s">
        <v>1546</v>
      </c>
      <c r="K149" s="1" t="s">
        <v>74</v>
      </c>
      <c r="L149" s="1" t="s">
        <v>74</v>
      </c>
      <c r="M149" s="1" t="s">
        <v>74</v>
      </c>
      <c r="N149" s="1" t="s">
        <v>74</v>
      </c>
      <c r="O149" s="1" t="s">
        <v>74</v>
      </c>
      <c r="P149" s="1" t="s">
        <v>74</v>
      </c>
      <c r="Q149" s="1" t="s">
        <v>74</v>
      </c>
      <c r="R149" s="1" t="s">
        <v>74</v>
      </c>
      <c r="S149" s="1" t="s">
        <v>74</v>
      </c>
      <c r="T149" s="1" t="s">
        <v>74</v>
      </c>
      <c r="U149" s="1" t="s">
        <v>74</v>
      </c>
      <c r="V149" s="1" t="s">
        <v>1547</v>
      </c>
      <c r="W149" s="1" t="s">
        <v>74</v>
      </c>
      <c r="X149" s="1" t="s">
        <v>74</v>
      </c>
      <c r="Y149" s="1" t="s">
        <v>74</v>
      </c>
      <c r="Z149" s="1" t="s">
        <v>74</v>
      </c>
      <c r="AA149" s="1" t="s">
        <v>74</v>
      </c>
      <c r="AB149" s="1" t="s">
        <v>74</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1548</v>
      </c>
      <c r="AP149" s="1" t="s">
        <v>74</v>
      </c>
      <c r="AQ149" s="1" t="s">
        <v>74</v>
      </c>
      <c r="AR149" s="1" t="s">
        <v>74</v>
      </c>
      <c r="AS149" s="1" t="s">
        <v>74</v>
      </c>
      <c r="AT149" s="1" t="s">
        <v>391</v>
      </c>
      <c r="AU149" s="1">
        <v>2010.0</v>
      </c>
      <c r="AV149" s="1">
        <v>43.0</v>
      </c>
      <c r="AW149" s="1">
        <v>2.0</v>
      </c>
      <c r="AX149" s="1" t="s">
        <v>74</v>
      </c>
      <c r="AY149" s="1" t="s">
        <v>74</v>
      </c>
      <c r="AZ149" s="1" t="s">
        <v>74</v>
      </c>
      <c r="BA149" s="1" t="s">
        <v>74</v>
      </c>
      <c r="BB149" s="1">
        <v>523.0</v>
      </c>
      <c r="BC149" s="1">
        <v>546.0</v>
      </c>
      <c r="BD149" s="1" t="s">
        <v>74</v>
      </c>
      <c r="BE149" s="1" t="s">
        <v>74</v>
      </c>
      <c r="BF149" s="1" t="s">
        <v>74</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1549</v>
      </c>
      <c r="BT149" s="1" t="str">
        <f>HYPERLINK("https%3A%2F%2Fwww.webofscience.com%2Fwos%2Fwoscc%2Ffull-record%2FWOS:000286362200006","View Full Record in Web of Science")</f>
        <v>View Full Record in Web of Science</v>
      </c>
    </row>
    <row r="150" ht="12.75" customHeight="1">
      <c r="A150" s="1" t="s">
        <v>72</v>
      </c>
      <c r="B150" s="1" t="s">
        <v>1550</v>
      </c>
      <c r="C150" s="1" t="s">
        <v>74</v>
      </c>
      <c r="D150" s="1" t="s">
        <v>74</v>
      </c>
      <c r="E150" s="1" t="s">
        <v>74</v>
      </c>
      <c r="F150" s="1" t="s">
        <v>1551</v>
      </c>
      <c r="G150" s="1" t="s">
        <v>74</v>
      </c>
      <c r="H150" s="1" t="s">
        <v>74</v>
      </c>
      <c r="I150" s="1" t="s">
        <v>1552</v>
      </c>
      <c r="J150" s="1" t="s">
        <v>1553</v>
      </c>
      <c r="K150" s="1" t="s">
        <v>74</v>
      </c>
      <c r="L150" s="1" t="s">
        <v>74</v>
      </c>
      <c r="M150" s="1" t="s">
        <v>74</v>
      </c>
      <c r="N150" s="1" t="s">
        <v>74</v>
      </c>
      <c r="O150" s="1" t="s">
        <v>74</v>
      </c>
      <c r="P150" s="1" t="s">
        <v>74</v>
      </c>
      <c r="Q150" s="1" t="s">
        <v>74</v>
      </c>
      <c r="R150" s="1" t="s">
        <v>74</v>
      </c>
      <c r="S150" s="1" t="s">
        <v>74</v>
      </c>
      <c r="T150" s="1" t="s">
        <v>74</v>
      </c>
      <c r="U150" s="1" t="s">
        <v>74</v>
      </c>
      <c r="V150" s="1" t="s">
        <v>1554</v>
      </c>
      <c r="W150" s="1" t="s">
        <v>74</v>
      </c>
      <c r="X150" s="1" t="s">
        <v>74</v>
      </c>
      <c r="Y150" s="1" t="s">
        <v>74</v>
      </c>
      <c r="Z150" s="1" t="s">
        <v>74</v>
      </c>
      <c r="AA150" s="1" t="s">
        <v>1555</v>
      </c>
      <c r="AB150" s="1" t="s">
        <v>1556</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1557</v>
      </c>
      <c r="AP150" s="1" t="s">
        <v>74</v>
      </c>
      <c r="AQ150" s="1" t="s">
        <v>74</v>
      </c>
      <c r="AR150" s="1" t="s">
        <v>74</v>
      </c>
      <c r="AS150" s="1" t="s">
        <v>74</v>
      </c>
      <c r="AT150" s="1" t="s">
        <v>1558</v>
      </c>
      <c r="AU150" s="1">
        <v>2009.0</v>
      </c>
      <c r="AV150" s="1">
        <v>65.0</v>
      </c>
      <c r="AW150" s="1">
        <v>31.0</v>
      </c>
      <c r="AX150" s="1" t="s">
        <v>74</v>
      </c>
      <c r="AY150" s="1" t="s">
        <v>74</v>
      </c>
      <c r="AZ150" s="1" t="s">
        <v>74</v>
      </c>
      <c r="BA150" s="1" t="s">
        <v>74</v>
      </c>
      <c r="BB150" s="1">
        <v>6025.0</v>
      </c>
      <c r="BC150" s="1">
        <v>6028.0</v>
      </c>
      <c r="BD150" s="1" t="s">
        <v>74</v>
      </c>
      <c r="BE150" s="1" t="s">
        <v>1559</v>
      </c>
      <c r="BF150" s="2" t="str">
        <f>HYPERLINK("http://dx.doi.org/10.1016/j.tet.2009.05.073","http://dx.doi.org/10.1016/j.tet.2009.05.073")</f>
        <v>http://dx.doi.org/10.1016/j.tet.2009.05.073</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1560</v>
      </c>
      <c r="BT150" s="1" t="str">
        <f>HYPERLINK("https%3A%2F%2Fwww.webofscience.com%2Fwos%2Fwoscc%2Ffull-record%2FWOS:000268217000021","View Full Record in Web of Science")</f>
        <v>View Full Record in Web of Science</v>
      </c>
    </row>
    <row r="151" ht="12.75" customHeight="1">
      <c r="A151" s="1" t="s">
        <v>72</v>
      </c>
      <c r="B151" s="1" t="s">
        <v>1561</v>
      </c>
      <c r="C151" s="1" t="s">
        <v>74</v>
      </c>
      <c r="D151" s="1" t="s">
        <v>74</v>
      </c>
      <c r="E151" s="1" t="s">
        <v>74</v>
      </c>
      <c r="F151" s="1" t="s">
        <v>1561</v>
      </c>
      <c r="G151" s="1" t="s">
        <v>74</v>
      </c>
      <c r="H151" s="1" t="s">
        <v>74</v>
      </c>
      <c r="I151" s="1" t="s">
        <v>1562</v>
      </c>
      <c r="J151" s="1" t="s">
        <v>1563</v>
      </c>
      <c r="K151" s="1" t="s">
        <v>74</v>
      </c>
      <c r="L151" s="1" t="s">
        <v>74</v>
      </c>
      <c r="M151" s="1" t="s">
        <v>74</v>
      </c>
      <c r="N151" s="1" t="s">
        <v>74</v>
      </c>
      <c r="O151" s="1" t="s">
        <v>74</v>
      </c>
      <c r="P151" s="1" t="s">
        <v>74</v>
      </c>
      <c r="Q151" s="1" t="s">
        <v>74</v>
      </c>
      <c r="R151" s="1" t="s">
        <v>74</v>
      </c>
      <c r="S151" s="1" t="s">
        <v>74</v>
      </c>
      <c r="T151" s="1" t="s">
        <v>74</v>
      </c>
      <c r="U151" s="1" t="s">
        <v>74</v>
      </c>
      <c r="V151" s="1" t="s">
        <v>1564</v>
      </c>
      <c r="W151" s="1" t="s">
        <v>74</v>
      </c>
      <c r="X151" s="1" t="s">
        <v>74</v>
      </c>
      <c r="Y151" s="1" t="s">
        <v>74</v>
      </c>
      <c r="Z151" s="1" t="s">
        <v>74</v>
      </c>
      <c r="AA151" s="1" t="s">
        <v>1565</v>
      </c>
      <c r="AB151" s="1" t="s">
        <v>1566</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1567</v>
      </c>
      <c r="AP151" s="1" t="s">
        <v>1568</v>
      </c>
      <c r="AQ151" s="1" t="s">
        <v>74</v>
      </c>
      <c r="AR151" s="1" t="s">
        <v>74</v>
      </c>
      <c r="AS151" s="1" t="s">
        <v>74</v>
      </c>
      <c r="AT151" s="1" t="s">
        <v>607</v>
      </c>
      <c r="AU151" s="1">
        <v>2006.0</v>
      </c>
      <c r="AV151" s="1">
        <v>54.0</v>
      </c>
      <c r="AW151" s="1" t="s">
        <v>1569</v>
      </c>
      <c r="AX151" s="1" t="s">
        <v>74</v>
      </c>
      <c r="AY151" s="1" t="s">
        <v>74</v>
      </c>
      <c r="AZ151" s="1" t="s">
        <v>74</v>
      </c>
      <c r="BA151" s="1" t="s">
        <v>74</v>
      </c>
      <c r="BB151" s="1">
        <v>95.0</v>
      </c>
      <c r="BC151" s="1">
        <v>99.0</v>
      </c>
      <c r="BD151" s="1" t="s">
        <v>74</v>
      </c>
      <c r="BE151" s="1" t="s">
        <v>1570</v>
      </c>
      <c r="BF151" s="2" t="str">
        <f>HYPERLINK("http://dx.doi.org/10.1007/s10847-005-4806-5","http://dx.doi.org/10.1007/s10847-005-4806-5")</f>
        <v>http://dx.doi.org/10.1007/s10847-005-4806-5</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1571</v>
      </c>
      <c r="BT151" s="1" t="str">
        <f>HYPERLINK("https%3A%2F%2Fwww.webofscience.com%2Fwos%2Fwoscc%2Ffull-record%2FWOS:000233876700016","View Full Record in Web of Science")</f>
        <v>View Full Record in Web of Science</v>
      </c>
    </row>
    <row r="152" ht="12.75" customHeight="1">
      <c r="A152" s="1" t="s">
        <v>72</v>
      </c>
      <c r="B152" s="1" t="s">
        <v>1572</v>
      </c>
      <c r="C152" s="1" t="s">
        <v>74</v>
      </c>
      <c r="D152" s="1" t="s">
        <v>74</v>
      </c>
      <c r="E152" s="1" t="s">
        <v>74</v>
      </c>
      <c r="F152" s="1" t="s">
        <v>1572</v>
      </c>
      <c r="G152" s="1" t="s">
        <v>74</v>
      </c>
      <c r="H152" s="1" t="s">
        <v>74</v>
      </c>
      <c r="I152" s="1" t="s">
        <v>1573</v>
      </c>
      <c r="J152" s="1" t="s">
        <v>624</v>
      </c>
      <c r="K152" s="1" t="s">
        <v>74</v>
      </c>
      <c r="L152" s="1" t="s">
        <v>74</v>
      </c>
      <c r="M152" s="1" t="s">
        <v>74</v>
      </c>
      <c r="N152" s="1" t="s">
        <v>74</v>
      </c>
      <c r="O152" s="1" t="s">
        <v>74</v>
      </c>
      <c r="P152" s="1" t="s">
        <v>74</v>
      </c>
      <c r="Q152" s="1" t="s">
        <v>74</v>
      </c>
      <c r="R152" s="1" t="s">
        <v>74</v>
      </c>
      <c r="S152" s="1" t="s">
        <v>74</v>
      </c>
      <c r="T152" s="1" t="s">
        <v>74</v>
      </c>
      <c r="U152" s="1" t="s">
        <v>74</v>
      </c>
      <c r="V152" s="1" t="s">
        <v>1574</v>
      </c>
      <c r="W152" s="1" t="s">
        <v>74</v>
      </c>
      <c r="X152" s="1" t="s">
        <v>74</v>
      </c>
      <c r="Y152" s="1" t="s">
        <v>74</v>
      </c>
      <c r="Z152" s="1" t="s">
        <v>74</v>
      </c>
      <c r="AA152" s="1" t="s">
        <v>74</v>
      </c>
      <c r="AB152" s="1" t="s">
        <v>74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628</v>
      </c>
      <c r="AP152" s="1" t="s">
        <v>629</v>
      </c>
      <c r="AQ152" s="1" t="s">
        <v>74</v>
      </c>
      <c r="AR152" s="1" t="s">
        <v>74</v>
      </c>
      <c r="AS152" s="1" t="s">
        <v>74</v>
      </c>
      <c r="AT152" s="1" t="s">
        <v>607</v>
      </c>
      <c r="AU152" s="1">
        <v>1997.0</v>
      </c>
      <c r="AV152" s="1">
        <v>32.0</v>
      </c>
      <c r="AW152" s="1">
        <v>2.0</v>
      </c>
      <c r="AX152" s="1" t="s">
        <v>74</v>
      </c>
      <c r="AY152" s="1" t="s">
        <v>74</v>
      </c>
      <c r="AZ152" s="1" t="s">
        <v>74</v>
      </c>
      <c r="BA152" s="1" t="s">
        <v>74</v>
      </c>
      <c r="BB152" s="1">
        <v>155.0</v>
      </c>
      <c r="BC152" s="1">
        <v>159.0</v>
      </c>
      <c r="BD152" s="1" t="s">
        <v>74</v>
      </c>
      <c r="BE152" s="1" t="s">
        <v>1575</v>
      </c>
      <c r="BF152" s="2" t="str">
        <f>HYPERLINK("http://dx.doi.org/10.1016/S0144-8617(96)00119-1","http://dx.doi.org/10.1016/S0144-8617(96)00119-1")</f>
        <v>http://dx.doi.org/10.1016/S0144-8617(96)00119-1</v>
      </c>
      <c r="BG152" s="1" t="s">
        <v>74</v>
      </c>
      <c r="BH152" s="1" t="s">
        <v>74</v>
      </c>
      <c r="BI152" s="1" t="s">
        <v>74</v>
      </c>
      <c r="BJ152" s="1" t="s">
        <v>74</v>
      </c>
      <c r="BK152" s="1" t="s">
        <v>74</v>
      </c>
      <c r="BL152" s="1" t="s">
        <v>74</v>
      </c>
      <c r="BM152" s="1" t="s">
        <v>74</v>
      </c>
      <c r="BN152" s="1" t="s">
        <v>74</v>
      </c>
      <c r="BO152" s="1" t="s">
        <v>74</v>
      </c>
      <c r="BP152" s="1" t="s">
        <v>74</v>
      </c>
      <c r="BQ152" s="1" t="s">
        <v>74</v>
      </c>
      <c r="BR152" s="1" t="s">
        <v>74</v>
      </c>
      <c r="BS152" s="1" t="s">
        <v>1576</v>
      </c>
      <c r="BT152" s="1" t="str">
        <f>HYPERLINK("https%3A%2F%2Fwww.webofscience.com%2Fwos%2Fwoscc%2Ffull-record%2FWOS:A1997WZ20800010","View Full Record in Web of Science")</f>
        <v>View Full Record in Web of Science</v>
      </c>
    </row>
    <row r="153" ht="12.75" customHeight="1">
      <c r="A153" s="1" t="s">
        <v>72</v>
      </c>
      <c r="B153" s="1" t="s">
        <v>1577</v>
      </c>
      <c r="C153" s="1" t="s">
        <v>74</v>
      </c>
      <c r="D153" s="1" t="s">
        <v>74</v>
      </c>
      <c r="E153" s="1" t="s">
        <v>74</v>
      </c>
      <c r="F153" s="1" t="s">
        <v>1577</v>
      </c>
      <c r="G153" s="1" t="s">
        <v>74</v>
      </c>
      <c r="H153" s="1" t="s">
        <v>74</v>
      </c>
      <c r="I153" s="1" t="s">
        <v>1578</v>
      </c>
      <c r="J153" s="1" t="s">
        <v>1579</v>
      </c>
      <c r="K153" s="1" t="s">
        <v>74</v>
      </c>
      <c r="L153" s="1" t="s">
        <v>74</v>
      </c>
      <c r="M153" s="1" t="s">
        <v>74</v>
      </c>
      <c r="N153" s="1" t="s">
        <v>74</v>
      </c>
      <c r="O153" s="1" t="s">
        <v>74</v>
      </c>
      <c r="P153" s="1" t="s">
        <v>74</v>
      </c>
      <c r="Q153" s="1" t="s">
        <v>74</v>
      </c>
      <c r="R153" s="1" t="s">
        <v>74</v>
      </c>
      <c r="S153" s="1" t="s">
        <v>74</v>
      </c>
      <c r="T153" s="1" t="s">
        <v>74</v>
      </c>
      <c r="U153" s="1" t="s">
        <v>74</v>
      </c>
      <c r="V153" s="1" t="s">
        <v>1580</v>
      </c>
      <c r="W153" s="1" t="s">
        <v>74</v>
      </c>
      <c r="X153" s="1" t="s">
        <v>74</v>
      </c>
      <c r="Y153" s="1" t="s">
        <v>74</v>
      </c>
      <c r="Z153" s="1" t="s">
        <v>74</v>
      </c>
      <c r="AA153" s="1" t="s">
        <v>1581</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1582</v>
      </c>
      <c r="AP153" s="1" t="s">
        <v>1583</v>
      </c>
      <c r="AQ153" s="1" t="s">
        <v>74</v>
      </c>
      <c r="AR153" s="1" t="s">
        <v>74</v>
      </c>
      <c r="AS153" s="1" t="s">
        <v>74</v>
      </c>
      <c r="AT153" s="1" t="s">
        <v>607</v>
      </c>
      <c r="AU153" s="1">
        <v>1996.0</v>
      </c>
      <c r="AV153" s="1">
        <v>306.0</v>
      </c>
      <c r="AW153" s="1">
        <v>1.0</v>
      </c>
      <c r="AX153" s="1" t="s">
        <v>74</v>
      </c>
      <c r="AY153" s="1" t="s">
        <v>74</v>
      </c>
      <c r="AZ153" s="1" t="s">
        <v>74</v>
      </c>
      <c r="BA153" s="1" t="s">
        <v>74</v>
      </c>
      <c r="BB153" s="1" t="s">
        <v>1584</v>
      </c>
      <c r="BC153" s="1" t="s">
        <v>1585</v>
      </c>
      <c r="BD153" s="1" t="s">
        <v>74</v>
      </c>
      <c r="BE153" s="1" t="s">
        <v>74</v>
      </c>
      <c r="BF153" s="1" t="s">
        <v>74</v>
      </c>
      <c r="BG153" s="1" t="s">
        <v>74</v>
      </c>
      <c r="BH153" s="1" t="s">
        <v>74</v>
      </c>
      <c r="BI153" s="1" t="s">
        <v>74</v>
      </c>
      <c r="BJ153" s="1" t="s">
        <v>74</v>
      </c>
      <c r="BK153" s="1" t="s">
        <v>74</v>
      </c>
      <c r="BL153" s="1" t="s">
        <v>74</v>
      </c>
      <c r="BM153" s="1" t="s">
        <v>74</v>
      </c>
      <c r="BN153" s="1" t="s">
        <v>74</v>
      </c>
      <c r="BO153" s="1" t="s">
        <v>74</v>
      </c>
      <c r="BP153" s="1" t="s">
        <v>74</v>
      </c>
      <c r="BQ153" s="1" t="s">
        <v>74</v>
      </c>
      <c r="BR153" s="1" t="s">
        <v>74</v>
      </c>
      <c r="BS153" s="1" t="s">
        <v>1586</v>
      </c>
      <c r="BT153" s="1" t="str">
        <f>HYPERLINK("https%3A%2F%2Fwww.webofscience.com%2Fwos%2Fwoscc%2Ffull-record%2FWOS:A1996TV30800001","View Full Record in Web of Science")</f>
        <v>View Full Record in Web of Science</v>
      </c>
    </row>
    <row r="154" ht="12.75" customHeight="1">
      <c r="A154" s="1" t="s">
        <v>72</v>
      </c>
      <c r="B154" s="1" t="s">
        <v>1587</v>
      </c>
      <c r="C154" s="1" t="s">
        <v>74</v>
      </c>
      <c r="D154" s="1" t="s">
        <v>74</v>
      </c>
      <c r="E154" s="1" t="s">
        <v>74</v>
      </c>
      <c r="F154" s="1" t="s">
        <v>1587</v>
      </c>
      <c r="G154" s="1" t="s">
        <v>74</v>
      </c>
      <c r="H154" s="1" t="s">
        <v>74</v>
      </c>
      <c r="I154" s="1" t="s">
        <v>1588</v>
      </c>
      <c r="J154" s="1" t="s">
        <v>1589</v>
      </c>
      <c r="K154" s="1" t="s">
        <v>74</v>
      </c>
      <c r="L154" s="1" t="s">
        <v>74</v>
      </c>
      <c r="M154" s="1" t="s">
        <v>74</v>
      </c>
      <c r="N154" s="1" t="s">
        <v>74</v>
      </c>
      <c r="O154" s="1" t="s">
        <v>74</v>
      </c>
      <c r="P154" s="1" t="s">
        <v>74</v>
      </c>
      <c r="Q154" s="1" t="s">
        <v>74</v>
      </c>
      <c r="R154" s="1" t="s">
        <v>74</v>
      </c>
      <c r="S154" s="1" t="s">
        <v>74</v>
      </c>
      <c r="T154" s="1" t="s">
        <v>74</v>
      </c>
      <c r="U154" s="1" t="s">
        <v>74</v>
      </c>
      <c r="V154" s="1" t="s">
        <v>1590</v>
      </c>
      <c r="W154" s="1" t="s">
        <v>74</v>
      </c>
      <c r="X154" s="1" t="s">
        <v>74</v>
      </c>
      <c r="Y154" s="1" t="s">
        <v>74</v>
      </c>
      <c r="Z154" s="1" t="s">
        <v>74</v>
      </c>
      <c r="AA154" s="1" t="s">
        <v>544</v>
      </c>
      <c r="AB154" s="1" t="s">
        <v>545</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1591</v>
      </c>
      <c r="AP154" s="1" t="s">
        <v>74</v>
      </c>
      <c r="AQ154" s="1" t="s">
        <v>74</v>
      </c>
      <c r="AR154" s="1" t="s">
        <v>74</v>
      </c>
      <c r="AS154" s="1" t="s">
        <v>74</v>
      </c>
      <c r="AT154" s="1" t="s">
        <v>607</v>
      </c>
      <c r="AU154" s="1">
        <v>1995.0</v>
      </c>
      <c r="AV154" s="1">
        <v>18.0</v>
      </c>
      <c r="AW154" s="1">
        <v>2.0</v>
      </c>
      <c r="AX154" s="1" t="s">
        <v>74</v>
      </c>
      <c r="AY154" s="1" t="s">
        <v>74</v>
      </c>
      <c r="AZ154" s="1" t="s">
        <v>74</v>
      </c>
      <c r="BA154" s="1" t="s">
        <v>74</v>
      </c>
      <c r="BB154" s="1">
        <v>153.0</v>
      </c>
      <c r="BC154" s="1">
        <v>158.0</v>
      </c>
      <c r="BD154" s="1" t="s">
        <v>74</v>
      </c>
      <c r="BE154" s="1" t="s">
        <v>1592</v>
      </c>
      <c r="BF154" s="2" t="str">
        <f>HYPERLINK("http://dx.doi.org/10.1016/0891-5849(94)00117-3","http://dx.doi.org/10.1016/0891-5849(94)00117-3")</f>
        <v>http://dx.doi.org/10.1016/0891-5849(94)00117-3</v>
      </c>
      <c r="BG154" s="1" t="s">
        <v>74</v>
      </c>
      <c r="BH154" s="1" t="s">
        <v>74</v>
      </c>
      <c r="BI154" s="1" t="s">
        <v>74</v>
      </c>
      <c r="BJ154" s="1" t="s">
        <v>74</v>
      </c>
      <c r="BK154" s="1" t="s">
        <v>74</v>
      </c>
      <c r="BL154" s="1" t="s">
        <v>74</v>
      </c>
      <c r="BM154" s="1" t="s">
        <v>74</v>
      </c>
      <c r="BN154" s="1">
        <v>7744297.0</v>
      </c>
      <c r="BO154" s="1" t="s">
        <v>74</v>
      </c>
      <c r="BP154" s="1" t="s">
        <v>74</v>
      </c>
      <c r="BQ154" s="1" t="s">
        <v>74</v>
      </c>
      <c r="BR154" s="1" t="s">
        <v>74</v>
      </c>
      <c r="BS154" s="1" t="s">
        <v>1593</v>
      </c>
      <c r="BT154" s="1" t="str">
        <f>HYPERLINK("https%3A%2F%2Fwww.webofscience.com%2Fwos%2Fwoscc%2Ffull-record%2FWOS:A1995QF07400003","View Full Record in Web of Science")</f>
        <v>View Full Record in Web of Science</v>
      </c>
    </row>
    <row r="155" ht="12.75" customHeight="1">
      <c r="A155" s="1" t="s">
        <v>72</v>
      </c>
      <c r="B155" s="1" t="s">
        <v>1594</v>
      </c>
      <c r="C155" s="1" t="s">
        <v>74</v>
      </c>
      <c r="D155" s="1" t="s">
        <v>74</v>
      </c>
      <c r="E155" s="1" t="s">
        <v>74</v>
      </c>
      <c r="F155" s="1" t="s">
        <v>1595</v>
      </c>
      <c r="G155" s="1" t="s">
        <v>74</v>
      </c>
      <c r="H155" s="1" t="s">
        <v>74</v>
      </c>
      <c r="I155" s="1" t="s">
        <v>1596</v>
      </c>
      <c r="J155" s="1" t="s">
        <v>1597</v>
      </c>
      <c r="K155" s="1" t="s">
        <v>74</v>
      </c>
      <c r="L155" s="1" t="s">
        <v>74</v>
      </c>
      <c r="M155" s="1" t="s">
        <v>74</v>
      </c>
      <c r="N155" s="1" t="s">
        <v>74</v>
      </c>
      <c r="O155" s="1" t="s">
        <v>74</v>
      </c>
      <c r="P155" s="1" t="s">
        <v>74</v>
      </c>
      <c r="Q155" s="1" t="s">
        <v>74</v>
      </c>
      <c r="R155" s="1" t="s">
        <v>74</v>
      </c>
      <c r="S155" s="1" t="s">
        <v>74</v>
      </c>
      <c r="T155" s="1" t="s">
        <v>74</v>
      </c>
      <c r="U155" s="1" t="s">
        <v>74</v>
      </c>
      <c r="V155" s="1" t="s">
        <v>1598</v>
      </c>
      <c r="W155" s="1" t="s">
        <v>74</v>
      </c>
      <c r="X155" s="1" t="s">
        <v>74</v>
      </c>
      <c r="Y155" s="1" t="s">
        <v>74</v>
      </c>
      <c r="Z155" s="1" t="s">
        <v>74</v>
      </c>
      <c r="AA155" s="1" t="s">
        <v>1599</v>
      </c>
      <c r="AB155" s="1" t="s">
        <v>1600</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1601</v>
      </c>
      <c r="AP155" s="1" t="s">
        <v>1602</v>
      </c>
      <c r="AQ155" s="1" t="s">
        <v>74</v>
      </c>
      <c r="AR155" s="1" t="s">
        <v>74</v>
      </c>
      <c r="AS155" s="1" t="s">
        <v>74</v>
      </c>
      <c r="AT155" s="1" t="s">
        <v>1603</v>
      </c>
      <c r="AU155" s="1">
        <v>2024.0</v>
      </c>
      <c r="AV155" s="1">
        <v>63.0</v>
      </c>
      <c r="AW155" s="1">
        <v>5.0</v>
      </c>
      <c r="AX155" s="1" t="s">
        <v>74</v>
      </c>
      <c r="AY155" s="1" t="s">
        <v>74</v>
      </c>
      <c r="AZ155" s="1" t="s">
        <v>74</v>
      </c>
      <c r="BA155" s="1" t="s">
        <v>74</v>
      </c>
      <c r="BB155" s="1">
        <v>1114.0</v>
      </c>
      <c r="BC155" s="1">
        <v>1121.0</v>
      </c>
      <c r="BD155" s="1" t="s">
        <v>74</v>
      </c>
      <c r="BE155" s="1" t="s">
        <v>1604</v>
      </c>
      <c r="BF155" s="2" t="str">
        <f>HYPERLINK("http://dx.doi.org/10.1080/00218839.2023.2211339","http://dx.doi.org/10.1080/00218839.2023.2211339")</f>
        <v>http://dx.doi.org/10.1080/00218839.2023.2211339</v>
      </c>
      <c r="BG155" s="1" t="s">
        <v>74</v>
      </c>
      <c r="BH155" s="1" t="s">
        <v>1605</v>
      </c>
      <c r="BI155" s="1" t="s">
        <v>74</v>
      </c>
      <c r="BJ155" s="1" t="s">
        <v>74</v>
      </c>
      <c r="BK155" s="1" t="s">
        <v>74</v>
      </c>
      <c r="BL155" s="1" t="s">
        <v>74</v>
      </c>
      <c r="BM155" s="1" t="s">
        <v>74</v>
      </c>
      <c r="BN155" s="1" t="s">
        <v>74</v>
      </c>
      <c r="BO155" s="1" t="s">
        <v>74</v>
      </c>
      <c r="BP155" s="1" t="s">
        <v>74</v>
      </c>
      <c r="BQ155" s="1" t="s">
        <v>74</v>
      </c>
      <c r="BR155" s="1" t="s">
        <v>74</v>
      </c>
      <c r="BS155" s="1" t="s">
        <v>1606</v>
      </c>
      <c r="BT155" s="1" t="str">
        <f>HYPERLINK("https%3A%2F%2Fwww.webofscience.com%2Fwos%2Fwoscc%2Ffull-record%2FWOS:000998551700001","View Full Record in Web of Science")</f>
        <v>View Full Record in Web of Science</v>
      </c>
    </row>
    <row r="156" ht="12.75" customHeight="1">
      <c r="A156" s="1" t="s">
        <v>72</v>
      </c>
      <c r="B156" s="1" t="s">
        <v>1607</v>
      </c>
      <c r="C156" s="1" t="s">
        <v>74</v>
      </c>
      <c r="D156" s="1" t="s">
        <v>74</v>
      </c>
      <c r="E156" s="1" t="s">
        <v>74</v>
      </c>
      <c r="F156" s="1" t="s">
        <v>1608</v>
      </c>
      <c r="G156" s="1" t="s">
        <v>74</v>
      </c>
      <c r="H156" s="1" t="s">
        <v>74</v>
      </c>
      <c r="I156" s="1" t="s">
        <v>1609</v>
      </c>
      <c r="J156" s="1" t="s">
        <v>1610</v>
      </c>
      <c r="K156" s="1" t="s">
        <v>74</v>
      </c>
      <c r="L156" s="1" t="s">
        <v>74</v>
      </c>
      <c r="M156" s="1" t="s">
        <v>74</v>
      </c>
      <c r="N156" s="1" t="s">
        <v>74</v>
      </c>
      <c r="O156" s="1" t="s">
        <v>74</v>
      </c>
      <c r="P156" s="1" t="s">
        <v>74</v>
      </c>
      <c r="Q156" s="1" t="s">
        <v>74</v>
      </c>
      <c r="R156" s="1" t="s">
        <v>74</v>
      </c>
      <c r="S156" s="1" t="s">
        <v>74</v>
      </c>
      <c r="T156" s="1" t="s">
        <v>74</v>
      </c>
      <c r="U156" s="1" t="s">
        <v>74</v>
      </c>
      <c r="V156" s="1" t="s">
        <v>1611</v>
      </c>
      <c r="W156" s="1" t="s">
        <v>74</v>
      </c>
      <c r="X156" s="1" t="s">
        <v>74</v>
      </c>
      <c r="Y156" s="1" t="s">
        <v>74</v>
      </c>
      <c r="Z156" s="1" t="s">
        <v>74</v>
      </c>
      <c r="AA156" s="1" t="s">
        <v>1612</v>
      </c>
      <c r="AB156" s="1" t="s">
        <v>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1613</v>
      </c>
      <c r="AP156" s="1" t="s">
        <v>74</v>
      </c>
      <c r="AQ156" s="1" t="s">
        <v>74</v>
      </c>
      <c r="AR156" s="1" t="s">
        <v>74</v>
      </c>
      <c r="AS156" s="1" t="s">
        <v>74</v>
      </c>
      <c r="AT156" s="1" t="s">
        <v>1614</v>
      </c>
      <c r="AU156" s="1">
        <v>2022.0</v>
      </c>
      <c r="AV156" s="1">
        <v>9.0</v>
      </c>
      <c r="AW156" s="1">
        <v>1.0</v>
      </c>
      <c r="AX156" s="1" t="s">
        <v>74</v>
      </c>
      <c r="AY156" s="1" t="s">
        <v>74</v>
      </c>
      <c r="AZ156" s="1" t="s">
        <v>74</v>
      </c>
      <c r="BA156" s="1" t="s">
        <v>74</v>
      </c>
      <c r="BB156" s="1" t="s">
        <v>74</v>
      </c>
      <c r="BC156" s="1" t="s">
        <v>74</v>
      </c>
      <c r="BD156" s="1">
        <v>1.0</v>
      </c>
      <c r="BE156" s="1" t="s">
        <v>1615</v>
      </c>
      <c r="BF156" s="2" t="str">
        <f>HYPERLINK("http://dx.doi.org/10.1007/s40828-022-00172-3","http://dx.doi.org/10.1007/s40828-022-00172-3")</f>
        <v>http://dx.doi.org/10.1007/s40828-022-00172-3</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1616</v>
      </c>
      <c r="BT156" s="1" t="str">
        <f>HYPERLINK("https%3A%2F%2Fwww.webofscience.com%2Fwos%2Fwoscc%2Ffull-record%2FWOS:000896566700001","View Full Record in Web of Science")</f>
        <v>View Full Record in Web of Science</v>
      </c>
    </row>
    <row r="157" ht="12.75" customHeight="1">
      <c r="A157" s="1" t="s">
        <v>72</v>
      </c>
      <c r="B157" s="1" t="s">
        <v>1617</v>
      </c>
      <c r="C157" s="1" t="s">
        <v>74</v>
      </c>
      <c r="D157" s="1" t="s">
        <v>74</v>
      </c>
      <c r="E157" s="1" t="s">
        <v>74</v>
      </c>
      <c r="F157" s="1" t="s">
        <v>1618</v>
      </c>
      <c r="G157" s="1" t="s">
        <v>74</v>
      </c>
      <c r="H157" s="1" t="s">
        <v>74</v>
      </c>
      <c r="I157" s="1" t="s">
        <v>1619</v>
      </c>
      <c r="J157" s="1" t="s">
        <v>1620</v>
      </c>
      <c r="K157" s="1" t="s">
        <v>74</v>
      </c>
      <c r="L157" s="1" t="s">
        <v>74</v>
      </c>
      <c r="M157" s="1" t="s">
        <v>74</v>
      </c>
      <c r="N157" s="1" t="s">
        <v>74</v>
      </c>
      <c r="O157" s="1" t="s">
        <v>74</v>
      </c>
      <c r="P157" s="1" t="s">
        <v>74</v>
      </c>
      <c r="Q157" s="1" t="s">
        <v>74</v>
      </c>
      <c r="R157" s="1" t="s">
        <v>74</v>
      </c>
      <c r="S157" s="1" t="s">
        <v>74</v>
      </c>
      <c r="T157" s="1" t="s">
        <v>74</v>
      </c>
      <c r="U157" s="1" t="s">
        <v>74</v>
      </c>
      <c r="V157" s="1" t="s">
        <v>74</v>
      </c>
      <c r="W157" s="1" t="s">
        <v>74</v>
      </c>
      <c r="X157" s="1" t="s">
        <v>74</v>
      </c>
      <c r="Y157" s="1" t="s">
        <v>74</v>
      </c>
      <c r="Z157" s="1" t="s">
        <v>74</v>
      </c>
      <c r="AA157" s="1" t="s">
        <v>983</v>
      </c>
      <c r="AB157" s="1" t="s">
        <v>1621</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1622</v>
      </c>
      <c r="AP157" s="1" t="s">
        <v>1623</v>
      </c>
      <c r="AQ157" s="1" t="s">
        <v>74</v>
      </c>
      <c r="AR157" s="1" t="s">
        <v>74</v>
      </c>
      <c r="AS157" s="1" t="s">
        <v>74</v>
      </c>
      <c r="AT157" s="1" t="s">
        <v>319</v>
      </c>
      <c r="AU157" s="1">
        <v>2022.0</v>
      </c>
      <c r="AV157" s="1">
        <v>45.0</v>
      </c>
      <c r="AW157" s="1">
        <v>3.0</v>
      </c>
      <c r="AX157" s="1" t="s">
        <v>74</v>
      </c>
      <c r="AY157" s="1" t="s">
        <v>74</v>
      </c>
      <c r="AZ157" s="1" t="s">
        <v>74</v>
      </c>
      <c r="BA157" s="1" t="s">
        <v>74</v>
      </c>
      <c r="BB157" s="1">
        <v>485.0</v>
      </c>
      <c r="BC157" s="1">
        <v>489.0</v>
      </c>
      <c r="BD157" s="1" t="s">
        <v>74</v>
      </c>
      <c r="BE157" s="1" t="s">
        <v>1624</v>
      </c>
      <c r="BF157" s="2" t="str">
        <f>HYPERLINK("http://dx.doi.org/10.1111/jfd.13559","http://dx.doi.org/10.1111/jfd.13559")</f>
        <v>http://dx.doi.org/10.1111/jfd.13559</v>
      </c>
      <c r="BG157" s="1" t="s">
        <v>74</v>
      </c>
      <c r="BH157" s="1" t="s">
        <v>1625</v>
      </c>
      <c r="BI157" s="1" t="s">
        <v>74</v>
      </c>
      <c r="BJ157" s="1" t="s">
        <v>74</v>
      </c>
      <c r="BK157" s="1" t="s">
        <v>74</v>
      </c>
      <c r="BL157" s="1" t="s">
        <v>74</v>
      </c>
      <c r="BM157" s="1" t="s">
        <v>74</v>
      </c>
      <c r="BN157" s="1">
        <v>3.485098E7</v>
      </c>
      <c r="BO157" s="1" t="s">
        <v>74</v>
      </c>
      <c r="BP157" s="1" t="s">
        <v>74</v>
      </c>
      <c r="BQ157" s="1" t="s">
        <v>74</v>
      </c>
      <c r="BR157" s="1" t="s">
        <v>74</v>
      </c>
      <c r="BS157" s="1" t="s">
        <v>1626</v>
      </c>
      <c r="BT157" s="1" t="str">
        <f>HYPERLINK("https%3A%2F%2Fwww.webofscience.com%2Fwos%2Fwoscc%2Ffull-record%2FWOS:000724235500001","View Full Record in Web of Science")</f>
        <v>View Full Record in Web of Science</v>
      </c>
    </row>
    <row r="158" ht="12.75" customHeight="1">
      <c r="A158" s="1" t="s">
        <v>72</v>
      </c>
      <c r="B158" s="1" t="s">
        <v>1627</v>
      </c>
      <c r="C158" s="1" t="s">
        <v>74</v>
      </c>
      <c r="D158" s="1" t="s">
        <v>74</v>
      </c>
      <c r="E158" s="1" t="s">
        <v>74</v>
      </c>
      <c r="F158" s="1" t="s">
        <v>1628</v>
      </c>
      <c r="G158" s="1" t="s">
        <v>74</v>
      </c>
      <c r="H158" s="1" t="s">
        <v>74</v>
      </c>
      <c r="I158" s="1" t="s">
        <v>1629</v>
      </c>
      <c r="J158" s="1" t="s">
        <v>1314</v>
      </c>
      <c r="K158" s="1" t="s">
        <v>74</v>
      </c>
      <c r="L158" s="1" t="s">
        <v>74</v>
      </c>
      <c r="M158" s="1" t="s">
        <v>74</v>
      </c>
      <c r="N158" s="1" t="s">
        <v>74</v>
      </c>
      <c r="O158" s="1" t="s">
        <v>74</v>
      </c>
      <c r="P158" s="1" t="s">
        <v>74</v>
      </c>
      <c r="Q158" s="1" t="s">
        <v>74</v>
      </c>
      <c r="R158" s="1" t="s">
        <v>74</v>
      </c>
      <c r="S158" s="1" t="s">
        <v>74</v>
      </c>
      <c r="T158" s="1" t="s">
        <v>74</v>
      </c>
      <c r="U158" s="1" t="s">
        <v>74</v>
      </c>
      <c r="V158" s="1" t="s">
        <v>1630</v>
      </c>
      <c r="W158" s="1" t="s">
        <v>74</v>
      </c>
      <c r="X158" s="1" t="s">
        <v>74</v>
      </c>
      <c r="Y158" s="1" t="s">
        <v>74</v>
      </c>
      <c r="Z158" s="1" t="s">
        <v>74</v>
      </c>
      <c r="AA158" s="1" t="s">
        <v>1631</v>
      </c>
      <c r="AB158" s="1" t="s">
        <v>1632</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74</v>
      </c>
      <c r="AP158" s="1" t="s">
        <v>1318</v>
      </c>
      <c r="AQ158" s="1" t="s">
        <v>74</v>
      </c>
      <c r="AR158" s="1" t="s">
        <v>74</v>
      </c>
      <c r="AS158" s="1" t="s">
        <v>74</v>
      </c>
      <c r="AT158" s="1" t="s">
        <v>106</v>
      </c>
      <c r="AU158" s="1">
        <v>2021.0</v>
      </c>
      <c r="AV158" s="1">
        <v>13.0</v>
      </c>
      <c r="AW158" s="1">
        <v>17.0</v>
      </c>
      <c r="AX158" s="1" t="s">
        <v>74</v>
      </c>
      <c r="AY158" s="1" t="s">
        <v>74</v>
      </c>
      <c r="AZ158" s="1" t="s">
        <v>74</v>
      </c>
      <c r="BA158" s="1" t="s">
        <v>74</v>
      </c>
      <c r="BB158" s="1" t="s">
        <v>74</v>
      </c>
      <c r="BC158" s="1" t="s">
        <v>74</v>
      </c>
      <c r="BD158" s="1">
        <v>9529.0</v>
      </c>
      <c r="BE158" s="1" t="s">
        <v>1633</v>
      </c>
      <c r="BF158" s="2" t="str">
        <f>HYPERLINK("http://dx.doi.org/10.3390/su13179529","http://dx.doi.org/10.3390/su13179529")</f>
        <v>http://dx.doi.org/10.3390/su13179529</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1634</v>
      </c>
      <c r="BT158" s="1" t="str">
        <f>HYPERLINK("https%3A%2F%2Fwww.webofscience.com%2Fwos%2Fwoscc%2Ffull-record%2FWOS:000694531700001","View Full Record in Web of Science")</f>
        <v>View Full Record in Web of Science</v>
      </c>
    </row>
    <row r="159" ht="12.75" customHeight="1">
      <c r="A159" s="1" t="s">
        <v>72</v>
      </c>
      <c r="B159" s="1" t="s">
        <v>1635</v>
      </c>
      <c r="C159" s="1" t="s">
        <v>74</v>
      </c>
      <c r="D159" s="1" t="s">
        <v>74</v>
      </c>
      <c r="E159" s="1" t="s">
        <v>74</v>
      </c>
      <c r="F159" s="1" t="s">
        <v>1636</v>
      </c>
      <c r="G159" s="1" t="s">
        <v>74</v>
      </c>
      <c r="H159" s="1" t="s">
        <v>74</v>
      </c>
      <c r="I159" s="1" t="s">
        <v>1637</v>
      </c>
      <c r="J159" s="1" t="s">
        <v>1638</v>
      </c>
      <c r="K159" s="1" t="s">
        <v>74</v>
      </c>
      <c r="L159" s="1" t="s">
        <v>74</v>
      </c>
      <c r="M159" s="1" t="s">
        <v>74</v>
      </c>
      <c r="N159" s="1" t="s">
        <v>74</v>
      </c>
      <c r="O159" s="1" t="s">
        <v>74</v>
      </c>
      <c r="P159" s="1" t="s">
        <v>74</v>
      </c>
      <c r="Q159" s="1" t="s">
        <v>74</v>
      </c>
      <c r="R159" s="1" t="s">
        <v>74</v>
      </c>
      <c r="S159" s="1" t="s">
        <v>74</v>
      </c>
      <c r="T159" s="1" t="s">
        <v>74</v>
      </c>
      <c r="U159" s="1" t="s">
        <v>74</v>
      </c>
      <c r="V159" s="1" t="s">
        <v>1639</v>
      </c>
      <c r="W159" s="1" t="s">
        <v>74</v>
      </c>
      <c r="X159" s="1" t="s">
        <v>74</v>
      </c>
      <c r="Y159" s="1" t="s">
        <v>74</v>
      </c>
      <c r="Z159" s="1" t="s">
        <v>74</v>
      </c>
      <c r="AA159" s="1" t="s">
        <v>74</v>
      </c>
      <c r="AB159" s="1" t="s">
        <v>1640</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1641</v>
      </c>
      <c r="AP159" s="1" t="s">
        <v>1642</v>
      </c>
      <c r="AQ159" s="1" t="s">
        <v>74</v>
      </c>
      <c r="AR159" s="1" t="s">
        <v>74</v>
      </c>
      <c r="AS159" s="1" t="s">
        <v>74</v>
      </c>
      <c r="AT159" s="1" t="s">
        <v>74</v>
      </c>
      <c r="AU159" s="1">
        <v>2021.0</v>
      </c>
      <c r="AV159" s="1">
        <v>20.0</v>
      </c>
      <c r="AW159" s="1" t="s">
        <v>74</v>
      </c>
      <c r="AX159" s="1" t="s">
        <v>74</v>
      </c>
      <c r="AY159" s="1" t="s">
        <v>74</v>
      </c>
      <c r="AZ159" s="1" t="s">
        <v>74</v>
      </c>
      <c r="BA159" s="1" t="s">
        <v>74</v>
      </c>
      <c r="BB159" s="1" t="s">
        <v>74</v>
      </c>
      <c r="BC159" s="1" t="s">
        <v>74</v>
      </c>
      <c r="BD159" s="1">
        <v>1.534735421100756E16</v>
      </c>
      <c r="BE159" s="1" t="s">
        <v>1643</v>
      </c>
      <c r="BF159" s="2" t="str">
        <f>HYPERLINK("http://dx.doi.org/10.1177/15347354211007560","http://dx.doi.org/10.1177/15347354211007560")</f>
        <v>http://dx.doi.org/10.1177/15347354211007560</v>
      </c>
      <c r="BG159" s="1" t="s">
        <v>74</v>
      </c>
      <c r="BH159" s="1" t="s">
        <v>74</v>
      </c>
      <c r="BI159" s="1" t="s">
        <v>74</v>
      </c>
      <c r="BJ159" s="1" t="s">
        <v>74</v>
      </c>
      <c r="BK159" s="1" t="s">
        <v>74</v>
      </c>
      <c r="BL159" s="1" t="s">
        <v>74</v>
      </c>
      <c r="BM159" s="1" t="s">
        <v>74</v>
      </c>
      <c r="BN159" s="1">
        <v>3.3926283E7</v>
      </c>
      <c r="BO159" s="1" t="s">
        <v>74</v>
      </c>
      <c r="BP159" s="1" t="s">
        <v>74</v>
      </c>
      <c r="BQ159" s="1" t="s">
        <v>74</v>
      </c>
      <c r="BR159" s="1" t="s">
        <v>74</v>
      </c>
      <c r="BS159" s="1" t="s">
        <v>1644</v>
      </c>
      <c r="BT159" s="1" t="str">
        <f>HYPERLINK("https%3A%2F%2Fwww.webofscience.com%2Fwos%2Fwoscc%2Ffull-record%2FWOS:001353197100012","View Full Record in Web of Science")</f>
        <v>View Full Record in Web of Science</v>
      </c>
    </row>
    <row r="160" ht="12.75" customHeight="1">
      <c r="A160" s="1" t="s">
        <v>241</v>
      </c>
      <c r="B160" s="1" t="s">
        <v>1645</v>
      </c>
      <c r="C160" s="1" t="s">
        <v>74</v>
      </c>
      <c r="D160" s="1" t="s">
        <v>74</v>
      </c>
      <c r="E160" s="1" t="s">
        <v>427</v>
      </c>
      <c r="F160" s="1" t="s">
        <v>1646</v>
      </c>
      <c r="G160" s="1" t="s">
        <v>74</v>
      </c>
      <c r="H160" s="1" t="s">
        <v>74</v>
      </c>
      <c r="I160" s="1" t="s">
        <v>1647</v>
      </c>
      <c r="J160" s="1" t="s">
        <v>1648</v>
      </c>
      <c r="K160" s="1" t="s">
        <v>74</v>
      </c>
      <c r="L160" s="1" t="s">
        <v>74</v>
      </c>
      <c r="M160" s="1" t="s">
        <v>74</v>
      </c>
      <c r="N160" s="1" t="s">
        <v>74</v>
      </c>
      <c r="O160" s="1" t="s">
        <v>1649</v>
      </c>
      <c r="P160" s="1" t="s">
        <v>1650</v>
      </c>
      <c r="Q160" s="1" t="s">
        <v>1506</v>
      </c>
      <c r="R160" s="1" t="s">
        <v>1651</v>
      </c>
      <c r="S160" s="1" t="s">
        <v>74</v>
      </c>
      <c r="T160" s="1" t="s">
        <v>74</v>
      </c>
      <c r="U160" s="1" t="s">
        <v>74</v>
      </c>
      <c r="V160" s="1" t="s">
        <v>1652</v>
      </c>
      <c r="W160" s="1" t="s">
        <v>74</v>
      </c>
      <c r="X160" s="1" t="s">
        <v>74</v>
      </c>
      <c r="Y160" s="1" t="s">
        <v>74</v>
      </c>
      <c r="Z160" s="1" t="s">
        <v>74</v>
      </c>
      <c r="AA160" s="1" t="s">
        <v>1653</v>
      </c>
      <c r="AB160" s="1" t="s">
        <v>74</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74</v>
      </c>
      <c r="AP160" s="1" t="s">
        <v>74</v>
      </c>
      <c r="AQ160" s="1" t="s">
        <v>1654</v>
      </c>
      <c r="AR160" s="1" t="s">
        <v>74</v>
      </c>
      <c r="AS160" s="1" t="s">
        <v>74</v>
      </c>
      <c r="AT160" s="1" t="s">
        <v>74</v>
      </c>
      <c r="AU160" s="1">
        <v>2021.0</v>
      </c>
      <c r="AV160" s="1" t="s">
        <v>74</v>
      </c>
      <c r="AW160" s="1" t="s">
        <v>74</v>
      </c>
      <c r="AX160" s="1" t="s">
        <v>74</v>
      </c>
      <c r="AY160" s="1" t="s">
        <v>74</v>
      </c>
      <c r="AZ160" s="1" t="s">
        <v>74</v>
      </c>
      <c r="BA160" s="1" t="s">
        <v>74</v>
      </c>
      <c r="BB160" s="1">
        <v>672.0</v>
      </c>
      <c r="BC160" s="1">
        <v>677.0</v>
      </c>
      <c r="BD160" s="1" t="s">
        <v>74</v>
      </c>
      <c r="BE160" s="1" t="s">
        <v>1655</v>
      </c>
      <c r="BF160" s="2" t="str">
        <f>HYPERLINK("http://dx.doi.org/10.1109/CHILECON54041.2021.9702991","http://dx.doi.org/10.1109/CHILECON54041.2021.9702991")</f>
        <v>http://dx.doi.org/10.1109/CHILECON54041.2021.9702991</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1656</v>
      </c>
      <c r="BT160" s="1" t="str">
        <f>HYPERLINK("https%3A%2F%2Fwww.webofscience.com%2Fwos%2Fwoscc%2Ffull-record%2FWOS:000788072700109","View Full Record in Web of Science")</f>
        <v>View Full Record in Web of Science</v>
      </c>
    </row>
    <row r="161" ht="12.75" customHeight="1">
      <c r="A161" s="1" t="s">
        <v>72</v>
      </c>
      <c r="B161" s="1" t="s">
        <v>1657</v>
      </c>
      <c r="C161" s="1" t="s">
        <v>74</v>
      </c>
      <c r="D161" s="1" t="s">
        <v>74</v>
      </c>
      <c r="E161" s="1" t="s">
        <v>74</v>
      </c>
      <c r="F161" s="1" t="s">
        <v>1658</v>
      </c>
      <c r="G161" s="1" t="s">
        <v>74</v>
      </c>
      <c r="H161" s="1" t="s">
        <v>74</v>
      </c>
      <c r="I161" s="1" t="s">
        <v>1659</v>
      </c>
      <c r="J161" s="1" t="s">
        <v>1660</v>
      </c>
      <c r="K161" s="1" t="s">
        <v>74</v>
      </c>
      <c r="L161" s="1" t="s">
        <v>74</v>
      </c>
      <c r="M161" s="1" t="s">
        <v>74</v>
      </c>
      <c r="N161" s="1" t="s">
        <v>74</v>
      </c>
      <c r="O161" s="1" t="s">
        <v>74</v>
      </c>
      <c r="P161" s="1" t="s">
        <v>74</v>
      </c>
      <c r="Q161" s="1" t="s">
        <v>74</v>
      </c>
      <c r="R161" s="1" t="s">
        <v>74</v>
      </c>
      <c r="S161" s="1" t="s">
        <v>74</v>
      </c>
      <c r="T161" s="1" t="s">
        <v>74</v>
      </c>
      <c r="U161" s="1" t="s">
        <v>74</v>
      </c>
      <c r="V161" s="1" t="s">
        <v>74</v>
      </c>
      <c r="W161" s="1" t="s">
        <v>74</v>
      </c>
      <c r="X161" s="1" t="s">
        <v>74</v>
      </c>
      <c r="Y161" s="1" t="s">
        <v>74</v>
      </c>
      <c r="Z161" s="1" t="s">
        <v>74</v>
      </c>
      <c r="AA161" s="1" t="s">
        <v>74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1661</v>
      </c>
      <c r="AP161" s="1" t="s">
        <v>74</v>
      </c>
      <c r="AQ161" s="1" t="s">
        <v>74</v>
      </c>
      <c r="AR161" s="1" t="s">
        <v>74</v>
      </c>
      <c r="AS161" s="1" t="s">
        <v>74</v>
      </c>
      <c r="AT161" s="1" t="s">
        <v>74</v>
      </c>
      <c r="AU161" s="1">
        <v>2020.0</v>
      </c>
      <c r="AV161" s="1" t="s">
        <v>74</v>
      </c>
      <c r="AW161" s="1">
        <v>15.0</v>
      </c>
      <c r="AX161" s="1" t="s">
        <v>74</v>
      </c>
      <c r="AY161" s="1" t="s">
        <v>74</v>
      </c>
      <c r="AZ161" s="1" t="s">
        <v>74</v>
      </c>
      <c r="BA161" s="1" t="s">
        <v>74</v>
      </c>
      <c r="BB161" s="1">
        <v>572.0</v>
      </c>
      <c r="BC161" s="1">
        <v>575.0</v>
      </c>
      <c r="BD161" s="1" t="s">
        <v>74</v>
      </c>
      <c r="BE161" s="1" t="s">
        <v>1662</v>
      </c>
      <c r="BF161" s="2" t="str">
        <f>HYPERLINK("http://dx.doi.org/10.7203/KAM.15.17392","http://dx.doi.org/10.7203/KAM.15.17392")</f>
        <v>http://dx.doi.org/10.7203/KAM.15.17392</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1663</v>
      </c>
      <c r="BT161" s="1" t="str">
        <f>HYPERLINK("https%3A%2F%2Fwww.webofscience.com%2Fwos%2Fwoscc%2Ffull-record%2FWOS:000556952000028","View Full Record in Web of Science")</f>
        <v>View Full Record in Web of Science</v>
      </c>
    </row>
    <row r="162" ht="12.75" customHeight="1">
      <c r="A162" s="1" t="s">
        <v>72</v>
      </c>
      <c r="B162" s="1" t="s">
        <v>1664</v>
      </c>
      <c r="C162" s="1" t="s">
        <v>74</v>
      </c>
      <c r="D162" s="1" t="s">
        <v>74</v>
      </c>
      <c r="E162" s="1" t="s">
        <v>74</v>
      </c>
      <c r="F162" s="1" t="s">
        <v>1665</v>
      </c>
      <c r="G162" s="1" t="s">
        <v>74</v>
      </c>
      <c r="H162" s="1" t="s">
        <v>74</v>
      </c>
      <c r="I162" s="1" t="s">
        <v>1666</v>
      </c>
      <c r="J162" s="1" t="s">
        <v>1667</v>
      </c>
      <c r="K162" s="1" t="s">
        <v>74</v>
      </c>
      <c r="L162" s="1" t="s">
        <v>74</v>
      </c>
      <c r="M162" s="1" t="s">
        <v>74</v>
      </c>
      <c r="N162" s="1" t="s">
        <v>74</v>
      </c>
      <c r="O162" s="1" t="s">
        <v>74</v>
      </c>
      <c r="P162" s="1" t="s">
        <v>74</v>
      </c>
      <c r="Q162" s="1" t="s">
        <v>74</v>
      </c>
      <c r="R162" s="1" t="s">
        <v>74</v>
      </c>
      <c r="S162" s="1" t="s">
        <v>74</v>
      </c>
      <c r="T162" s="1" t="s">
        <v>74</v>
      </c>
      <c r="U162" s="1" t="s">
        <v>74</v>
      </c>
      <c r="V162" s="1" t="s">
        <v>1668</v>
      </c>
      <c r="W162" s="1" t="s">
        <v>74</v>
      </c>
      <c r="X162" s="1" t="s">
        <v>74</v>
      </c>
      <c r="Y162" s="1" t="s">
        <v>74</v>
      </c>
      <c r="Z162" s="1" t="s">
        <v>74</v>
      </c>
      <c r="AA162" s="1" t="s">
        <v>1669</v>
      </c>
      <c r="AB162" s="1" t="s">
        <v>1670</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1671</v>
      </c>
      <c r="AP162" s="1" t="s">
        <v>74</v>
      </c>
      <c r="AQ162" s="1" t="s">
        <v>74</v>
      </c>
      <c r="AR162" s="1" t="s">
        <v>74</v>
      </c>
      <c r="AS162" s="1" t="s">
        <v>74</v>
      </c>
      <c r="AT162" s="1" t="s">
        <v>174</v>
      </c>
      <c r="AU162" s="1">
        <v>2019.0</v>
      </c>
      <c r="AV162" s="1">
        <v>4.0</v>
      </c>
      <c r="AW162" s="1">
        <v>4.0</v>
      </c>
      <c r="AX162" s="1" t="s">
        <v>74</v>
      </c>
      <c r="AY162" s="1" t="s">
        <v>74</v>
      </c>
      <c r="AZ162" s="1" t="s">
        <v>74</v>
      </c>
      <c r="BA162" s="1" t="s">
        <v>74</v>
      </c>
      <c r="BB162" s="1">
        <v>7411.0</v>
      </c>
      <c r="BC162" s="1">
        <v>7419.0</v>
      </c>
      <c r="BD162" s="1" t="s">
        <v>74</v>
      </c>
      <c r="BE162" s="1" t="s">
        <v>1672</v>
      </c>
      <c r="BF162" s="2" t="str">
        <f>HYPERLINK("http://dx.doi.org/10.1021/acsomega.9b00236","http://dx.doi.org/10.1021/acsomega.9b00236")</f>
        <v>http://dx.doi.org/10.1021/acsomega.9b00236</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1673</v>
      </c>
      <c r="BT162" s="1" t="str">
        <f>HYPERLINK("https%3A%2F%2Fwww.webofscience.com%2Fwos%2Fwoscc%2Ffull-record%2FWOS:000466552500143","View Full Record in Web of Science")</f>
        <v>View Full Record in Web of Science</v>
      </c>
    </row>
    <row r="163" ht="12.75" customHeight="1">
      <c r="A163" s="1" t="s">
        <v>72</v>
      </c>
      <c r="B163" s="1" t="s">
        <v>1674</v>
      </c>
      <c r="C163" s="1" t="s">
        <v>74</v>
      </c>
      <c r="D163" s="1" t="s">
        <v>74</v>
      </c>
      <c r="E163" s="1" t="s">
        <v>74</v>
      </c>
      <c r="F163" s="1" t="s">
        <v>1675</v>
      </c>
      <c r="G163" s="1" t="s">
        <v>74</v>
      </c>
      <c r="H163" s="1" t="s">
        <v>74</v>
      </c>
      <c r="I163" s="1" t="s">
        <v>1676</v>
      </c>
      <c r="J163" s="1" t="s">
        <v>1677</v>
      </c>
      <c r="K163" s="1" t="s">
        <v>74</v>
      </c>
      <c r="L163" s="1" t="s">
        <v>74</v>
      </c>
      <c r="M163" s="1" t="s">
        <v>74</v>
      </c>
      <c r="N163" s="1" t="s">
        <v>74</v>
      </c>
      <c r="O163" s="1" t="s">
        <v>74</v>
      </c>
      <c r="P163" s="1" t="s">
        <v>74</v>
      </c>
      <c r="Q163" s="1" t="s">
        <v>74</v>
      </c>
      <c r="R163" s="1" t="s">
        <v>74</v>
      </c>
      <c r="S163" s="1" t="s">
        <v>74</v>
      </c>
      <c r="T163" s="1" t="s">
        <v>74</v>
      </c>
      <c r="U163" s="1" t="s">
        <v>74</v>
      </c>
      <c r="V163" s="1" t="s">
        <v>1678</v>
      </c>
      <c r="W163" s="1" t="s">
        <v>74</v>
      </c>
      <c r="X163" s="1" t="s">
        <v>74</v>
      </c>
      <c r="Y163" s="1" t="s">
        <v>74</v>
      </c>
      <c r="Z163" s="1" t="s">
        <v>74</v>
      </c>
      <c r="AA163" s="1" t="s">
        <v>1679</v>
      </c>
      <c r="AB163" s="1" t="s">
        <v>1680</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1681</v>
      </c>
      <c r="AP163" s="1" t="s">
        <v>1682</v>
      </c>
      <c r="AQ163" s="1" t="s">
        <v>74</v>
      </c>
      <c r="AR163" s="1" t="s">
        <v>74</v>
      </c>
      <c r="AS163" s="1" t="s">
        <v>74</v>
      </c>
      <c r="AT163" s="1" t="s">
        <v>82</v>
      </c>
      <c r="AU163" s="1">
        <v>2018.0</v>
      </c>
      <c r="AV163" s="1">
        <v>14.0</v>
      </c>
      <c r="AW163" s="1">
        <v>2.0</v>
      </c>
      <c r="AX163" s="1" t="s">
        <v>74</v>
      </c>
      <c r="AY163" s="1" t="s">
        <v>74</v>
      </c>
      <c r="AZ163" s="1" t="s">
        <v>74</v>
      </c>
      <c r="BA163" s="1" t="s">
        <v>74</v>
      </c>
      <c r="BB163" s="1">
        <v>121.0</v>
      </c>
      <c r="BC163" s="1">
        <v>139.0</v>
      </c>
      <c r="BD163" s="1" t="s">
        <v>74</v>
      </c>
      <c r="BE163" s="1" t="s">
        <v>1683</v>
      </c>
      <c r="BF163" s="2" t="str">
        <f>HYPERLINK("http://dx.doi.org/10.1007/s11302-017-9599-7","http://dx.doi.org/10.1007/s11302-017-9599-7")</f>
        <v>http://dx.doi.org/10.1007/s11302-017-9599-7</v>
      </c>
      <c r="BG163" s="1" t="s">
        <v>74</v>
      </c>
      <c r="BH163" s="1" t="s">
        <v>74</v>
      </c>
      <c r="BI163" s="1" t="s">
        <v>74</v>
      </c>
      <c r="BJ163" s="1" t="s">
        <v>74</v>
      </c>
      <c r="BK163" s="1" t="s">
        <v>74</v>
      </c>
      <c r="BL163" s="1" t="s">
        <v>74</v>
      </c>
      <c r="BM163" s="1" t="s">
        <v>74</v>
      </c>
      <c r="BN163" s="1">
        <v>2.9349673E7</v>
      </c>
      <c r="BO163" s="1" t="s">
        <v>74</v>
      </c>
      <c r="BP163" s="1" t="s">
        <v>74</v>
      </c>
      <c r="BQ163" s="1" t="s">
        <v>74</v>
      </c>
      <c r="BR163" s="1" t="s">
        <v>74</v>
      </c>
      <c r="BS163" s="1" t="s">
        <v>1684</v>
      </c>
      <c r="BT163" s="1" t="str">
        <f>HYPERLINK("https%3A%2F%2Fwww.webofscience.com%2Fwos%2Fwoscc%2Ffull-record%2FWOS:000431794000003","View Full Record in Web of Science")</f>
        <v>View Full Record in Web of Science</v>
      </c>
    </row>
    <row r="164" ht="12.75" customHeight="1">
      <c r="A164" s="1" t="s">
        <v>241</v>
      </c>
      <c r="B164" s="1" t="s">
        <v>1685</v>
      </c>
      <c r="C164" s="1" t="s">
        <v>74</v>
      </c>
      <c r="D164" s="1" t="s">
        <v>74</v>
      </c>
      <c r="E164" s="1" t="s">
        <v>427</v>
      </c>
      <c r="F164" s="1" t="s">
        <v>1686</v>
      </c>
      <c r="G164" s="1" t="s">
        <v>74</v>
      </c>
      <c r="H164" s="1" t="s">
        <v>74</v>
      </c>
      <c r="I164" s="1" t="s">
        <v>1687</v>
      </c>
      <c r="J164" s="1" t="s">
        <v>1688</v>
      </c>
      <c r="K164" s="1" t="s">
        <v>431</v>
      </c>
      <c r="L164" s="1" t="s">
        <v>74</v>
      </c>
      <c r="M164" s="1" t="s">
        <v>74</v>
      </c>
      <c r="N164" s="1" t="s">
        <v>74</v>
      </c>
      <c r="O164" s="1" t="s">
        <v>1689</v>
      </c>
      <c r="P164" s="1" t="s">
        <v>1690</v>
      </c>
      <c r="Q164" s="1" t="s">
        <v>1691</v>
      </c>
      <c r="R164" s="1" t="s">
        <v>1692</v>
      </c>
      <c r="S164" s="1" t="s">
        <v>1693</v>
      </c>
      <c r="T164" s="1" t="s">
        <v>74</v>
      </c>
      <c r="U164" s="1" t="s">
        <v>74</v>
      </c>
      <c r="V164" s="1" t="s">
        <v>1694</v>
      </c>
      <c r="W164" s="1" t="s">
        <v>74</v>
      </c>
      <c r="X164" s="1" t="s">
        <v>74</v>
      </c>
      <c r="Y164" s="1" t="s">
        <v>74</v>
      </c>
      <c r="Z164" s="1" t="s">
        <v>74</v>
      </c>
      <c r="AA164" s="1" t="s">
        <v>1695</v>
      </c>
      <c r="AB164" s="1" t="s">
        <v>1696</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439</v>
      </c>
      <c r="AP164" s="1" t="s">
        <v>74</v>
      </c>
      <c r="AQ164" s="1" t="s">
        <v>1697</v>
      </c>
      <c r="AR164" s="1" t="s">
        <v>74</v>
      </c>
      <c r="AS164" s="1" t="s">
        <v>74</v>
      </c>
      <c r="AT164" s="1" t="s">
        <v>74</v>
      </c>
      <c r="AU164" s="1">
        <v>2018.0</v>
      </c>
      <c r="AV164" s="1" t="s">
        <v>74</v>
      </c>
      <c r="AW164" s="1" t="s">
        <v>74</v>
      </c>
      <c r="AX164" s="1" t="s">
        <v>74</v>
      </c>
      <c r="AY164" s="1" t="s">
        <v>74</v>
      </c>
      <c r="AZ164" s="1" t="s">
        <v>74</v>
      </c>
      <c r="BA164" s="1" t="s">
        <v>74</v>
      </c>
      <c r="BB164" s="1" t="s">
        <v>74</v>
      </c>
      <c r="BC164" s="1" t="s">
        <v>74</v>
      </c>
      <c r="BD164" s="1" t="s">
        <v>74</v>
      </c>
      <c r="BE164" s="1" t="s">
        <v>74</v>
      </c>
      <c r="BF164" s="1" t="s">
        <v>74</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1698</v>
      </c>
      <c r="BT164" s="1" t="str">
        <f>HYPERLINK("https%3A%2F%2Fwww.webofscience.com%2Fwos%2Fwoscc%2Ffull-record%2FWOS:000469267700033","View Full Record in Web of Science")</f>
        <v>View Full Record in Web of Science</v>
      </c>
    </row>
    <row r="165" ht="12.75" customHeight="1">
      <c r="A165" s="1" t="s">
        <v>72</v>
      </c>
      <c r="B165" s="1" t="s">
        <v>1699</v>
      </c>
      <c r="C165" s="1" t="s">
        <v>74</v>
      </c>
      <c r="D165" s="1" t="s">
        <v>74</v>
      </c>
      <c r="E165" s="1" t="s">
        <v>74</v>
      </c>
      <c r="F165" s="1" t="s">
        <v>1700</v>
      </c>
      <c r="G165" s="1" t="s">
        <v>74</v>
      </c>
      <c r="H165" s="1" t="s">
        <v>74</v>
      </c>
      <c r="I165" s="1" t="s">
        <v>1701</v>
      </c>
      <c r="J165" s="1" t="s">
        <v>1702</v>
      </c>
      <c r="K165" s="1" t="s">
        <v>74</v>
      </c>
      <c r="L165" s="1" t="s">
        <v>74</v>
      </c>
      <c r="M165" s="1" t="s">
        <v>74</v>
      </c>
      <c r="N165" s="1" t="s">
        <v>74</v>
      </c>
      <c r="O165" s="1" t="s">
        <v>74</v>
      </c>
      <c r="P165" s="1" t="s">
        <v>74</v>
      </c>
      <c r="Q165" s="1" t="s">
        <v>74</v>
      </c>
      <c r="R165" s="1" t="s">
        <v>74</v>
      </c>
      <c r="S165" s="1" t="s">
        <v>74</v>
      </c>
      <c r="T165" s="1" t="s">
        <v>74</v>
      </c>
      <c r="U165" s="1" t="s">
        <v>74</v>
      </c>
      <c r="V165" s="1" t="s">
        <v>1703</v>
      </c>
      <c r="W165" s="1" t="s">
        <v>74</v>
      </c>
      <c r="X165" s="1" t="s">
        <v>74</v>
      </c>
      <c r="Y165" s="1" t="s">
        <v>74</v>
      </c>
      <c r="Z165" s="1" t="s">
        <v>74</v>
      </c>
      <c r="AA165" s="1" t="s">
        <v>508</v>
      </c>
      <c r="AB165" s="1" t="s">
        <v>74</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1704</v>
      </c>
      <c r="AP165" s="1" t="s">
        <v>1705</v>
      </c>
      <c r="AQ165" s="1" t="s">
        <v>74</v>
      </c>
      <c r="AR165" s="1" t="s">
        <v>74</v>
      </c>
      <c r="AS165" s="1" t="s">
        <v>74</v>
      </c>
      <c r="AT165" s="1" t="s">
        <v>160</v>
      </c>
      <c r="AU165" s="1">
        <v>2016.0</v>
      </c>
      <c r="AV165" s="1">
        <v>227.0</v>
      </c>
      <c r="AW165" s="1">
        <v>12.0</v>
      </c>
      <c r="AX165" s="1" t="s">
        <v>74</v>
      </c>
      <c r="AY165" s="1" t="s">
        <v>74</v>
      </c>
      <c r="AZ165" s="1" t="s">
        <v>74</v>
      </c>
      <c r="BA165" s="1" t="s">
        <v>74</v>
      </c>
      <c r="BB165" s="1" t="s">
        <v>74</v>
      </c>
      <c r="BC165" s="1" t="s">
        <v>74</v>
      </c>
      <c r="BD165" s="1">
        <v>435.0</v>
      </c>
      <c r="BE165" s="1" t="s">
        <v>1706</v>
      </c>
      <c r="BF165" s="2" t="str">
        <f>HYPERLINK("http://dx.doi.org/10.1007/s11270-016-3124-4","http://dx.doi.org/10.1007/s11270-016-3124-4")</f>
        <v>http://dx.doi.org/10.1007/s11270-016-3124-4</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1707</v>
      </c>
      <c r="BT165" s="1" t="str">
        <f>HYPERLINK("https%3A%2F%2Fwww.webofscience.com%2Fwos%2Fwoscc%2Ffull-record%2FWOS:000390681500009","View Full Record in Web of Science")</f>
        <v>View Full Record in Web of Science</v>
      </c>
    </row>
    <row r="166" ht="12.75" customHeight="1">
      <c r="A166" s="1" t="s">
        <v>72</v>
      </c>
      <c r="B166" s="1" t="s">
        <v>1708</v>
      </c>
      <c r="C166" s="1" t="s">
        <v>74</v>
      </c>
      <c r="D166" s="1" t="s">
        <v>74</v>
      </c>
      <c r="E166" s="1" t="s">
        <v>74</v>
      </c>
      <c r="F166" s="1" t="s">
        <v>1709</v>
      </c>
      <c r="G166" s="1" t="s">
        <v>74</v>
      </c>
      <c r="H166" s="1" t="s">
        <v>74</v>
      </c>
      <c r="I166" s="1" t="s">
        <v>1710</v>
      </c>
      <c r="J166" s="1" t="s">
        <v>1377</v>
      </c>
      <c r="K166" s="1" t="s">
        <v>74</v>
      </c>
      <c r="L166" s="1" t="s">
        <v>74</v>
      </c>
      <c r="M166" s="1" t="s">
        <v>74</v>
      </c>
      <c r="N166" s="1" t="s">
        <v>74</v>
      </c>
      <c r="O166" s="1" t="s">
        <v>74</v>
      </c>
      <c r="P166" s="1" t="s">
        <v>74</v>
      </c>
      <c r="Q166" s="1" t="s">
        <v>74</v>
      </c>
      <c r="R166" s="1" t="s">
        <v>74</v>
      </c>
      <c r="S166" s="1" t="s">
        <v>74</v>
      </c>
      <c r="T166" s="1" t="s">
        <v>74</v>
      </c>
      <c r="U166" s="1" t="s">
        <v>74</v>
      </c>
      <c r="V166" s="1" t="s">
        <v>1711</v>
      </c>
      <c r="W166" s="1" t="s">
        <v>74</v>
      </c>
      <c r="X166" s="1" t="s">
        <v>74</v>
      </c>
      <c r="Y166" s="1" t="s">
        <v>74</v>
      </c>
      <c r="Z166" s="1" t="s">
        <v>74</v>
      </c>
      <c r="AA166" s="1" t="s">
        <v>1712</v>
      </c>
      <c r="AB166" s="1" t="s">
        <v>1713</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1714</v>
      </c>
      <c r="AP166" s="1" t="s">
        <v>1715</v>
      </c>
      <c r="AQ166" s="1" t="s">
        <v>74</v>
      </c>
      <c r="AR166" s="1" t="s">
        <v>74</v>
      </c>
      <c r="AS166" s="1" t="s">
        <v>74</v>
      </c>
      <c r="AT166" s="1" t="s">
        <v>1716</v>
      </c>
      <c r="AU166" s="1">
        <v>2015.0</v>
      </c>
      <c r="AV166" s="1">
        <v>92.0</v>
      </c>
      <c r="AW166" s="1">
        <v>2.0</v>
      </c>
      <c r="AX166" s="1" t="s">
        <v>74</v>
      </c>
      <c r="AY166" s="1" t="s">
        <v>74</v>
      </c>
      <c r="AZ166" s="1" t="s">
        <v>74</v>
      </c>
      <c r="BA166" s="1" t="s">
        <v>74</v>
      </c>
      <c r="BB166" s="1" t="s">
        <v>74</v>
      </c>
      <c r="BC166" s="1" t="s">
        <v>74</v>
      </c>
      <c r="BD166" s="1">
        <v>22348.0</v>
      </c>
      <c r="BE166" s="1" t="s">
        <v>1717</v>
      </c>
      <c r="BF166" s="2" t="str">
        <f>HYPERLINK("http://dx.doi.org/10.1103/PhysRevA.92.022348","http://dx.doi.org/10.1103/PhysRevA.92.022348")</f>
        <v>http://dx.doi.org/10.1103/PhysRevA.92.022348</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1718</v>
      </c>
      <c r="BT166" s="1" t="str">
        <f>HYPERLINK("https%3A%2F%2Fwww.webofscience.com%2Fwos%2Fwoscc%2Ffull-record%2FWOS:000359938200007","View Full Record in Web of Science")</f>
        <v>View Full Record in Web of Science</v>
      </c>
    </row>
    <row r="167" ht="12.75" customHeight="1">
      <c r="A167" s="1" t="s">
        <v>72</v>
      </c>
      <c r="B167" s="1" t="s">
        <v>1719</v>
      </c>
      <c r="C167" s="1" t="s">
        <v>74</v>
      </c>
      <c r="D167" s="1" t="s">
        <v>74</v>
      </c>
      <c r="E167" s="1" t="s">
        <v>74</v>
      </c>
      <c r="F167" s="1" t="s">
        <v>1720</v>
      </c>
      <c r="G167" s="1" t="s">
        <v>74</v>
      </c>
      <c r="H167" s="1" t="s">
        <v>74</v>
      </c>
      <c r="I167" s="1" t="s">
        <v>1721</v>
      </c>
      <c r="J167" s="1" t="s">
        <v>1722</v>
      </c>
      <c r="K167" s="1" t="s">
        <v>74</v>
      </c>
      <c r="L167" s="1" t="s">
        <v>74</v>
      </c>
      <c r="M167" s="1" t="s">
        <v>74</v>
      </c>
      <c r="N167" s="1" t="s">
        <v>74</v>
      </c>
      <c r="O167" s="1" t="s">
        <v>74</v>
      </c>
      <c r="P167" s="1" t="s">
        <v>74</v>
      </c>
      <c r="Q167" s="1" t="s">
        <v>74</v>
      </c>
      <c r="R167" s="1" t="s">
        <v>74</v>
      </c>
      <c r="S167" s="1" t="s">
        <v>74</v>
      </c>
      <c r="T167" s="1" t="s">
        <v>74</v>
      </c>
      <c r="U167" s="1" t="s">
        <v>74</v>
      </c>
      <c r="V167" s="1" t="s">
        <v>1723</v>
      </c>
      <c r="W167" s="1" t="s">
        <v>74</v>
      </c>
      <c r="X167" s="1" t="s">
        <v>74</v>
      </c>
      <c r="Y167" s="1" t="s">
        <v>74</v>
      </c>
      <c r="Z167" s="1" t="s">
        <v>74</v>
      </c>
      <c r="AA167" s="1" t="s">
        <v>74</v>
      </c>
      <c r="AB167" s="1" t="s">
        <v>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1724</v>
      </c>
      <c r="AP167" s="1" t="s">
        <v>1725</v>
      </c>
      <c r="AQ167" s="1" t="s">
        <v>74</v>
      </c>
      <c r="AR167" s="1" t="s">
        <v>74</v>
      </c>
      <c r="AS167" s="1" t="s">
        <v>74</v>
      </c>
      <c r="AT167" s="1" t="s">
        <v>82</v>
      </c>
      <c r="AU167" s="1">
        <v>2014.0</v>
      </c>
      <c r="AV167" s="1">
        <v>40.0</v>
      </c>
      <c r="AW167" s="1">
        <v>3.0</v>
      </c>
      <c r="AX167" s="1" t="s">
        <v>74</v>
      </c>
      <c r="AY167" s="1" t="s">
        <v>74</v>
      </c>
      <c r="AZ167" s="1" t="s">
        <v>74</v>
      </c>
      <c r="BA167" s="1" t="s">
        <v>74</v>
      </c>
      <c r="BB167" s="1">
        <v>887.0</v>
      </c>
      <c r="BC167" s="1">
        <v>896.0</v>
      </c>
      <c r="BD167" s="1" t="s">
        <v>74</v>
      </c>
      <c r="BE167" s="1" t="s">
        <v>1726</v>
      </c>
      <c r="BF167" s="2" t="str">
        <f>HYPERLINK("http://dx.doi.org/10.1007/s10695-013-9894-3","http://dx.doi.org/10.1007/s10695-013-9894-3")</f>
        <v>http://dx.doi.org/10.1007/s10695-013-9894-3</v>
      </c>
      <c r="BG167" s="1" t="s">
        <v>74</v>
      </c>
      <c r="BH167" s="1" t="s">
        <v>74</v>
      </c>
      <c r="BI167" s="1" t="s">
        <v>74</v>
      </c>
      <c r="BJ167" s="1" t="s">
        <v>74</v>
      </c>
      <c r="BK167" s="1" t="s">
        <v>74</v>
      </c>
      <c r="BL167" s="1" t="s">
        <v>74</v>
      </c>
      <c r="BM167" s="1" t="s">
        <v>74</v>
      </c>
      <c r="BN167" s="1">
        <v>2.4306554E7</v>
      </c>
      <c r="BO167" s="1" t="s">
        <v>74</v>
      </c>
      <c r="BP167" s="1" t="s">
        <v>74</v>
      </c>
      <c r="BQ167" s="1" t="s">
        <v>74</v>
      </c>
      <c r="BR167" s="1" t="s">
        <v>74</v>
      </c>
      <c r="BS167" s="1" t="s">
        <v>1727</v>
      </c>
      <c r="BT167" s="1" t="str">
        <f>HYPERLINK("https%3A%2F%2Fwww.webofscience.com%2Fwos%2Fwoscc%2Ffull-record%2FWOS:000335760300023","View Full Record in Web of Science")</f>
        <v>View Full Record in Web of Science</v>
      </c>
    </row>
    <row r="168" ht="12.75" customHeight="1">
      <c r="A168" s="1" t="s">
        <v>442</v>
      </c>
      <c r="B168" s="1" t="s">
        <v>1728</v>
      </c>
      <c r="C168" s="1" t="s">
        <v>74</v>
      </c>
      <c r="D168" s="1" t="s">
        <v>1729</v>
      </c>
      <c r="E168" s="1" t="s">
        <v>74</v>
      </c>
      <c r="F168" s="1" t="s">
        <v>1730</v>
      </c>
      <c r="G168" s="1" t="s">
        <v>74</v>
      </c>
      <c r="H168" s="1" t="s">
        <v>74</v>
      </c>
      <c r="I168" s="1" t="s">
        <v>1731</v>
      </c>
      <c r="J168" s="1" t="s">
        <v>1732</v>
      </c>
      <c r="K168" s="1" t="s">
        <v>1733</v>
      </c>
      <c r="L168" s="1" t="s">
        <v>74</v>
      </c>
      <c r="M168" s="1" t="s">
        <v>74</v>
      </c>
      <c r="N168" s="1" t="s">
        <v>74</v>
      </c>
      <c r="O168" s="1" t="s">
        <v>74</v>
      </c>
      <c r="P168" s="1" t="s">
        <v>74</v>
      </c>
      <c r="Q168" s="1" t="s">
        <v>74</v>
      </c>
      <c r="R168" s="1" t="s">
        <v>74</v>
      </c>
      <c r="S168" s="1" t="s">
        <v>74</v>
      </c>
      <c r="T168" s="1" t="s">
        <v>74</v>
      </c>
      <c r="U168" s="1" t="s">
        <v>74</v>
      </c>
      <c r="V168" s="1" t="s">
        <v>74</v>
      </c>
      <c r="W168" s="1" t="s">
        <v>74</v>
      </c>
      <c r="X168" s="1" t="s">
        <v>74</v>
      </c>
      <c r="Y168" s="1" t="s">
        <v>74</v>
      </c>
      <c r="Z168" s="1" t="s">
        <v>74</v>
      </c>
      <c r="AA168" s="1" t="s">
        <v>74</v>
      </c>
      <c r="AB168" s="1" t="s">
        <v>74</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74</v>
      </c>
      <c r="AP168" s="1" t="s">
        <v>74</v>
      </c>
      <c r="AQ168" s="1" t="s">
        <v>1734</v>
      </c>
      <c r="AR168" s="1" t="s">
        <v>74</v>
      </c>
      <c r="AS168" s="1" t="s">
        <v>74</v>
      </c>
      <c r="AT168" s="1" t="s">
        <v>74</v>
      </c>
      <c r="AU168" s="1">
        <v>2014.0</v>
      </c>
      <c r="AV168" s="1" t="s">
        <v>74</v>
      </c>
      <c r="AW168" s="1" t="s">
        <v>74</v>
      </c>
      <c r="AX168" s="1" t="s">
        <v>74</v>
      </c>
      <c r="AY168" s="1" t="s">
        <v>74</v>
      </c>
      <c r="AZ168" s="1" t="s">
        <v>74</v>
      </c>
      <c r="BA168" s="1" t="s">
        <v>74</v>
      </c>
      <c r="BB168" s="1">
        <v>117.0</v>
      </c>
      <c r="BC168" s="1">
        <v>135.0</v>
      </c>
      <c r="BD168" s="1" t="s">
        <v>74</v>
      </c>
      <c r="BE168" s="1" t="s">
        <v>74</v>
      </c>
      <c r="BF168" s="1" t="s">
        <v>74</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1735</v>
      </c>
      <c r="BT168" s="1" t="str">
        <f>HYPERLINK("https%3A%2F%2Fwww.webofscience.com%2Fwos%2Fwoscc%2Ffull-record%2FWOS:000348830400007","View Full Record in Web of Science")</f>
        <v>View Full Record in Web of Science</v>
      </c>
    </row>
    <row r="169" ht="12.75" customHeight="1">
      <c r="A169" s="1" t="s">
        <v>241</v>
      </c>
      <c r="B169" s="1" t="s">
        <v>1736</v>
      </c>
      <c r="C169" s="1" t="s">
        <v>74</v>
      </c>
      <c r="D169" s="1" t="s">
        <v>1737</v>
      </c>
      <c r="E169" s="1" t="s">
        <v>74</v>
      </c>
      <c r="F169" s="1" t="s">
        <v>1738</v>
      </c>
      <c r="G169" s="1" t="s">
        <v>74</v>
      </c>
      <c r="H169" s="1" t="s">
        <v>74</v>
      </c>
      <c r="I169" s="1" t="s">
        <v>1739</v>
      </c>
      <c r="J169" s="1" t="s">
        <v>1740</v>
      </c>
      <c r="K169" s="1" t="s">
        <v>1741</v>
      </c>
      <c r="L169" s="1" t="s">
        <v>74</v>
      </c>
      <c r="M169" s="1" t="s">
        <v>74</v>
      </c>
      <c r="N169" s="1" t="s">
        <v>74</v>
      </c>
      <c r="O169" s="1" t="s">
        <v>1742</v>
      </c>
      <c r="P169" s="1" t="s">
        <v>1743</v>
      </c>
      <c r="Q169" s="1" t="s">
        <v>1744</v>
      </c>
      <c r="R169" s="1" t="s">
        <v>74</v>
      </c>
      <c r="S169" s="1" t="s">
        <v>74</v>
      </c>
      <c r="T169" s="1" t="s">
        <v>74</v>
      </c>
      <c r="U169" s="1" t="s">
        <v>74</v>
      </c>
      <c r="V169" s="1" t="s">
        <v>1745</v>
      </c>
      <c r="W169" s="1" t="s">
        <v>74</v>
      </c>
      <c r="X169" s="1" t="s">
        <v>74</v>
      </c>
      <c r="Y169" s="1" t="s">
        <v>74</v>
      </c>
      <c r="Z169" s="1" t="s">
        <v>74</v>
      </c>
      <c r="AA169" s="1" t="s">
        <v>74</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1746</v>
      </c>
      <c r="AP169" s="1" t="s">
        <v>74</v>
      </c>
      <c r="AQ169" s="1" t="s">
        <v>1747</v>
      </c>
      <c r="AR169" s="1" t="s">
        <v>74</v>
      </c>
      <c r="AS169" s="1" t="s">
        <v>74</v>
      </c>
      <c r="AT169" s="1" t="s">
        <v>74</v>
      </c>
      <c r="AU169" s="1">
        <v>2013.0</v>
      </c>
      <c r="AV169" s="1">
        <v>172.0</v>
      </c>
      <c r="AW169" s="1" t="s">
        <v>74</v>
      </c>
      <c r="AX169" s="1" t="s">
        <v>74</v>
      </c>
      <c r="AY169" s="1" t="s">
        <v>74</v>
      </c>
      <c r="AZ169" s="1" t="s">
        <v>74</v>
      </c>
      <c r="BA169" s="1" t="s">
        <v>74</v>
      </c>
      <c r="BB169" s="1">
        <v>175.0</v>
      </c>
      <c r="BC169" s="1" t="s">
        <v>1748</v>
      </c>
      <c r="BD169" s="1" t="s">
        <v>74</v>
      </c>
      <c r="BE169" s="1" t="s">
        <v>74</v>
      </c>
      <c r="BF169" s="1" t="s">
        <v>74</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1749</v>
      </c>
      <c r="BT169" s="1" t="str">
        <f>HYPERLINK("https%3A%2F%2Fwww.webofscience.com%2Fwos%2Fwoscc%2Ffull-record%2FWOS:000312508900016","View Full Record in Web of Science")</f>
        <v>View Full Record in Web of Science</v>
      </c>
    </row>
    <row r="170" ht="12.75" customHeight="1">
      <c r="A170" s="1" t="s">
        <v>72</v>
      </c>
      <c r="B170" s="1" t="s">
        <v>1750</v>
      </c>
      <c r="C170" s="1" t="s">
        <v>74</v>
      </c>
      <c r="D170" s="1" t="s">
        <v>74</v>
      </c>
      <c r="E170" s="1" t="s">
        <v>74</v>
      </c>
      <c r="F170" s="1" t="s">
        <v>1750</v>
      </c>
      <c r="G170" s="1" t="s">
        <v>74</v>
      </c>
      <c r="H170" s="1" t="s">
        <v>74</v>
      </c>
      <c r="I170" s="1" t="s">
        <v>1751</v>
      </c>
      <c r="J170" s="1" t="s">
        <v>1752</v>
      </c>
      <c r="K170" s="1" t="s">
        <v>74</v>
      </c>
      <c r="L170" s="1" t="s">
        <v>74</v>
      </c>
      <c r="M170" s="1" t="s">
        <v>74</v>
      </c>
      <c r="N170" s="1" t="s">
        <v>74</v>
      </c>
      <c r="O170" s="1" t="s">
        <v>1753</v>
      </c>
      <c r="P170" s="1" t="s">
        <v>1754</v>
      </c>
      <c r="Q170" s="1" t="s">
        <v>1755</v>
      </c>
      <c r="R170" s="1" t="s">
        <v>74</v>
      </c>
      <c r="S170" s="1" t="s">
        <v>74</v>
      </c>
      <c r="T170" s="1" t="s">
        <v>74</v>
      </c>
      <c r="U170" s="1" t="s">
        <v>74</v>
      </c>
      <c r="V170" s="1" t="s">
        <v>1756</v>
      </c>
      <c r="W170" s="1" t="s">
        <v>74</v>
      </c>
      <c r="X170" s="1" t="s">
        <v>74</v>
      </c>
      <c r="Y170" s="1" t="s">
        <v>74</v>
      </c>
      <c r="Z170" s="1" t="s">
        <v>74</v>
      </c>
      <c r="AA170" s="1" t="s">
        <v>171</v>
      </c>
      <c r="AB170" s="1" t="s">
        <v>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1757</v>
      </c>
      <c r="AP170" s="1" t="s">
        <v>74</v>
      </c>
      <c r="AQ170" s="1" t="s">
        <v>74</v>
      </c>
      <c r="AR170" s="1" t="s">
        <v>74</v>
      </c>
      <c r="AS170" s="1" t="s">
        <v>74</v>
      </c>
      <c r="AT170" s="1" t="s">
        <v>160</v>
      </c>
      <c r="AU170" s="1">
        <v>2002.0</v>
      </c>
      <c r="AV170" s="1">
        <v>48.0</v>
      </c>
      <c r="AW170" s="1" t="s">
        <v>74</v>
      </c>
      <c r="AX170" s="1" t="s">
        <v>74</v>
      </c>
      <c r="AY170" s="1">
        <v>3.0</v>
      </c>
      <c r="AZ170" s="1" t="s">
        <v>74</v>
      </c>
      <c r="BA170" s="1" t="s">
        <v>74</v>
      </c>
      <c r="BB170" s="1">
        <v>87.0</v>
      </c>
      <c r="BC170" s="1">
        <v>89.0</v>
      </c>
      <c r="BD170" s="1" t="s">
        <v>74</v>
      </c>
      <c r="BE170" s="1" t="s">
        <v>74</v>
      </c>
      <c r="BF170" s="1" t="s">
        <v>74</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1758</v>
      </c>
      <c r="BT170" s="1" t="str">
        <f>HYPERLINK("https%3A%2F%2Fwww.webofscience.com%2Fwos%2Fwoscc%2Ffull-record%2FWOS:000180065500031","View Full Record in Web of Science")</f>
        <v>View Full Record in Web of Science</v>
      </c>
    </row>
    <row r="171" ht="12.75" customHeight="1">
      <c r="A171" s="1" t="s">
        <v>72</v>
      </c>
      <c r="B171" s="1" t="s">
        <v>1759</v>
      </c>
      <c r="C171" s="1" t="s">
        <v>74</v>
      </c>
      <c r="D171" s="1" t="s">
        <v>74</v>
      </c>
      <c r="E171" s="1" t="s">
        <v>74</v>
      </c>
      <c r="F171" s="1" t="s">
        <v>1759</v>
      </c>
      <c r="G171" s="1" t="s">
        <v>74</v>
      </c>
      <c r="H171" s="1" t="s">
        <v>74</v>
      </c>
      <c r="I171" s="1" t="s">
        <v>1760</v>
      </c>
      <c r="J171" s="1" t="s">
        <v>1282</v>
      </c>
      <c r="K171" s="1" t="s">
        <v>74</v>
      </c>
      <c r="L171" s="1" t="s">
        <v>74</v>
      </c>
      <c r="M171" s="1" t="s">
        <v>74</v>
      </c>
      <c r="N171" s="1" t="s">
        <v>74</v>
      </c>
      <c r="O171" s="1" t="s">
        <v>74</v>
      </c>
      <c r="P171" s="1" t="s">
        <v>74</v>
      </c>
      <c r="Q171" s="1" t="s">
        <v>74</v>
      </c>
      <c r="R171" s="1" t="s">
        <v>74</v>
      </c>
      <c r="S171" s="1" t="s">
        <v>74</v>
      </c>
      <c r="T171" s="1" t="s">
        <v>74</v>
      </c>
      <c r="U171" s="1" t="s">
        <v>74</v>
      </c>
      <c r="V171" s="1" t="s">
        <v>1761</v>
      </c>
      <c r="W171" s="1" t="s">
        <v>74</v>
      </c>
      <c r="X171" s="1" t="s">
        <v>74</v>
      </c>
      <c r="Y171" s="1" t="s">
        <v>74</v>
      </c>
      <c r="Z171" s="1" t="s">
        <v>74</v>
      </c>
      <c r="AA171" s="1" t="s">
        <v>508</v>
      </c>
      <c r="AB171" s="1" t="s">
        <v>1284</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1285</v>
      </c>
      <c r="AP171" s="1" t="s">
        <v>74</v>
      </c>
      <c r="AQ171" s="1" t="s">
        <v>74</v>
      </c>
      <c r="AR171" s="1" t="s">
        <v>74</v>
      </c>
      <c r="AS171" s="1" t="s">
        <v>74</v>
      </c>
      <c r="AT171" s="1" t="s">
        <v>94</v>
      </c>
      <c r="AU171" s="1">
        <v>2002.0</v>
      </c>
      <c r="AV171" s="1">
        <v>36.0</v>
      </c>
      <c r="AW171" s="1">
        <v>2.0</v>
      </c>
      <c r="AX171" s="1" t="s">
        <v>74</v>
      </c>
      <c r="AY171" s="1" t="s">
        <v>74</v>
      </c>
      <c r="AZ171" s="1" t="s">
        <v>74</v>
      </c>
      <c r="BA171" s="1" t="s">
        <v>74</v>
      </c>
      <c r="BB171" s="1">
        <v>293.0</v>
      </c>
      <c r="BC171" s="1">
        <v>297.0</v>
      </c>
      <c r="BD171" s="1" t="s">
        <v>74</v>
      </c>
      <c r="BE171" s="1" t="s">
        <v>1762</v>
      </c>
      <c r="BF171" s="2" t="str">
        <f>HYPERLINK("http://dx.doi.org/10.1016/S1352-2310(01)00356-9","http://dx.doi.org/10.1016/S1352-2310(01)00356-9")</f>
        <v>http://dx.doi.org/10.1016/S1352-2310(01)00356-9</v>
      </c>
      <c r="BG171" s="1" t="s">
        <v>74</v>
      </c>
      <c r="BH171" s="1" t="s">
        <v>74</v>
      </c>
      <c r="BI171" s="1" t="s">
        <v>74</v>
      </c>
      <c r="BJ171" s="1" t="s">
        <v>74</v>
      </c>
      <c r="BK171" s="1" t="s">
        <v>74</v>
      </c>
      <c r="BL171" s="1" t="s">
        <v>74</v>
      </c>
      <c r="BM171" s="1" t="s">
        <v>74</v>
      </c>
      <c r="BN171" s="1" t="s">
        <v>74</v>
      </c>
      <c r="BO171" s="1" t="s">
        <v>74</v>
      </c>
      <c r="BP171" s="1" t="s">
        <v>74</v>
      </c>
      <c r="BQ171" s="1" t="s">
        <v>74</v>
      </c>
      <c r="BR171" s="1" t="s">
        <v>74</v>
      </c>
      <c r="BS171" s="1" t="s">
        <v>1763</v>
      </c>
      <c r="BT171" s="1" t="str">
        <f>HYPERLINK("https%3A%2F%2Fwww.webofscience.com%2Fwos%2Fwoscc%2Ffull-record%2FWOS:000173667400012","View Full Record in Web of Science")</f>
        <v>View Full Record in Web of Science</v>
      </c>
    </row>
    <row r="172" ht="12.75" customHeight="1">
      <c r="A172" s="1" t="s">
        <v>72</v>
      </c>
      <c r="B172" s="1" t="s">
        <v>1764</v>
      </c>
      <c r="C172" s="1" t="s">
        <v>74</v>
      </c>
      <c r="D172" s="1" t="s">
        <v>74</v>
      </c>
      <c r="E172" s="1" t="s">
        <v>74</v>
      </c>
      <c r="F172" s="1" t="s">
        <v>1764</v>
      </c>
      <c r="G172" s="1" t="s">
        <v>74</v>
      </c>
      <c r="H172" s="1" t="s">
        <v>74</v>
      </c>
      <c r="I172" s="1" t="s">
        <v>1765</v>
      </c>
      <c r="J172" s="1" t="s">
        <v>1766</v>
      </c>
      <c r="K172" s="1" t="s">
        <v>74</v>
      </c>
      <c r="L172" s="1" t="s">
        <v>74</v>
      </c>
      <c r="M172" s="1" t="s">
        <v>74</v>
      </c>
      <c r="N172" s="1" t="s">
        <v>74</v>
      </c>
      <c r="O172" s="1" t="s">
        <v>74</v>
      </c>
      <c r="P172" s="1" t="s">
        <v>74</v>
      </c>
      <c r="Q172" s="1" t="s">
        <v>74</v>
      </c>
      <c r="R172" s="1" t="s">
        <v>74</v>
      </c>
      <c r="S172" s="1" t="s">
        <v>74</v>
      </c>
      <c r="T172" s="1" t="s">
        <v>74</v>
      </c>
      <c r="U172" s="1" t="s">
        <v>74</v>
      </c>
      <c r="V172" s="1" t="s">
        <v>1767</v>
      </c>
      <c r="W172" s="1" t="s">
        <v>74</v>
      </c>
      <c r="X172" s="1" t="s">
        <v>74</v>
      </c>
      <c r="Y172" s="1" t="s">
        <v>74</v>
      </c>
      <c r="Z172" s="1" t="s">
        <v>74</v>
      </c>
      <c r="AA172" s="1" t="s">
        <v>645</v>
      </c>
      <c r="AB172" s="1" t="s">
        <v>1768</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1769</v>
      </c>
      <c r="AP172" s="1" t="s">
        <v>74</v>
      </c>
      <c r="AQ172" s="1" t="s">
        <v>74</v>
      </c>
      <c r="AR172" s="1" t="s">
        <v>74</v>
      </c>
      <c r="AS172" s="1" t="s">
        <v>74</v>
      </c>
      <c r="AT172" s="1" t="s">
        <v>343</v>
      </c>
      <c r="AU172" s="1">
        <v>2001.0</v>
      </c>
      <c r="AV172" s="1">
        <v>48.0</v>
      </c>
      <c r="AW172" s="1">
        <v>4.0</v>
      </c>
      <c r="AX172" s="1">
        <v>1.0</v>
      </c>
      <c r="AY172" s="1" t="s">
        <v>74</v>
      </c>
      <c r="AZ172" s="1" t="s">
        <v>74</v>
      </c>
      <c r="BA172" s="1" t="s">
        <v>74</v>
      </c>
      <c r="BB172" s="1">
        <v>1211.0</v>
      </c>
      <c r="BC172" s="1">
        <v>1214.0</v>
      </c>
      <c r="BD172" s="1" t="s">
        <v>74</v>
      </c>
      <c r="BE172" s="1" t="s">
        <v>1770</v>
      </c>
      <c r="BF172" s="2" t="str">
        <f>HYPERLINK("http://dx.doi.org/10.1109/23.958752","http://dx.doi.org/10.1109/23.958752")</f>
        <v>http://dx.doi.org/10.1109/23.958752</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1771</v>
      </c>
      <c r="BT172" s="1" t="str">
        <f>HYPERLINK("https%3A%2F%2Fwww.webofscience.com%2Fwos%2Fwoscc%2Ffull-record%2FWOS:000171660300051","View Full Record in Web of Science")</f>
        <v>View Full Record in Web of Science</v>
      </c>
    </row>
    <row r="173" ht="12.75" customHeight="1">
      <c r="A173" s="1" t="s">
        <v>72</v>
      </c>
      <c r="B173" s="1" t="s">
        <v>1295</v>
      </c>
      <c r="C173" s="1" t="s">
        <v>74</v>
      </c>
      <c r="D173" s="1" t="s">
        <v>74</v>
      </c>
      <c r="E173" s="1" t="s">
        <v>74</v>
      </c>
      <c r="F173" s="1" t="s">
        <v>1295</v>
      </c>
      <c r="G173" s="1" t="s">
        <v>74</v>
      </c>
      <c r="H173" s="1" t="s">
        <v>74</v>
      </c>
      <c r="I173" s="1" t="s">
        <v>1772</v>
      </c>
      <c r="J173" s="1" t="s">
        <v>1553</v>
      </c>
      <c r="K173" s="1" t="s">
        <v>74</v>
      </c>
      <c r="L173" s="1" t="s">
        <v>74</v>
      </c>
      <c r="M173" s="1" t="s">
        <v>74</v>
      </c>
      <c r="N173" s="1" t="s">
        <v>74</v>
      </c>
      <c r="O173" s="1" t="s">
        <v>74</v>
      </c>
      <c r="P173" s="1" t="s">
        <v>74</v>
      </c>
      <c r="Q173" s="1" t="s">
        <v>74</v>
      </c>
      <c r="R173" s="1" t="s">
        <v>74</v>
      </c>
      <c r="S173" s="1" t="s">
        <v>74</v>
      </c>
      <c r="T173" s="1" t="s">
        <v>74</v>
      </c>
      <c r="U173" s="1" t="s">
        <v>74</v>
      </c>
      <c r="V173" s="1" t="s">
        <v>1773</v>
      </c>
      <c r="W173" s="1" t="s">
        <v>74</v>
      </c>
      <c r="X173" s="1" t="s">
        <v>74</v>
      </c>
      <c r="Y173" s="1" t="s">
        <v>74</v>
      </c>
      <c r="Z173" s="1" t="s">
        <v>74</v>
      </c>
      <c r="AA173" s="1" t="s">
        <v>146</v>
      </c>
      <c r="AB173" s="1" t="s">
        <v>1155</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1557</v>
      </c>
      <c r="AP173" s="1" t="s">
        <v>74</v>
      </c>
      <c r="AQ173" s="1" t="s">
        <v>74</v>
      </c>
      <c r="AR173" s="1" t="s">
        <v>74</v>
      </c>
      <c r="AS173" s="1" t="s">
        <v>74</v>
      </c>
      <c r="AT173" s="1" t="s">
        <v>1774</v>
      </c>
      <c r="AU173" s="1">
        <v>2001.0</v>
      </c>
      <c r="AV173" s="1">
        <v>57.0</v>
      </c>
      <c r="AW173" s="1">
        <v>28.0</v>
      </c>
      <c r="AX173" s="1" t="s">
        <v>74</v>
      </c>
      <c r="AY173" s="1" t="s">
        <v>74</v>
      </c>
      <c r="AZ173" s="1" t="s">
        <v>74</v>
      </c>
      <c r="BA173" s="1" t="s">
        <v>74</v>
      </c>
      <c r="BB173" s="1">
        <v>5923.0</v>
      </c>
      <c r="BC173" s="1">
        <v>5930.0</v>
      </c>
      <c r="BD173" s="1" t="s">
        <v>74</v>
      </c>
      <c r="BE173" s="1" t="s">
        <v>1775</v>
      </c>
      <c r="BF173" s="2" t="str">
        <f>HYPERLINK("http://dx.doi.org/10.1016/S0040-4020(01)00563-4","http://dx.doi.org/10.1016/S0040-4020(01)00563-4")</f>
        <v>http://dx.doi.org/10.1016/S0040-4020(01)00563-4</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1776</v>
      </c>
      <c r="BT173" s="1" t="str">
        <f>HYPERLINK("https%3A%2F%2Fwww.webofscience.com%2Fwos%2Fwoscc%2Ffull-record%2FWOS:000169813300003","View Full Record in Web of Science")</f>
        <v>View Full Record in Web of Science</v>
      </c>
    </row>
    <row r="174" ht="12.75" customHeight="1">
      <c r="A174" s="1" t="s">
        <v>72</v>
      </c>
      <c r="B174" s="1" t="s">
        <v>1777</v>
      </c>
      <c r="C174" s="1" t="s">
        <v>74</v>
      </c>
      <c r="D174" s="1" t="s">
        <v>74</v>
      </c>
      <c r="E174" s="1" t="s">
        <v>74</v>
      </c>
      <c r="F174" s="1" t="s">
        <v>1777</v>
      </c>
      <c r="G174" s="1" t="s">
        <v>74</v>
      </c>
      <c r="H174" s="1" t="s">
        <v>74</v>
      </c>
      <c r="I174" s="1" t="s">
        <v>1778</v>
      </c>
      <c r="J174" s="1" t="s">
        <v>562</v>
      </c>
      <c r="K174" s="1" t="s">
        <v>74</v>
      </c>
      <c r="L174" s="1" t="s">
        <v>74</v>
      </c>
      <c r="M174" s="1" t="s">
        <v>74</v>
      </c>
      <c r="N174" s="1" t="s">
        <v>74</v>
      </c>
      <c r="O174" s="1" t="s">
        <v>74</v>
      </c>
      <c r="P174" s="1" t="s">
        <v>74</v>
      </c>
      <c r="Q174" s="1" t="s">
        <v>74</v>
      </c>
      <c r="R174" s="1" t="s">
        <v>74</v>
      </c>
      <c r="S174" s="1" t="s">
        <v>74</v>
      </c>
      <c r="T174" s="1" t="s">
        <v>74</v>
      </c>
      <c r="U174" s="1" t="s">
        <v>74</v>
      </c>
      <c r="V174" s="1" t="s">
        <v>1779</v>
      </c>
      <c r="W174" s="1" t="s">
        <v>74</v>
      </c>
      <c r="X174" s="1" t="s">
        <v>74</v>
      </c>
      <c r="Y174" s="1" t="s">
        <v>74</v>
      </c>
      <c r="Z174" s="1" t="s">
        <v>74</v>
      </c>
      <c r="AA174" s="1" t="s">
        <v>74</v>
      </c>
      <c r="AB174" s="1" t="s">
        <v>74</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564</v>
      </c>
      <c r="AP174" s="1" t="s">
        <v>74</v>
      </c>
      <c r="AQ174" s="1" t="s">
        <v>74</v>
      </c>
      <c r="AR174" s="1" t="s">
        <v>74</v>
      </c>
      <c r="AS174" s="1" t="s">
        <v>74</v>
      </c>
      <c r="AT174" s="1" t="s">
        <v>94</v>
      </c>
      <c r="AU174" s="1">
        <v>1998.0</v>
      </c>
      <c r="AV174" s="1">
        <v>11.0</v>
      </c>
      <c r="AW174" s="1">
        <v>1.0</v>
      </c>
      <c r="AX174" s="1" t="s">
        <v>74</v>
      </c>
      <c r="AY174" s="1" t="s">
        <v>74</v>
      </c>
      <c r="AZ174" s="1" t="s">
        <v>74</v>
      </c>
      <c r="BA174" s="1" t="s">
        <v>74</v>
      </c>
      <c r="BB174" s="1">
        <v>71.0</v>
      </c>
      <c r="BC174" s="1">
        <v>76.0</v>
      </c>
      <c r="BD174" s="1" t="s">
        <v>74</v>
      </c>
      <c r="BE174" s="1" t="s">
        <v>1780</v>
      </c>
      <c r="BF174" s="2" t="str">
        <f>HYPERLINK("http://dx.doi.org/10.1016/S0892-6875(97)00139-8","http://dx.doi.org/10.1016/S0892-6875(97)00139-8")</f>
        <v>http://dx.doi.org/10.1016/S0892-6875(97)00139-8</v>
      </c>
      <c r="BG174" s="1" t="s">
        <v>74</v>
      </c>
      <c r="BH174" s="1" t="s">
        <v>74</v>
      </c>
      <c r="BI174" s="1" t="s">
        <v>74</v>
      </c>
      <c r="BJ174" s="1" t="s">
        <v>74</v>
      </c>
      <c r="BK174" s="1" t="s">
        <v>74</v>
      </c>
      <c r="BL174" s="1" t="s">
        <v>74</v>
      </c>
      <c r="BM174" s="1" t="s">
        <v>74</v>
      </c>
      <c r="BN174" s="1" t="s">
        <v>74</v>
      </c>
      <c r="BO174" s="1" t="s">
        <v>74</v>
      </c>
      <c r="BP174" s="1" t="s">
        <v>74</v>
      </c>
      <c r="BQ174" s="1" t="s">
        <v>74</v>
      </c>
      <c r="BR174" s="1" t="s">
        <v>74</v>
      </c>
      <c r="BS174" s="1" t="s">
        <v>1781</v>
      </c>
      <c r="BT174" s="1" t="str">
        <f>HYPERLINK("https%3A%2F%2Fwww.webofscience.com%2Fwos%2Fwoscc%2Ffull-record%2FWOS:000071529100005","View Full Record in Web of Science")</f>
        <v>View Full Record in Web of Science</v>
      </c>
    </row>
    <row r="175" ht="12.75" customHeight="1">
      <c r="A175" s="1" t="s">
        <v>72</v>
      </c>
      <c r="B175" s="1" t="s">
        <v>1782</v>
      </c>
      <c r="C175" s="1" t="s">
        <v>74</v>
      </c>
      <c r="D175" s="1" t="s">
        <v>74</v>
      </c>
      <c r="E175" s="1" t="s">
        <v>74</v>
      </c>
      <c r="F175" s="1" t="s">
        <v>1783</v>
      </c>
      <c r="G175" s="1" t="s">
        <v>74</v>
      </c>
      <c r="H175" s="1" t="s">
        <v>74</v>
      </c>
      <c r="I175" s="1" t="s">
        <v>1784</v>
      </c>
      <c r="J175" s="1" t="s">
        <v>1785</v>
      </c>
      <c r="K175" s="1" t="s">
        <v>74</v>
      </c>
      <c r="L175" s="1" t="s">
        <v>74</v>
      </c>
      <c r="M175" s="1" t="s">
        <v>74</v>
      </c>
      <c r="N175" s="1" t="s">
        <v>74</v>
      </c>
      <c r="O175" s="1" t="s">
        <v>74</v>
      </c>
      <c r="P175" s="1" t="s">
        <v>74</v>
      </c>
      <c r="Q175" s="1" t="s">
        <v>74</v>
      </c>
      <c r="R175" s="1" t="s">
        <v>74</v>
      </c>
      <c r="S175" s="1" t="s">
        <v>74</v>
      </c>
      <c r="T175" s="1" t="s">
        <v>74</v>
      </c>
      <c r="U175" s="1" t="s">
        <v>74</v>
      </c>
      <c r="V175" s="1" t="s">
        <v>1786</v>
      </c>
      <c r="W175" s="1" t="s">
        <v>74</v>
      </c>
      <c r="X175" s="1" t="s">
        <v>74</v>
      </c>
      <c r="Y175" s="1" t="s">
        <v>74</v>
      </c>
      <c r="Z175" s="1" t="s">
        <v>74</v>
      </c>
      <c r="AA175" s="1" t="s">
        <v>1787</v>
      </c>
      <c r="AB175" s="1" t="s">
        <v>1788</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74</v>
      </c>
      <c r="AP175" s="1" t="s">
        <v>1789</v>
      </c>
      <c r="AQ175" s="1" t="s">
        <v>74</v>
      </c>
      <c r="AR175" s="1" t="s">
        <v>74</v>
      </c>
      <c r="AS175" s="1" t="s">
        <v>74</v>
      </c>
      <c r="AT175" s="1" t="s">
        <v>343</v>
      </c>
      <c r="AU175" s="1">
        <v>2024.0</v>
      </c>
      <c r="AV175" s="1">
        <v>12.0</v>
      </c>
      <c r="AW175" s="1">
        <v>8.0</v>
      </c>
      <c r="AX175" s="1" t="s">
        <v>74</v>
      </c>
      <c r="AY175" s="1" t="s">
        <v>74</v>
      </c>
      <c r="AZ175" s="1" t="s">
        <v>74</v>
      </c>
      <c r="BA175" s="1" t="s">
        <v>74</v>
      </c>
      <c r="BB175" s="1" t="s">
        <v>74</v>
      </c>
      <c r="BC175" s="1" t="s">
        <v>74</v>
      </c>
      <c r="BD175" s="1">
        <v>76.0</v>
      </c>
      <c r="BE175" s="1" t="s">
        <v>1790</v>
      </c>
      <c r="BF175" s="2" t="str">
        <f>HYPERLINK("http://dx.doi.org/10.3390/jintelligence12080076","http://dx.doi.org/10.3390/jintelligence12080076")</f>
        <v>http://dx.doi.org/10.3390/jintelligence12080076</v>
      </c>
      <c r="BG175" s="1" t="s">
        <v>74</v>
      </c>
      <c r="BH175" s="1" t="s">
        <v>74</v>
      </c>
      <c r="BI175" s="1" t="s">
        <v>74</v>
      </c>
      <c r="BJ175" s="1" t="s">
        <v>74</v>
      </c>
      <c r="BK175" s="1" t="s">
        <v>74</v>
      </c>
      <c r="BL175" s="1" t="s">
        <v>74</v>
      </c>
      <c r="BM175" s="1" t="s">
        <v>74</v>
      </c>
      <c r="BN175" s="1">
        <v>3.9195123E7</v>
      </c>
      <c r="BO175" s="1" t="s">
        <v>74</v>
      </c>
      <c r="BP175" s="1" t="s">
        <v>74</v>
      </c>
      <c r="BQ175" s="1" t="s">
        <v>74</v>
      </c>
      <c r="BR175" s="1" t="s">
        <v>74</v>
      </c>
      <c r="BS175" s="1" t="s">
        <v>1791</v>
      </c>
      <c r="BT175" s="1" t="str">
        <f>HYPERLINK("https%3A%2F%2Fwww.webofscience.com%2Fwos%2Fwoscc%2Ffull-record%2FWOS:001305084200001","View Full Record in Web of Science")</f>
        <v>View Full Record in Web of Science</v>
      </c>
    </row>
    <row r="176" ht="12.75" customHeight="1">
      <c r="A176" s="1" t="s">
        <v>72</v>
      </c>
      <c r="B176" s="1" t="s">
        <v>1792</v>
      </c>
      <c r="C176" s="1" t="s">
        <v>74</v>
      </c>
      <c r="D176" s="1" t="s">
        <v>74</v>
      </c>
      <c r="E176" s="1" t="s">
        <v>74</v>
      </c>
      <c r="F176" s="1" t="s">
        <v>1793</v>
      </c>
      <c r="G176" s="1" t="s">
        <v>74</v>
      </c>
      <c r="H176" s="1" t="s">
        <v>74</v>
      </c>
      <c r="I176" s="1" t="s">
        <v>1794</v>
      </c>
      <c r="J176" s="1" t="s">
        <v>1795</v>
      </c>
      <c r="K176" s="1" t="s">
        <v>74</v>
      </c>
      <c r="L176" s="1" t="s">
        <v>74</v>
      </c>
      <c r="M176" s="1" t="s">
        <v>74</v>
      </c>
      <c r="N176" s="1" t="s">
        <v>74</v>
      </c>
      <c r="O176" s="1" t="s">
        <v>74</v>
      </c>
      <c r="P176" s="1" t="s">
        <v>74</v>
      </c>
      <c r="Q176" s="1" t="s">
        <v>74</v>
      </c>
      <c r="R176" s="1" t="s">
        <v>74</v>
      </c>
      <c r="S176" s="1" t="s">
        <v>74</v>
      </c>
      <c r="T176" s="1" t="s">
        <v>74</v>
      </c>
      <c r="U176" s="1" t="s">
        <v>74</v>
      </c>
      <c r="V176" s="1" t="s">
        <v>1796</v>
      </c>
      <c r="W176" s="1" t="s">
        <v>74</v>
      </c>
      <c r="X176" s="1" t="s">
        <v>74</v>
      </c>
      <c r="Y176" s="1" t="s">
        <v>74</v>
      </c>
      <c r="Z176" s="1" t="s">
        <v>74</v>
      </c>
      <c r="AA176" s="1" t="s">
        <v>74</v>
      </c>
      <c r="AB176" s="1" t="s">
        <v>74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1797</v>
      </c>
      <c r="AP176" s="1" t="s">
        <v>1798</v>
      </c>
      <c r="AQ176" s="1" t="s">
        <v>74</v>
      </c>
      <c r="AR176" s="1" t="s">
        <v>74</v>
      </c>
      <c r="AS176" s="1" t="s">
        <v>74</v>
      </c>
      <c r="AT176" s="1" t="s">
        <v>74</v>
      </c>
      <c r="AU176" s="1">
        <v>2021.0</v>
      </c>
      <c r="AV176" s="1">
        <v>9.0</v>
      </c>
      <c r="AW176" s="1">
        <v>1.0</v>
      </c>
      <c r="AX176" s="1" t="s">
        <v>74</v>
      </c>
      <c r="AY176" s="1" t="s">
        <v>74</v>
      </c>
      <c r="AZ176" s="1" t="s">
        <v>74</v>
      </c>
      <c r="BA176" s="1" t="s">
        <v>74</v>
      </c>
      <c r="BB176" s="1">
        <v>108.0</v>
      </c>
      <c r="BC176" s="1">
        <v>141.0</v>
      </c>
      <c r="BD176" s="1" t="s">
        <v>74</v>
      </c>
      <c r="BE176" s="1" t="s">
        <v>74</v>
      </c>
      <c r="BF176" s="1" t="s">
        <v>74</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1799</v>
      </c>
      <c r="BT176" s="1" t="str">
        <f>HYPERLINK("https%3A%2F%2Fwww.webofscience.com%2Fwos%2Fwoscc%2Ffull-record%2FWOS:000701768900005","View Full Record in Web of Science")</f>
        <v>View Full Record in Web of Science</v>
      </c>
    </row>
    <row r="177" ht="12.75" customHeight="1">
      <c r="A177" s="1" t="s">
        <v>72</v>
      </c>
      <c r="B177" s="1" t="s">
        <v>1800</v>
      </c>
      <c r="C177" s="1" t="s">
        <v>74</v>
      </c>
      <c r="D177" s="1" t="s">
        <v>74</v>
      </c>
      <c r="E177" s="1" t="s">
        <v>74</v>
      </c>
      <c r="F177" s="1" t="s">
        <v>1801</v>
      </c>
      <c r="G177" s="1" t="s">
        <v>74</v>
      </c>
      <c r="H177" s="1" t="s">
        <v>74</v>
      </c>
      <c r="I177" s="1" t="s">
        <v>1802</v>
      </c>
      <c r="J177" s="1" t="s">
        <v>1803</v>
      </c>
      <c r="K177" s="1" t="s">
        <v>74</v>
      </c>
      <c r="L177" s="1" t="s">
        <v>74</v>
      </c>
      <c r="M177" s="1" t="s">
        <v>74</v>
      </c>
      <c r="N177" s="1" t="s">
        <v>74</v>
      </c>
      <c r="O177" s="1" t="s">
        <v>74</v>
      </c>
      <c r="P177" s="1" t="s">
        <v>74</v>
      </c>
      <c r="Q177" s="1" t="s">
        <v>74</v>
      </c>
      <c r="R177" s="1" t="s">
        <v>74</v>
      </c>
      <c r="S177" s="1" t="s">
        <v>74</v>
      </c>
      <c r="T177" s="1" t="s">
        <v>74</v>
      </c>
      <c r="U177" s="1" t="s">
        <v>74</v>
      </c>
      <c r="V177" s="1" t="s">
        <v>1804</v>
      </c>
      <c r="W177" s="1" t="s">
        <v>74</v>
      </c>
      <c r="X177" s="1" t="s">
        <v>74</v>
      </c>
      <c r="Y177" s="1" t="s">
        <v>74</v>
      </c>
      <c r="Z177" s="1" t="s">
        <v>74</v>
      </c>
      <c r="AA177" s="1" t="s">
        <v>74</v>
      </c>
      <c r="AB177" s="1" t="s">
        <v>74</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1805</v>
      </c>
      <c r="AP177" s="1" t="s">
        <v>74</v>
      </c>
      <c r="AQ177" s="1" t="s">
        <v>74</v>
      </c>
      <c r="AR177" s="1" t="s">
        <v>74</v>
      </c>
      <c r="AS177" s="1" t="s">
        <v>74</v>
      </c>
      <c r="AT177" s="1" t="s">
        <v>106</v>
      </c>
      <c r="AU177" s="1">
        <v>2020.0</v>
      </c>
      <c r="AV177" s="1">
        <v>18.0</v>
      </c>
      <c r="AW177" s="1">
        <v>35.0</v>
      </c>
      <c r="AX177" s="1" t="s">
        <v>74</v>
      </c>
      <c r="AY177" s="1" t="s">
        <v>74</v>
      </c>
      <c r="AZ177" s="1" t="s">
        <v>74</v>
      </c>
      <c r="BA177" s="1" t="s">
        <v>74</v>
      </c>
      <c r="BB177" s="1">
        <v>379.0</v>
      </c>
      <c r="BC177" s="1">
        <v>397.0</v>
      </c>
      <c r="BD177" s="1" t="s">
        <v>74</v>
      </c>
      <c r="BE177" s="1" t="s">
        <v>74</v>
      </c>
      <c r="BF177" s="1" t="s">
        <v>74</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1806</v>
      </c>
      <c r="BT177" s="1" t="str">
        <f>HYPERLINK("https%3A%2F%2Fwww.webofscience.com%2Fwos%2Fwoscc%2Ffull-record%2FWOS:000577663500015","View Full Record in Web of Science")</f>
        <v>View Full Record in Web of Science</v>
      </c>
    </row>
    <row r="178" ht="12.75" customHeight="1">
      <c r="A178" s="1" t="s">
        <v>72</v>
      </c>
      <c r="B178" s="1" t="s">
        <v>1807</v>
      </c>
      <c r="C178" s="1" t="s">
        <v>74</v>
      </c>
      <c r="D178" s="1" t="s">
        <v>74</v>
      </c>
      <c r="E178" s="1" t="s">
        <v>74</v>
      </c>
      <c r="F178" s="1" t="s">
        <v>1808</v>
      </c>
      <c r="G178" s="1" t="s">
        <v>74</v>
      </c>
      <c r="H178" s="1" t="s">
        <v>74</v>
      </c>
      <c r="I178" s="1" t="s">
        <v>1809</v>
      </c>
      <c r="J178" s="1" t="s">
        <v>1810</v>
      </c>
      <c r="K178" s="1" t="s">
        <v>74</v>
      </c>
      <c r="L178" s="1" t="s">
        <v>74</v>
      </c>
      <c r="M178" s="1" t="s">
        <v>74</v>
      </c>
      <c r="N178" s="1" t="s">
        <v>74</v>
      </c>
      <c r="O178" s="1" t="s">
        <v>74</v>
      </c>
      <c r="P178" s="1" t="s">
        <v>74</v>
      </c>
      <c r="Q178" s="1" t="s">
        <v>74</v>
      </c>
      <c r="R178" s="1" t="s">
        <v>74</v>
      </c>
      <c r="S178" s="1" t="s">
        <v>74</v>
      </c>
      <c r="T178" s="1" t="s">
        <v>74</v>
      </c>
      <c r="U178" s="1" t="s">
        <v>74</v>
      </c>
      <c r="V178" s="1" t="s">
        <v>1811</v>
      </c>
      <c r="W178" s="1" t="s">
        <v>74</v>
      </c>
      <c r="X178" s="1" t="s">
        <v>74</v>
      </c>
      <c r="Y178" s="1" t="s">
        <v>74</v>
      </c>
      <c r="Z178" s="1" t="s">
        <v>74</v>
      </c>
      <c r="AA178" s="1" t="s">
        <v>1812</v>
      </c>
      <c r="AB178" s="1" t="s">
        <v>1813</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1814</v>
      </c>
      <c r="AP178" s="1" t="s">
        <v>74</v>
      </c>
      <c r="AQ178" s="1" t="s">
        <v>74</v>
      </c>
      <c r="AR178" s="1" t="s">
        <v>74</v>
      </c>
      <c r="AS178" s="1" t="s">
        <v>74</v>
      </c>
      <c r="AT178" s="1" t="s">
        <v>183</v>
      </c>
      <c r="AU178" s="1">
        <v>2019.0</v>
      </c>
      <c r="AV178" s="1" t="s">
        <v>74</v>
      </c>
      <c r="AW178" s="1">
        <v>147.0</v>
      </c>
      <c r="AX178" s="1" t="s">
        <v>74</v>
      </c>
      <c r="AY178" s="1" t="s">
        <v>74</v>
      </c>
      <c r="AZ178" s="1" t="s">
        <v>74</v>
      </c>
      <c r="BA178" s="1" t="s">
        <v>74</v>
      </c>
      <c r="BB178" s="1" t="s">
        <v>74</v>
      </c>
      <c r="BC178" s="1" t="s">
        <v>74</v>
      </c>
      <c r="BD178" s="1" t="s">
        <v>1815</v>
      </c>
      <c r="BE178" s="1" t="s">
        <v>1816</v>
      </c>
      <c r="BF178" s="2" t="str">
        <f>HYPERLINK("http://dx.doi.org/10.3791/58970","http://dx.doi.org/10.3791/58970")</f>
        <v>http://dx.doi.org/10.3791/58970</v>
      </c>
      <c r="BG178" s="1" t="s">
        <v>74</v>
      </c>
      <c r="BH178" s="1" t="s">
        <v>74</v>
      </c>
      <c r="BI178" s="1" t="s">
        <v>74</v>
      </c>
      <c r="BJ178" s="1" t="s">
        <v>74</v>
      </c>
      <c r="BK178" s="1" t="s">
        <v>74</v>
      </c>
      <c r="BL178" s="1" t="s">
        <v>74</v>
      </c>
      <c r="BM178" s="1" t="s">
        <v>74</v>
      </c>
      <c r="BN178" s="1">
        <v>3.1157763E7</v>
      </c>
      <c r="BO178" s="1" t="s">
        <v>74</v>
      </c>
      <c r="BP178" s="1" t="s">
        <v>74</v>
      </c>
      <c r="BQ178" s="1" t="s">
        <v>74</v>
      </c>
      <c r="BR178" s="1" t="s">
        <v>74</v>
      </c>
      <c r="BS178" s="1" t="s">
        <v>1817</v>
      </c>
      <c r="BT178" s="1" t="str">
        <f>HYPERLINK("https%3A%2F%2Fwww.webofscience.com%2Fwos%2Fwoscc%2Ffull-record%2FWOS:000469977600021","View Full Record in Web of Science")</f>
        <v>View Full Record in Web of Science</v>
      </c>
    </row>
    <row r="179" ht="12.75" customHeight="1">
      <c r="A179" s="1" t="s">
        <v>442</v>
      </c>
      <c r="B179" s="1" t="s">
        <v>1818</v>
      </c>
      <c r="C179" s="1" t="s">
        <v>74</v>
      </c>
      <c r="D179" s="1" t="s">
        <v>1819</v>
      </c>
      <c r="E179" s="1" t="s">
        <v>74</v>
      </c>
      <c r="F179" s="1" t="s">
        <v>1820</v>
      </c>
      <c r="G179" s="1" t="s">
        <v>74</v>
      </c>
      <c r="H179" s="1" t="s">
        <v>74</v>
      </c>
      <c r="I179" s="1" t="s">
        <v>1821</v>
      </c>
      <c r="J179" s="1" t="s">
        <v>1822</v>
      </c>
      <c r="K179" s="1" t="s">
        <v>74</v>
      </c>
      <c r="L179" s="1" t="s">
        <v>74</v>
      </c>
      <c r="M179" s="1" t="s">
        <v>74</v>
      </c>
      <c r="N179" s="1" t="s">
        <v>74</v>
      </c>
      <c r="O179" s="1" t="s">
        <v>74</v>
      </c>
      <c r="P179" s="1" t="s">
        <v>74</v>
      </c>
      <c r="Q179" s="1" t="s">
        <v>74</v>
      </c>
      <c r="R179" s="1" t="s">
        <v>74</v>
      </c>
      <c r="S179" s="1" t="s">
        <v>74</v>
      </c>
      <c r="T179" s="1" t="s">
        <v>74</v>
      </c>
      <c r="U179" s="1" t="s">
        <v>74</v>
      </c>
      <c r="V179" s="1" t="s">
        <v>74</v>
      </c>
      <c r="W179" s="1" t="s">
        <v>74</v>
      </c>
      <c r="X179" s="1" t="s">
        <v>74</v>
      </c>
      <c r="Y179" s="1" t="s">
        <v>74</v>
      </c>
      <c r="Z179" s="1" t="s">
        <v>74</v>
      </c>
      <c r="AA179" s="1" t="s">
        <v>74</v>
      </c>
      <c r="AB179" s="1" t="s">
        <v>74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74</v>
      </c>
      <c r="AP179" s="1" t="s">
        <v>74</v>
      </c>
      <c r="AQ179" s="1" t="s">
        <v>1823</v>
      </c>
      <c r="AR179" s="1" t="s">
        <v>74</v>
      </c>
      <c r="AS179" s="1" t="s">
        <v>74</v>
      </c>
      <c r="AT179" s="1" t="s">
        <v>74</v>
      </c>
      <c r="AU179" s="1">
        <v>2018.0</v>
      </c>
      <c r="AV179" s="1" t="s">
        <v>74</v>
      </c>
      <c r="AW179" s="1" t="s">
        <v>74</v>
      </c>
      <c r="AX179" s="1" t="s">
        <v>74</v>
      </c>
      <c r="AY179" s="1" t="s">
        <v>74</v>
      </c>
      <c r="AZ179" s="1" t="s">
        <v>74</v>
      </c>
      <c r="BA179" s="1" t="s">
        <v>74</v>
      </c>
      <c r="BB179" s="1">
        <v>129.0</v>
      </c>
      <c r="BC179" s="1">
        <v>171.0</v>
      </c>
      <c r="BD179" s="1" t="s">
        <v>74</v>
      </c>
      <c r="BE179" s="1" t="s">
        <v>74</v>
      </c>
      <c r="BF179" s="1" t="s">
        <v>74</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1824</v>
      </c>
      <c r="BT179" s="1" t="str">
        <f>HYPERLINK("https%3A%2F%2Fwww.webofscience.com%2Fwos%2Fwoscc%2Ffull-record%2FWOS:000668284400007","View Full Record in Web of Science")</f>
        <v>View Full Record in Web of Science</v>
      </c>
    </row>
    <row r="180" ht="12.75" customHeight="1">
      <c r="A180" s="1" t="s">
        <v>241</v>
      </c>
      <c r="B180" s="1" t="s">
        <v>1825</v>
      </c>
      <c r="C180" s="1" t="s">
        <v>74</v>
      </c>
      <c r="D180" s="1" t="s">
        <v>969</v>
      </c>
      <c r="E180" s="1" t="s">
        <v>74</v>
      </c>
      <c r="F180" s="1" t="s">
        <v>1826</v>
      </c>
      <c r="G180" s="1" t="s">
        <v>74</v>
      </c>
      <c r="H180" s="1" t="s">
        <v>74</v>
      </c>
      <c r="I180" s="1" t="s">
        <v>1827</v>
      </c>
      <c r="J180" s="1" t="s">
        <v>971</v>
      </c>
      <c r="K180" s="1" t="s">
        <v>74</v>
      </c>
      <c r="L180" s="1" t="s">
        <v>74</v>
      </c>
      <c r="M180" s="1" t="s">
        <v>74</v>
      </c>
      <c r="N180" s="1" t="s">
        <v>74</v>
      </c>
      <c r="O180" s="1" t="s">
        <v>972</v>
      </c>
      <c r="P180" s="1" t="s">
        <v>973</v>
      </c>
      <c r="Q180" s="1" t="s">
        <v>974</v>
      </c>
      <c r="R180" s="1" t="s">
        <v>975</v>
      </c>
      <c r="S180" s="1" t="s">
        <v>74</v>
      </c>
      <c r="T180" s="1" t="s">
        <v>74</v>
      </c>
      <c r="U180" s="1" t="s">
        <v>74</v>
      </c>
      <c r="V180" s="1" t="s">
        <v>74</v>
      </c>
      <c r="W180" s="1" t="s">
        <v>74</v>
      </c>
      <c r="X180" s="1" t="s">
        <v>74</v>
      </c>
      <c r="Y180" s="1" t="s">
        <v>74</v>
      </c>
      <c r="Z180" s="1" t="s">
        <v>74</v>
      </c>
      <c r="AA180" s="1" t="s">
        <v>74</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74</v>
      </c>
      <c r="AP180" s="1" t="s">
        <v>74</v>
      </c>
      <c r="AQ180" s="1" t="s">
        <v>977</v>
      </c>
      <c r="AR180" s="1" t="s">
        <v>74</v>
      </c>
      <c r="AS180" s="1" t="s">
        <v>74</v>
      </c>
      <c r="AT180" s="1" t="s">
        <v>74</v>
      </c>
      <c r="AU180" s="1">
        <v>2018.0</v>
      </c>
      <c r="AV180" s="1" t="s">
        <v>74</v>
      </c>
      <c r="AW180" s="1" t="s">
        <v>74</v>
      </c>
      <c r="AX180" s="1" t="s">
        <v>74</v>
      </c>
      <c r="AY180" s="1" t="s">
        <v>74</v>
      </c>
      <c r="AZ180" s="1" t="s">
        <v>74</v>
      </c>
      <c r="BA180" s="1" t="s">
        <v>74</v>
      </c>
      <c r="BB180" s="1" t="s">
        <v>74</v>
      </c>
      <c r="BC180" s="1" t="s">
        <v>74</v>
      </c>
      <c r="BD180" s="1" t="s">
        <v>74</v>
      </c>
      <c r="BE180" s="1" t="s">
        <v>74</v>
      </c>
      <c r="BF180" s="1" t="s">
        <v>74</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1828</v>
      </c>
      <c r="BT180" s="1" t="str">
        <f>HYPERLINK("https%3A%2F%2Fwww.webofscience.com%2Fwos%2Fwoscc%2Ffull-record%2FWOS:000458417600141","View Full Record in Web of Science")</f>
        <v>View Full Record in Web of Science</v>
      </c>
    </row>
    <row r="181" ht="12.75" customHeight="1">
      <c r="A181" s="1" t="s">
        <v>72</v>
      </c>
      <c r="B181" s="1" t="s">
        <v>1829</v>
      </c>
      <c r="C181" s="1" t="s">
        <v>74</v>
      </c>
      <c r="D181" s="1" t="s">
        <v>74</v>
      </c>
      <c r="E181" s="1" t="s">
        <v>74</v>
      </c>
      <c r="F181" s="1" t="s">
        <v>1830</v>
      </c>
      <c r="G181" s="1" t="s">
        <v>74</v>
      </c>
      <c r="H181" s="1" t="s">
        <v>74</v>
      </c>
      <c r="I181" s="1" t="s">
        <v>1831</v>
      </c>
      <c r="J181" s="1" t="s">
        <v>1832</v>
      </c>
      <c r="K181" s="1" t="s">
        <v>74</v>
      </c>
      <c r="L181" s="1" t="s">
        <v>74</v>
      </c>
      <c r="M181" s="1" t="s">
        <v>74</v>
      </c>
      <c r="N181" s="1" t="s">
        <v>74</v>
      </c>
      <c r="O181" s="1" t="s">
        <v>74</v>
      </c>
      <c r="P181" s="1" t="s">
        <v>74</v>
      </c>
      <c r="Q181" s="1" t="s">
        <v>74</v>
      </c>
      <c r="R181" s="1" t="s">
        <v>74</v>
      </c>
      <c r="S181" s="1" t="s">
        <v>74</v>
      </c>
      <c r="T181" s="1" t="s">
        <v>74</v>
      </c>
      <c r="U181" s="1" t="s">
        <v>74</v>
      </c>
      <c r="V181" s="1" t="s">
        <v>74</v>
      </c>
      <c r="W181" s="1" t="s">
        <v>74</v>
      </c>
      <c r="X181" s="1" t="s">
        <v>74</v>
      </c>
      <c r="Y181" s="1" t="s">
        <v>74</v>
      </c>
      <c r="Z181" s="1" t="s">
        <v>74</v>
      </c>
      <c r="AA181" s="1" t="s">
        <v>74</v>
      </c>
      <c r="AB181" s="1" t="s">
        <v>74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1833</v>
      </c>
      <c r="AP181" s="1" t="s">
        <v>1834</v>
      </c>
      <c r="AQ181" s="1" t="s">
        <v>74</v>
      </c>
      <c r="AR181" s="1" t="s">
        <v>74</v>
      </c>
      <c r="AS181" s="1" t="s">
        <v>74</v>
      </c>
      <c r="AT181" s="1" t="s">
        <v>501</v>
      </c>
      <c r="AU181" s="1">
        <v>2017.0</v>
      </c>
      <c r="AV181" s="1">
        <v>56.0</v>
      </c>
      <c r="AW181" s="1">
        <v>11.0</v>
      </c>
      <c r="AX181" s="1" t="s">
        <v>74</v>
      </c>
      <c r="AY181" s="1" t="s">
        <v>74</v>
      </c>
      <c r="AZ181" s="1" t="s">
        <v>74</v>
      </c>
      <c r="BA181" s="1">
        <v>257.0</v>
      </c>
      <c r="BB181" s="1">
        <v>1274.0</v>
      </c>
      <c r="BC181" s="1">
        <v>1275.0</v>
      </c>
      <c r="BD181" s="1" t="s">
        <v>74</v>
      </c>
      <c r="BE181" s="1" t="s">
        <v>74</v>
      </c>
      <c r="BF181" s="1" t="s">
        <v>74</v>
      </c>
      <c r="BG181" s="1" t="s">
        <v>74</v>
      </c>
      <c r="BH181" s="1" t="s">
        <v>74</v>
      </c>
      <c r="BI181" s="1" t="s">
        <v>74</v>
      </c>
      <c r="BJ181" s="1" t="s">
        <v>74</v>
      </c>
      <c r="BK181" s="1" t="s">
        <v>74</v>
      </c>
      <c r="BL181" s="1" t="s">
        <v>74</v>
      </c>
      <c r="BM181" s="1" t="s">
        <v>74</v>
      </c>
      <c r="BN181" s="1" t="s">
        <v>74</v>
      </c>
      <c r="BO181" s="1" t="s">
        <v>74</v>
      </c>
      <c r="BP181" s="1" t="s">
        <v>74</v>
      </c>
      <c r="BQ181" s="1" t="s">
        <v>74</v>
      </c>
      <c r="BR181" s="1" t="s">
        <v>74</v>
      </c>
      <c r="BS181" s="1" t="s">
        <v>1835</v>
      </c>
      <c r="BT181" s="1" t="str">
        <f>HYPERLINK("https%3A%2F%2Fwww.webofscience.com%2Fwos%2Fwoscc%2Ffull-record%2FWOS:000412751400142","View Full Record in Web of Science")</f>
        <v>View Full Record in Web of Science</v>
      </c>
    </row>
    <row r="182" ht="12.75" customHeight="1">
      <c r="A182" s="1" t="s">
        <v>72</v>
      </c>
      <c r="B182" s="1" t="s">
        <v>1295</v>
      </c>
      <c r="C182" s="1" t="s">
        <v>74</v>
      </c>
      <c r="D182" s="1" t="s">
        <v>74</v>
      </c>
      <c r="E182" s="1" t="s">
        <v>74</v>
      </c>
      <c r="F182" s="1" t="s">
        <v>1836</v>
      </c>
      <c r="G182" s="1" t="s">
        <v>74</v>
      </c>
      <c r="H182" s="1" t="s">
        <v>74</v>
      </c>
      <c r="I182" s="1" t="s">
        <v>1837</v>
      </c>
      <c r="J182" s="1" t="s">
        <v>1838</v>
      </c>
      <c r="K182" s="1" t="s">
        <v>74</v>
      </c>
      <c r="L182" s="1" t="s">
        <v>74</v>
      </c>
      <c r="M182" s="1" t="s">
        <v>74</v>
      </c>
      <c r="N182" s="1" t="s">
        <v>74</v>
      </c>
      <c r="O182" s="1" t="s">
        <v>74</v>
      </c>
      <c r="P182" s="1" t="s">
        <v>74</v>
      </c>
      <c r="Q182" s="1" t="s">
        <v>74</v>
      </c>
      <c r="R182" s="1" t="s">
        <v>74</v>
      </c>
      <c r="S182" s="1" t="s">
        <v>74</v>
      </c>
      <c r="T182" s="1" t="s">
        <v>74</v>
      </c>
      <c r="U182" s="1" t="s">
        <v>74</v>
      </c>
      <c r="V182" s="1" t="s">
        <v>1839</v>
      </c>
      <c r="W182" s="1" t="s">
        <v>74</v>
      </c>
      <c r="X182" s="1" t="s">
        <v>74</v>
      </c>
      <c r="Y182" s="1" t="s">
        <v>74</v>
      </c>
      <c r="Z182" s="1" t="s">
        <v>74</v>
      </c>
      <c r="AA182" s="1" t="s">
        <v>146</v>
      </c>
      <c r="AB182" s="1" t="s">
        <v>1155</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1840</v>
      </c>
      <c r="AP182" s="1" t="s">
        <v>1841</v>
      </c>
      <c r="AQ182" s="1" t="s">
        <v>74</v>
      </c>
      <c r="AR182" s="1" t="s">
        <v>74</v>
      </c>
      <c r="AS182" s="1" t="s">
        <v>74</v>
      </c>
      <c r="AT182" s="1" t="s">
        <v>106</v>
      </c>
      <c r="AU182" s="1">
        <v>2016.0</v>
      </c>
      <c r="AV182" s="1">
        <v>29.0</v>
      </c>
      <c r="AW182" s="1">
        <v>9.0</v>
      </c>
      <c r="AX182" s="1" t="s">
        <v>74</v>
      </c>
      <c r="AY182" s="1" t="s">
        <v>74</v>
      </c>
      <c r="AZ182" s="1" t="s">
        <v>74</v>
      </c>
      <c r="BA182" s="1" t="s">
        <v>74</v>
      </c>
      <c r="BB182" s="1">
        <v>460.0</v>
      </c>
      <c r="BC182" s="1">
        <v>467.0</v>
      </c>
      <c r="BD182" s="1" t="s">
        <v>74</v>
      </c>
      <c r="BE182" s="1" t="s">
        <v>1842</v>
      </c>
      <c r="BF182" s="2" t="str">
        <f>HYPERLINK("http://dx.doi.org/10.1002/poc.3565","http://dx.doi.org/10.1002/poc.3565")</f>
        <v>http://dx.doi.org/10.1002/poc.3565</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1843</v>
      </c>
      <c r="BT182" s="1" t="str">
        <f>HYPERLINK("https%3A%2F%2Fwww.webofscience.com%2Fwos%2Fwoscc%2Ffull-record%2FWOS:000383587000005","View Full Record in Web of Science")</f>
        <v>View Full Record in Web of Science</v>
      </c>
    </row>
    <row r="183" ht="12.75" customHeight="1">
      <c r="A183" s="1" t="s">
        <v>72</v>
      </c>
      <c r="B183" s="1" t="s">
        <v>1844</v>
      </c>
      <c r="C183" s="1" t="s">
        <v>74</v>
      </c>
      <c r="D183" s="1" t="s">
        <v>74</v>
      </c>
      <c r="E183" s="1" t="s">
        <v>74</v>
      </c>
      <c r="F183" s="1" t="s">
        <v>1845</v>
      </c>
      <c r="G183" s="1" t="s">
        <v>74</v>
      </c>
      <c r="H183" s="1" t="s">
        <v>74</v>
      </c>
      <c r="I183" s="1" t="s">
        <v>1846</v>
      </c>
      <c r="J183" s="1" t="s">
        <v>1847</v>
      </c>
      <c r="K183" s="1" t="s">
        <v>74</v>
      </c>
      <c r="L183" s="1" t="s">
        <v>74</v>
      </c>
      <c r="M183" s="1" t="s">
        <v>74</v>
      </c>
      <c r="N183" s="1" t="s">
        <v>74</v>
      </c>
      <c r="O183" s="1" t="s">
        <v>74</v>
      </c>
      <c r="P183" s="1" t="s">
        <v>74</v>
      </c>
      <c r="Q183" s="1" t="s">
        <v>74</v>
      </c>
      <c r="R183" s="1" t="s">
        <v>74</v>
      </c>
      <c r="S183" s="1" t="s">
        <v>74</v>
      </c>
      <c r="T183" s="1" t="s">
        <v>74</v>
      </c>
      <c r="U183" s="1" t="s">
        <v>74</v>
      </c>
      <c r="V183" s="1" t="s">
        <v>74</v>
      </c>
      <c r="W183" s="1" t="s">
        <v>74</v>
      </c>
      <c r="X183" s="1" t="s">
        <v>74</v>
      </c>
      <c r="Y183" s="1" t="s">
        <v>74</v>
      </c>
      <c r="Z183" s="1" t="s">
        <v>74</v>
      </c>
      <c r="AA183" s="1" t="s">
        <v>74</v>
      </c>
      <c r="AB183" s="1" t="s">
        <v>74</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1848</v>
      </c>
      <c r="AP183" s="1" t="s">
        <v>74</v>
      </c>
      <c r="AQ183" s="1" t="s">
        <v>74</v>
      </c>
      <c r="AR183" s="1" t="s">
        <v>74</v>
      </c>
      <c r="AS183" s="1" t="s">
        <v>74</v>
      </c>
      <c r="AT183" s="1" t="s">
        <v>82</v>
      </c>
      <c r="AU183" s="1">
        <v>2013.0</v>
      </c>
      <c r="AV183" s="1">
        <v>34.0</v>
      </c>
      <c r="AW183" s="1">
        <v>6.0</v>
      </c>
      <c r="AX183" s="1" t="s">
        <v>74</v>
      </c>
      <c r="AY183" s="1" t="s">
        <v>74</v>
      </c>
      <c r="AZ183" s="1" t="s">
        <v>74</v>
      </c>
      <c r="BA183" s="1" t="s">
        <v>74</v>
      </c>
      <c r="BB183" s="1">
        <v>1734.0</v>
      </c>
      <c r="BC183" s="1">
        <v>1734.0</v>
      </c>
      <c r="BD183" s="1" t="s">
        <v>74</v>
      </c>
      <c r="BE183" s="1" t="s">
        <v>1849</v>
      </c>
      <c r="BF183" s="2" t="str">
        <f>HYPERLINK("http://dx.doi.org/10.1016/j.fsi.2013.03.300","http://dx.doi.org/10.1016/j.fsi.2013.03.300")</f>
        <v>http://dx.doi.org/10.1016/j.fsi.2013.03.300</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1850</v>
      </c>
      <c r="BT183" s="1" t="str">
        <f>HYPERLINK("https%3A%2F%2Fwww.webofscience.com%2Fwos%2Fwoscc%2Ffull-record%2FWOS:000319646100323","View Full Record in Web of Science")</f>
        <v>View Full Record in Web of Science</v>
      </c>
    </row>
    <row r="184" ht="12.75" customHeight="1">
      <c r="A184" s="1" t="s">
        <v>72</v>
      </c>
      <c r="B184" s="1" t="s">
        <v>1851</v>
      </c>
      <c r="C184" s="1" t="s">
        <v>74</v>
      </c>
      <c r="D184" s="1" t="s">
        <v>74</v>
      </c>
      <c r="E184" s="1" t="s">
        <v>74</v>
      </c>
      <c r="F184" s="1" t="s">
        <v>1852</v>
      </c>
      <c r="G184" s="1" t="s">
        <v>74</v>
      </c>
      <c r="H184" s="1" t="s">
        <v>74</v>
      </c>
      <c r="I184" s="1" t="s">
        <v>1853</v>
      </c>
      <c r="J184" s="1" t="s">
        <v>1752</v>
      </c>
      <c r="K184" s="1" t="s">
        <v>74</v>
      </c>
      <c r="L184" s="1" t="s">
        <v>74</v>
      </c>
      <c r="M184" s="1" t="s">
        <v>74</v>
      </c>
      <c r="N184" s="1" t="s">
        <v>74</v>
      </c>
      <c r="O184" s="1" t="s">
        <v>74</v>
      </c>
      <c r="P184" s="1" t="s">
        <v>74</v>
      </c>
      <c r="Q184" s="1" t="s">
        <v>74</v>
      </c>
      <c r="R184" s="1" t="s">
        <v>74</v>
      </c>
      <c r="S184" s="1" t="s">
        <v>74</v>
      </c>
      <c r="T184" s="1" t="s">
        <v>74</v>
      </c>
      <c r="U184" s="1" t="s">
        <v>74</v>
      </c>
      <c r="V184" s="1" t="s">
        <v>1854</v>
      </c>
      <c r="W184" s="1" t="s">
        <v>74</v>
      </c>
      <c r="X184" s="1" t="s">
        <v>74</v>
      </c>
      <c r="Y184" s="1" t="s">
        <v>74</v>
      </c>
      <c r="Z184" s="1" t="s">
        <v>74</v>
      </c>
      <c r="AA184" s="1" t="s">
        <v>1855</v>
      </c>
      <c r="AB184" s="1" t="s">
        <v>1856</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1757</v>
      </c>
      <c r="AP184" s="1" t="s">
        <v>74</v>
      </c>
      <c r="AQ184" s="1" t="s">
        <v>74</v>
      </c>
      <c r="AR184" s="1" t="s">
        <v>74</v>
      </c>
      <c r="AS184" s="1" t="s">
        <v>74</v>
      </c>
      <c r="AT184" s="1" t="s">
        <v>160</v>
      </c>
      <c r="AU184" s="1">
        <v>2012.0</v>
      </c>
      <c r="AV184" s="1">
        <v>58.0</v>
      </c>
      <c r="AW184" s="1">
        <v>2.0</v>
      </c>
      <c r="AX184" s="1" t="s">
        <v>74</v>
      </c>
      <c r="AY184" s="1" t="s">
        <v>1857</v>
      </c>
      <c r="AZ184" s="1" t="s">
        <v>74</v>
      </c>
      <c r="BA184" s="1" t="s">
        <v>74</v>
      </c>
      <c r="BB184" s="1">
        <v>199.0</v>
      </c>
      <c r="BC184" s="1">
        <v>202.0</v>
      </c>
      <c r="BD184" s="1" t="s">
        <v>74</v>
      </c>
      <c r="BE184" s="1" t="s">
        <v>74</v>
      </c>
      <c r="BF184" s="1" t="s">
        <v>74</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1858</v>
      </c>
      <c r="BT184" s="1" t="str">
        <f>HYPERLINK("https%3A%2F%2Fwww.webofscience.com%2Fwos%2Fwoscc%2Ffull-record%2FWOS:000312353800050","View Full Record in Web of Science")</f>
        <v>View Full Record in Web of Science</v>
      </c>
    </row>
    <row r="185" ht="12.75" customHeight="1">
      <c r="A185" s="1" t="s">
        <v>72</v>
      </c>
      <c r="B185" s="1" t="s">
        <v>1859</v>
      </c>
      <c r="C185" s="1" t="s">
        <v>74</v>
      </c>
      <c r="D185" s="1" t="s">
        <v>74</v>
      </c>
      <c r="E185" s="1" t="s">
        <v>74</v>
      </c>
      <c r="F185" s="1" t="s">
        <v>1860</v>
      </c>
      <c r="G185" s="1" t="s">
        <v>74</v>
      </c>
      <c r="H185" s="1" t="s">
        <v>74</v>
      </c>
      <c r="I185" s="1" t="s">
        <v>1861</v>
      </c>
      <c r="J185" s="1" t="s">
        <v>1862</v>
      </c>
      <c r="K185" s="1" t="s">
        <v>74</v>
      </c>
      <c r="L185" s="1" t="s">
        <v>74</v>
      </c>
      <c r="M185" s="1" t="s">
        <v>74</v>
      </c>
      <c r="N185" s="1" t="s">
        <v>74</v>
      </c>
      <c r="O185" s="1" t="s">
        <v>74</v>
      </c>
      <c r="P185" s="1" t="s">
        <v>74</v>
      </c>
      <c r="Q185" s="1" t="s">
        <v>74</v>
      </c>
      <c r="R185" s="1" t="s">
        <v>74</v>
      </c>
      <c r="S185" s="1" t="s">
        <v>74</v>
      </c>
      <c r="T185" s="1" t="s">
        <v>74</v>
      </c>
      <c r="U185" s="1" t="s">
        <v>74</v>
      </c>
      <c r="V185" s="1" t="s">
        <v>1863</v>
      </c>
      <c r="W185" s="1" t="s">
        <v>74</v>
      </c>
      <c r="X185" s="1" t="s">
        <v>74</v>
      </c>
      <c r="Y185" s="1" t="s">
        <v>74</v>
      </c>
      <c r="Z185" s="1" t="s">
        <v>74</v>
      </c>
      <c r="AA185" s="1" t="s">
        <v>1864</v>
      </c>
      <c r="AB185" s="1" t="s">
        <v>1865</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1866</v>
      </c>
      <c r="AP185" s="1" t="s">
        <v>1867</v>
      </c>
      <c r="AQ185" s="1" t="s">
        <v>74</v>
      </c>
      <c r="AR185" s="1" t="s">
        <v>74</v>
      </c>
      <c r="AS185" s="1" t="s">
        <v>74</v>
      </c>
      <c r="AT185" s="1" t="s">
        <v>501</v>
      </c>
      <c r="AU185" s="1">
        <v>2010.0</v>
      </c>
      <c r="AV185" s="1">
        <v>84.0</v>
      </c>
      <c r="AW185" s="1">
        <v>22.0</v>
      </c>
      <c r="AX185" s="1" t="s">
        <v>74</v>
      </c>
      <c r="AY185" s="1" t="s">
        <v>74</v>
      </c>
      <c r="AZ185" s="1" t="s">
        <v>74</v>
      </c>
      <c r="BA185" s="1" t="s">
        <v>74</v>
      </c>
      <c r="BB185" s="1">
        <v>11916.0</v>
      </c>
      <c r="BC185" s="1">
        <v>11928.0</v>
      </c>
      <c r="BD185" s="1" t="s">
        <v>74</v>
      </c>
      <c r="BE185" s="1" t="s">
        <v>1868</v>
      </c>
      <c r="BF185" s="2" t="str">
        <f>HYPERLINK("http://dx.doi.org/10.1128/JVI.01202-10","http://dx.doi.org/10.1128/JVI.01202-10")</f>
        <v>http://dx.doi.org/10.1128/JVI.01202-10</v>
      </c>
      <c r="BG185" s="1" t="s">
        <v>74</v>
      </c>
      <c r="BH185" s="1" t="s">
        <v>74</v>
      </c>
      <c r="BI185" s="1" t="s">
        <v>74</v>
      </c>
      <c r="BJ185" s="1" t="s">
        <v>74</v>
      </c>
      <c r="BK185" s="1" t="s">
        <v>74</v>
      </c>
      <c r="BL185" s="1" t="s">
        <v>74</v>
      </c>
      <c r="BM185" s="1" t="s">
        <v>74</v>
      </c>
      <c r="BN185" s="1">
        <v>2.0810724E7</v>
      </c>
      <c r="BO185" s="1" t="s">
        <v>74</v>
      </c>
      <c r="BP185" s="1" t="s">
        <v>74</v>
      </c>
      <c r="BQ185" s="1" t="s">
        <v>74</v>
      </c>
      <c r="BR185" s="1" t="s">
        <v>74</v>
      </c>
      <c r="BS185" s="1" t="s">
        <v>1869</v>
      </c>
      <c r="BT185" s="1" t="str">
        <f>HYPERLINK("https%3A%2F%2Fwww.webofscience.com%2Fwos%2Fwoscc%2Ffull-record%2FWOS:000283420500031","View Full Record in Web of Science")</f>
        <v>View Full Record in Web of Science</v>
      </c>
    </row>
    <row r="186" ht="12.75" customHeight="1">
      <c r="A186" s="1" t="s">
        <v>72</v>
      </c>
      <c r="B186" s="1" t="s">
        <v>1870</v>
      </c>
      <c r="C186" s="1" t="s">
        <v>74</v>
      </c>
      <c r="D186" s="1" t="s">
        <v>74</v>
      </c>
      <c r="E186" s="1" t="s">
        <v>74</v>
      </c>
      <c r="F186" s="1" t="s">
        <v>1871</v>
      </c>
      <c r="G186" s="1" t="s">
        <v>74</v>
      </c>
      <c r="H186" s="1" t="s">
        <v>74</v>
      </c>
      <c r="I186" s="1" t="s">
        <v>1872</v>
      </c>
      <c r="J186" s="1" t="s">
        <v>1873</v>
      </c>
      <c r="K186" s="1" t="s">
        <v>74</v>
      </c>
      <c r="L186" s="1" t="s">
        <v>74</v>
      </c>
      <c r="M186" s="1" t="s">
        <v>74</v>
      </c>
      <c r="N186" s="1" t="s">
        <v>74</v>
      </c>
      <c r="O186" s="1" t="s">
        <v>74</v>
      </c>
      <c r="P186" s="1" t="s">
        <v>74</v>
      </c>
      <c r="Q186" s="1" t="s">
        <v>74</v>
      </c>
      <c r="R186" s="1" t="s">
        <v>74</v>
      </c>
      <c r="S186" s="1" t="s">
        <v>74</v>
      </c>
      <c r="T186" s="1" t="s">
        <v>74</v>
      </c>
      <c r="U186" s="1" t="s">
        <v>74</v>
      </c>
      <c r="V186" s="1" t="s">
        <v>1874</v>
      </c>
      <c r="W186" s="1" t="s">
        <v>74</v>
      </c>
      <c r="X186" s="1" t="s">
        <v>74</v>
      </c>
      <c r="Y186" s="1" t="s">
        <v>74</v>
      </c>
      <c r="Z186" s="1" t="s">
        <v>74</v>
      </c>
      <c r="AA186" s="1" t="s">
        <v>1875</v>
      </c>
      <c r="AB186" s="1" t="s">
        <v>1876</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1877</v>
      </c>
      <c r="AP186" s="1" t="s">
        <v>1878</v>
      </c>
      <c r="AQ186" s="1" t="s">
        <v>74</v>
      </c>
      <c r="AR186" s="1" t="s">
        <v>74</v>
      </c>
      <c r="AS186" s="1" t="s">
        <v>74</v>
      </c>
      <c r="AT186" s="1" t="s">
        <v>353</v>
      </c>
      <c r="AU186" s="1">
        <v>2009.0</v>
      </c>
      <c r="AV186" s="1">
        <v>19.0</v>
      </c>
      <c r="AW186" s="1">
        <v>10.0</v>
      </c>
      <c r="AX186" s="1" t="s">
        <v>74</v>
      </c>
      <c r="AY186" s="1" t="s">
        <v>74</v>
      </c>
      <c r="AZ186" s="1" t="s">
        <v>74</v>
      </c>
      <c r="BA186" s="1" t="s">
        <v>74</v>
      </c>
      <c r="BB186" s="1">
        <v>3533.0</v>
      </c>
      <c r="BC186" s="1">
        <v>3539.0</v>
      </c>
      <c r="BD186" s="1" t="s">
        <v>74</v>
      </c>
      <c r="BE186" s="1" t="s">
        <v>1879</v>
      </c>
      <c r="BF186" s="2" t="str">
        <f>HYPERLINK("http://dx.doi.org/10.1142/S0218127409024979","http://dx.doi.org/10.1142/S0218127409024979")</f>
        <v>http://dx.doi.org/10.1142/S0218127409024979</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1880</v>
      </c>
      <c r="BT186" s="1" t="str">
        <f>HYPERLINK("https%3A%2F%2Fwww.webofscience.com%2Fwos%2Fwoscc%2Ffull-record%2FWOS:000272918900024","View Full Record in Web of Science")</f>
        <v>View Full Record in Web of Science</v>
      </c>
    </row>
    <row r="187" ht="12.75" customHeight="1">
      <c r="A187" s="1" t="s">
        <v>72</v>
      </c>
      <c r="B187" s="1" t="s">
        <v>1881</v>
      </c>
      <c r="C187" s="1" t="s">
        <v>74</v>
      </c>
      <c r="D187" s="1" t="s">
        <v>74</v>
      </c>
      <c r="E187" s="1" t="s">
        <v>74</v>
      </c>
      <c r="F187" s="1" t="s">
        <v>1882</v>
      </c>
      <c r="G187" s="1" t="s">
        <v>74</v>
      </c>
      <c r="H187" s="1" t="s">
        <v>74</v>
      </c>
      <c r="I187" s="1" t="s">
        <v>1883</v>
      </c>
      <c r="J187" s="1" t="s">
        <v>1884</v>
      </c>
      <c r="K187" s="1" t="s">
        <v>74</v>
      </c>
      <c r="L187" s="1" t="s">
        <v>74</v>
      </c>
      <c r="M187" s="1" t="s">
        <v>74</v>
      </c>
      <c r="N187" s="1" t="s">
        <v>74</v>
      </c>
      <c r="O187" s="1" t="s">
        <v>74</v>
      </c>
      <c r="P187" s="1" t="s">
        <v>74</v>
      </c>
      <c r="Q187" s="1" t="s">
        <v>74</v>
      </c>
      <c r="R187" s="1" t="s">
        <v>74</v>
      </c>
      <c r="S187" s="1" t="s">
        <v>74</v>
      </c>
      <c r="T187" s="1" t="s">
        <v>74</v>
      </c>
      <c r="U187" s="1" t="s">
        <v>74</v>
      </c>
      <c r="V187" s="1" t="s">
        <v>1885</v>
      </c>
      <c r="W187" s="1" t="s">
        <v>74</v>
      </c>
      <c r="X187" s="1" t="s">
        <v>74</v>
      </c>
      <c r="Y187" s="1" t="s">
        <v>74</v>
      </c>
      <c r="Z187" s="1" t="s">
        <v>74</v>
      </c>
      <c r="AA187" s="1" t="s">
        <v>1886</v>
      </c>
      <c r="AB187" s="1" t="s">
        <v>1876</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1887</v>
      </c>
      <c r="AP187" s="1" t="s">
        <v>74</v>
      </c>
      <c r="AQ187" s="1" t="s">
        <v>74</v>
      </c>
      <c r="AR187" s="1" t="s">
        <v>74</v>
      </c>
      <c r="AS187" s="1" t="s">
        <v>74</v>
      </c>
      <c r="AT187" s="1" t="s">
        <v>82</v>
      </c>
      <c r="AU187" s="1">
        <v>2009.0</v>
      </c>
      <c r="AV187" s="1">
        <v>46.0</v>
      </c>
      <c r="AW187" s="1">
        <v>4.0</v>
      </c>
      <c r="AX187" s="1" t="s">
        <v>74</v>
      </c>
      <c r="AY187" s="1" t="s">
        <v>74</v>
      </c>
      <c r="AZ187" s="1" t="s">
        <v>74</v>
      </c>
      <c r="BA187" s="1" t="s">
        <v>74</v>
      </c>
      <c r="BB187" s="1">
        <v>731.0</v>
      </c>
      <c r="BC187" s="1">
        <v>737.0</v>
      </c>
      <c r="BD187" s="1" t="s">
        <v>74</v>
      </c>
      <c r="BE187" s="1" t="s">
        <v>1888</v>
      </c>
      <c r="BF187" s="2" t="str">
        <f>HYPERLINK("http://dx.doi.org/10.1016/j.ijrmms.2008.09.012","http://dx.doi.org/10.1016/j.ijrmms.2008.09.012")</f>
        <v>http://dx.doi.org/10.1016/j.ijrmms.2008.09.012</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1889</v>
      </c>
      <c r="BT187" s="1" t="str">
        <f>HYPERLINK("https%3A%2F%2Fwww.webofscience.com%2Fwos%2Fwoscc%2Ffull-record%2FWOS:000264562400008","View Full Record in Web of Science")</f>
        <v>View Full Record in Web of Science</v>
      </c>
    </row>
    <row r="188" ht="12.75" customHeight="1">
      <c r="A188" s="1" t="s">
        <v>72</v>
      </c>
      <c r="B188" s="1" t="s">
        <v>1031</v>
      </c>
      <c r="C188" s="1" t="s">
        <v>74</v>
      </c>
      <c r="D188" s="1" t="s">
        <v>74</v>
      </c>
      <c r="E188" s="1" t="s">
        <v>74</v>
      </c>
      <c r="F188" s="1" t="s">
        <v>1031</v>
      </c>
      <c r="G188" s="1" t="s">
        <v>74</v>
      </c>
      <c r="H188" s="1" t="s">
        <v>74</v>
      </c>
      <c r="I188" s="1" t="s">
        <v>1890</v>
      </c>
      <c r="J188" s="1" t="s">
        <v>1891</v>
      </c>
      <c r="K188" s="1" t="s">
        <v>74</v>
      </c>
      <c r="L188" s="1" t="s">
        <v>74</v>
      </c>
      <c r="M188" s="1" t="s">
        <v>74</v>
      </c>
      <c r="N188" s="1" t="s">
        <v>74</v>
      </c>
      <c r="O188" s="1" t="s">
        <v>74</v>
      </c>
      <c r="P188" s="1" t="s">
        <v>74</v>
      </c>
      <c r="Q188" s="1" t="s">
        <v>74</v>
      </c>
      <c r="R188" s="1" t="s">
        <v>74</v>
      </c>
      <c r="S188" s="1" t="s">
        <v>74</v>
      </c>
      <c r="T188" s="1" t="s">
        <v>74</v>
      </c>
      <c r="U188" s="1" t="s">
        <v>74</v>
      </c>
      <c r="V188" s="1" t="s">
        <v>1892</v>
      </c>
      <c r="W188" s="1" t="s">
        <v>74</v>
      </c>
      <c r="X188" s="1" t="s">
        <v>74</v>
      </c>
      <c r="Y188" s="1" t="s">
        <v>74</v>
      </c>
      <c r="Z188" s="1" t="s">
        <v>74</v>
      </c>
      <c r="AA188" s="1" t="s">
        <v>663</v>
      </c>
      <c r="AB188" s="1" t="s">
        <v>74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1893</v>
      </c>
      <c r="AP188" s="1" t="s">
        <v>74</v>
      </c>
      <c r="AQ188" s="1" t="s">
        <v>74</v>
      </c>
      <c r="AR188" s="1" t="s">
        <v>74</v>
      </c>
      <c r="AS188" s="1" t="s">
        <v>74</v>
      </c>
      <c r="AT188" s="1" t="s">
        <v>1558</v>
      </c>
      <c r="AU188" s="1">
        <v>2003.0</v>
      </c>
      <c r="AV188" s="1">
        <v>41.0</v>
      </c>
      <c r="AW188" s="1">
        <v>15.0</v>
      </c>
      <c r="AX188" s="1" t="s">
        <v>74</v>
      </c>
      <c r="AY188" s="1" t="s">
        <v>74</v>
      </c>
      <c r="AZ188" s="1" t="s">
        <v>74</v>
      </c>
      <c r="BA188" s="1" t="s">
        <v>74</v>
      </c>
      <c r="BB188" s="1">
        <v>2368.0</v>
      </c>
      <c r="BC188" s="1">
        <v>2373.0</v>
      </c>
      <c r="BD188" s="1" t="s">
        <v>74</v>
      </c>
      <c r="BE188" s="1" t="s">
        <v>1894</v>
      </c>
      <c r="BF188" s="2" t="str">
        <f>HYPERLINK("http://dx.doi.org/10.1002/pola.10776","http://dx.doi.org/10.1002/pola.10776")</f>
        <v>http://dx.doi.org/10.1002/pola.10776</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1895</v>
      </c>
      <c r="BT188" s="1" t="str">
        <f>HYPERLINK("https%3A%2F%2Fwww.webofscience.com%2Fwos%2Fwoscc%2Ffull-record%2FWOS:000184076500008","View Full Record in Web of Science")</f>
        <v>View Full Record in Web of Science</v>
      </c>
    </row>
    <row r="189" ht="12.75" customHeight="1">
      <c r="A189" s="1" t="s">
        <v>1857</v>
      </c>
      <c r="B189" s="1" t="s">
        <v>1896</v>
      </c>
      <c r="C189" s="1" t="s">
        <v>74</v>
      </c>
      <c r="D189" s="1" t="s">
        <v>1897</v>
      </c>
      <c r="E189" s="1" t="s">
        <v>74</v>
      </c>
      <c r="F189" s="1" t="s">
        <v>1896</v>
      </c>
      <c r="G189" s="1" t="s">
        <v>74</v>
      </c>
      <c r="H189" s="1" t="s">
        <v>74</v>
      </c>
      <c r="I189" s="1" t="s">
        <v>1898</v>
      </c>
      <c r="J189" s="1" t="s">
        <v>1899</v>
      </c>
      <c r="K189" s="1" t="s">
        <v>1900</v>
      </c>
      <c r="L189" s="1" t="s">
        <v>74</v>
      </c>
      <c r="M189" s="1" t="s">
        <v>74</v>
      </c>
      <c r="N189" s="1" t="s">
        <v>74</v>
      </c>
      <c r="O189" s="1" t="s">
        <v>1901</v>
      </c>
      <c r="P189" s="1" t="s">
        <v>1902</v>
      </c>
      <c r="Q189" s="1" t="s">
        <v>1903</v>
      </c>
      <c r="R189" s="1" t="s">
        <v>1904</v>
      </c>
      <c r="S189" s="1" t="s">
        <v>74</v>
      </c>
      <c r="T189" s="1" t="s">
        <v>74</v>
      </c>
      <c r="U189" s="1" t="s">
        <v>74</v>
      </c>
      <c r="V189" s="1" t="s">
        <v>1905</v>
      </c>
      <c r="W189" s="1" t="s">
        <v>74</v>
      </c>
      <c r="X189" s="1" t="s">
        <v>74</v>
      </c>
      <c r="Y189" s="1" t="s">
        <v>74</v>
      </c>
      <c r="Z189" s="1" t="s">
        <v>74</v>
      </c>
      <c r="AA189" s="1" t="s">
        <v>74</v>
      </c>
      <c r="AB189" s="1" t="s">
        <v>74</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1906</v>
      </c>
      <c r="AP189" s="1" t="s">
        <v>74</v>
      </c>
      <c r="AQ189" s="1" t="s">
        <v>1907</v>
      </c>
      <c r="AR189" s="1" t="s">
        <v>74</v>
      </c>
      <c r="AS189" s="1" t="s">
        <v>74</v>
      </c>
      <c r="AT189" s="1" t="s">
        <v>74</v>
      </c>
      <c r="AU189" s="1">
        <v>2003.0</v>
      </c>
      <c r="AV189" s="1" t="s">
        <v>1908</v>
      </c>
      <c r="AW189" s="1" t="s">
        <v>74</v>
      </c>
      <c r="AX189" s="1" t="s">
        <v>74</v>
      </c>
      <c r="AY189" s="1" t="s">
        <v>74</v>
      </c>
      <c r="AZ189" s="1" t="s">
        <v>74</v>
      </c>
      <c r="BA189" s="1" t="s">
        <v>74</v>
      </c>
      <c r="BB189" s="1">
        <v>481.0</v>
      </c>
      <c r="BC189" s="1">
        <v>486.0</v>
      </c>
      <c r="BD189" s="1" t="s">
        <v>74</v>
      </c>
      <c r="BE189" s="1" t="s">
        <v>1909</v>
      </c>
      <c r="BF189" s="2" t="str">
        <f>HYPERLINK("http://dx.doi.org/10.4028/www.scientific.net/MSF.416-418.481","http://dx.doi.org/10.4028/www.scientific.net/MSF.416-418.481")</f>
        <v>http://dx.doi.org/10.4028/www.scientific.net/MSF.416-418.481</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1910</v>
      </c>
      <c r="BT189" s="1" t="str">
        <f>HYPERLINK("https%3A%2F%2Fwww.webofscience.com%2Fwos%2Fwoscc%2Ffull-record%2FWOS:000182605200079","View Full Record in Web of Science")</f>
        <v>View Full Record in Web of Science</v>
      </c>
    </row>
    <row r="190" ht="12.75" customHeight="1">
      <c r="A190" s="1" t="s">
        <v>72</v>
      </c>
      <c r="B190" s="1" t="s">
        <v>1911</v>
      </c>
      <c r="C190" s="1" t="s">
        <v>74</v>
      </c>
      <c r="D190" s="1" t="s">
        <v>74</v>
      </c>
      <c r="E190" s="1" t="s">
        <v>74</v>
      </c>
      <c r="F190" s="1" t="s">
        <v>1911</v>
      </c>
      <c r="G190" s="1" t="s">
        <v>74</v>
      </c>
      <c r="H190" s="1" t="s">
        <v>74</v>
      </c>
      <c r="I190" s="1" t="s">
        <v>1912</v>
      </c>
      <c r="J190" s="1" t="s">
        <v>1913</v>
      </c>
      <c r="K190" s="1" t="s">
        <v>74</v>
      </c>
      <c r="L190" s="1" t="s">
        <v>74</v>
      </c>
      <c r="M190" s="1" t="s">
        <v>74</v>
      </c>
      <c r="N190" s="1" t="s">
        <v>74</v>
      </c>
      <c r="O190" s="1" t="s">
        <v>74</v>
      </c>
      <c r="P190" s="1" t="s">
        <v>74</v>
      </c>
      <c r="Q190" s="1" t="s">
        <v>74</v>
      </c>
      <c r="R190" s="1" t="s">
        <v>74</v>
      </c>
      <c r="S190" s="1" t="s">
        <v>74</v>
      </c>
      <c r="T190" s="1" t="s">
        <v>74</v>
      </c>
      <c r="U190" s="1" t="s">
        <v>74</v>
      </c>
      <c r="V190" s="1" t="s">
        <v>1914</v>
      </c>
      <c r="W190" s="1" t="s">
        <v>74</v>
      </c>
      <c r="X190" s="1" t="s">
        <v>74</v>
      </c>
      <c r="Y190" s="1" t="s">
        <v>74</v>
      </c>
      <c r="Z190" s="1" t="s">
        <v>74</v>
      </c>
      <c r="AA190" s="1" t="s">
        <v>74</v>
      </c>
      <c r="AB190" s="1" t="s">
        <v>74</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1915</v>
      </c>
      <c r="AP190" s="1" t="s">
        <v>74</v>
      </c>
      <c r="AQ190" s="1" t="s">
        <v>74</v>
      </c>
      <c r="AR190" s="1" t="s">
        <v>74</v>
      </c>
      <c r="AS190" s="1" t="s">
        <v>74</v>
      </c>
      <c r="AT190" s="1" t="s">
        <v>116</v>
      </c>
      <c r="AU190" s="1">
        <v>2001.0</v>
      </c>
      <c r="AV190" s="1">
        <v>112.0</v>
      </c>
      <c r="AW190" s="1">
        <v>1.0</v>
      </c>
      <c r="AX190" s="1" t="s">
        <v>74</v>
      </c>
      <c r="AY190" s="1" t="s">
        <v>74</v>
      </c>
      <c r="AZ190" s="1" t="s">
        <v>74</v>
      </c>
      <c r="BA190" s="1" t="s">
        <v>74</v>
      </c>
      <c r="BB190" s="1">
        <v>41.0</v>
      </c>
      <c r="BC190" s="1">
        <v>46.0</v>
      </c>
      <c r="BD190" s="1" t="s">
        <v>74</v>
      </c>
      <c r="BE190" s="1" t="s">
        <v>1916</v>
      </c>
      <c r="BF190" s="2" t="str">
        <f>HYPERLINK("http://dx.doi.org/10.1016/S0009-3084(01)00161-X","http://dx.doi.org/10.1016/S0009-3084(01)00161-X")</f>
        <v>http://dx.doi.org/10.1016/S0009-3084(01)00161-X</v>
      </c>
      <c r="BG190" s="1" t="s">
        <v>74</v>
      </c>
      <c r="BH190" s="1" t="s">
        <v>74</v>
      </c>
      <c r="BI190" s="1" t="s">
        <v>74</v>
      </c>
      <c r="BJ190" s="1" t="s">
        <v>74</v>
      </c>
      <c r="BK190" s="1" t="s">
        <v>74</v>
      </c>
      <c r="BL190" s="1" t="s">
        <v>74</v>
      </c>
      <c r="BM190" s="1" t="s">
        <v>74</v>
      </c>
      <c r="BN190" s="1">
        <v>1.1518571E7</v>
      </c>
      <c r="BO190" s="1" t="s">
        <v>74</v>
      </c>
      <c r="BP190" s="1" t="s">
        <v>74</v>
      </c>
      <c r="BQ190" s="1" t="s">
        <v>74</v>
      </c>
      <c r="BR190" s="1" t="s">
        <v>74</v>
      </c>
      <c r="BS190" s="1" t="s">
        <v>1917</v>
      </c>
      <c r="BT190" s="1" t="str">
        <f>HYPERLINK("https%3A%2F%2Fwww.webofscience.com%2Fwos%2Fwoscc%2Ffull-record%2FWOS:000170860800005","View Full Record in Web of Science")</f>
        <v>View Full Record in Web of Science</v>
      </c>
    </row>
    <row r="191" ht="12.75" customHeight="1">
      <c r="A191" s="1" t="s">
        <v>72</v>
      </c>
      <c r="B191" s="1" t="s">
        <v>1918</v>
      </c>
      <c r="C191" s="1" t="s">
        <v>74</v>
      </c>
      <c r="D191" s="1" t="s">
        <v>74</v>
      </c>
      <c r="E191" s="1" t="s">
        <v>74</v>
      </c>
      <c r="F191" s="1" t="s">
        <v>1918</v>
      </c>
      <c r="G191" s="1" t="s">
        <v>74</v>
      </c>
      <c r="H191" s="1" t="s">
        <v>74</v>
      </c>
      <c r="I191" s="1" t="s">
        <v>1919</v>
      </c>
      <c r="J191" s="1" t="s">
        <v>1920</v>
      </c>
      <c r="K191" s="1" t="s">
        <v>74</v>
      </c>
      <c r="L191" s="1" t="s">
        <v>74</v>
      </c>
      <c r="M191" s="1" t="s">
        <v>74</v>
      </c>
      <c r="N191" s="1" t="s">
        <v>74</v>
      </c>
      <c r="O191" s="1" t="s">
        <v>74</v>
      </c>
      <c r="P191" s="1" t="s">
        <v>74</v>
      </c>
      <c r="Q191" s="1" t="s">
        <v>74</v>
      </c>
      <c r="R191" s="1" t="s">
        <v>74</v>
      </c>
      <c r="S191" s="1" t="s">
        <v>74</v>
      </c>
      <c r="T191" s="1" t="s">
        <v>74</v>
      </c>
      <c r="U191" s="1" t="s">
        <v>74</v>
      </c>
      <c r="V191" s="1" t="s">
        <v>1921</v>
      </c>
      <c r="W191" s="1" t="s">
        <v>74</v>
      </c>
      <c r="X191" s="1" t="s">
        <v>74</v>
      </c>
      <c r="Y191" s="1" t="s">
        <v>74</v>
      </c>
      <c r="Z191" s="1" t="s">
        <v>74</v>
      </c>
      <c r="AA191" s="1" t="s">
        <v>146</v>
      </c>
      <c r="AB191" s="1" t="s">
        <v>1155</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1922</v>
      </c>
      <c r="AP191" s="1" t="s">
        <v>74</v>
      </c>
      <c r="AQ191" s="1" t="s">
        <v>74</v>
      </c>
      <c r="AR191" s="1" t="s">
        <v>74</v>
      </c>
      <c r="AS191" s="1" t="s">
        <v>74</v>
      </c>
      <c r="AT191" s="1" t="s">
        <v>74</v>
      </c>
      <c r="AU191" s="1">
        <v>1998.0</v>
      </c>
      <c r="AV191" s="1">
        <v>28.0</v>
      </c>
      <c r="AW191" s="1">
        <v>23.0</v>
      </c>
      <c r="AX191" s="1" t="s">
        <v>74</v>
      </c>
      <c r="AY191" s="1" t="s">
        <v>74</v>
      </c>
      <c r="AZ191" s="1" t="s">
        <v>74</v>
      </c>
      <c r="BA191" s="1" t="s">
        <v>74</v>
      </c>
      <c r="BB191" s="1">
        <v>4393.0</v>
      </c>
      <c r="BC191" s="1">
        <v>4400.0</v>
      </c>
      <c r="BD191" s="1" t="s">
        <v>74</v>
      </c>
      <c r="BE191" s="1" t="s">
        <v>74</v>
      </c>
      <c r="BF191" s="1" t="s">
        <v>74</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1923</v>
      </c>
      <c r="BT191" s="1" t="str">
        <f>HYPERLINK("https%3A%2F%2Fwww.webofscience.com%2Fwos%2Fwoscc%2Ffull-record%2FWOS:000076752100012","View Full Record in Web of Science")</f>
        <v>View Full Record in Web of Science</v>
      </c>
    </row>
    <row r="192" ht="12.75" customHeight="1">
      <c r="A192" s="1" t="s">
        <v>72</v>
      </c>
      <c r="B192" s="1" t="s">
        <v>1924</v>
      </c>
      <c r="C192" s="1" t="s">
        <v>74</v>
      </c>
      <c r="D192" s="1" t="s">
        <v>74</v>
      </c>
      <c r="E192" s="1" t="s">
        <v>74</v>
      </c>
      <c r="F192" s="1" t="s">
        <v>1925</v>
      </c>
      <c r="G192" s="1" t="s">
        <v>74</v>
      </c>
      <c r="H192" s="1" t="s">
        <v>74</v>
      </c>
      <c r="I192" s="1" t="s">
        <v>1926</v>
      </c>
      <c r="J192" s="1" t="s">
        <v>1927</v>
      </c>
      <c r="K192" s="1" t="s">
        <v>74</v>
      </c>
      <c r="L192" s="1" t="s">
        <v>74</v>
      </c>
      <c r="M192" s="1" t="s">
        <v>74</v>
      </c>
      <c r="N192" s="1" t="s">
        <v>74</v>
      </c>
      <c r="O192" s="1" t="s">
        <v>74</v>
      </c>
      <c r="P192" s="1" t="s">
        <v>74</v>
      </c>
      <c r="Q192" s="1" t="s">
        <v>74</v>
      </c>
      <c r="R192" s="1" t="s">
        <v>74</v>
      </c>
      <c r="S192" s="1" t="s">
        <v>74</v>
      </c>
      <c r="T192" s="1" t="s">
        <v>74</v>
      </c>
      <c r="U192" s="1" t="s">
        <v>74</v>
      </c>
      <c r="V192" s="1" t="s">
        <v>1928</v>
      </c>
      <c r="W192" s="1" t="s">
        <v>74</v>
      </c>
      <c r="X192" s="1" t="s">
        <v>74</v>
      </c>
      <c r="Y192" s="1" t="s">
        <v>74</v>
      </c>
      <c r="Z192" s="1" t="s">
        <v>74</v>
      </c>
      <c r="AA192" s="1" t="s">
        <v>1929</v>
      </c>
      <c r="AB192" s="1" t="s">
        <v>1930</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1931</v>
      </c>
      <c r="AP192" s="1" t="s">
        <v>74</v>
      </c>
      <c r="AQ192" s="1" t="s">
        <v>74</v>
      </c>
      <c r="AR192" s="1" t="s">
        <v>74</v>
      </c>
      <c r="AS192" s="1" t="s">
        <v>74</v>
      </c>
      <c r="AT192" s="1" t="s">
        <v>74</v>
      </c>
      <c r="AU192" s="1">
        <v>2022.0</v>
      </c>
      <c r="AV192" s="1">
        <v>30.0</v>
      </c>
      <c r="AW192" s="1" t="s">
        <v>74</v>
      </c>
      <c r="AX192" s="1" t="s">
        <v>74</v>
      </c>
      <c r="AY192" s="1" t="s">
        <v>74</v>
      </c>
      <c r="AZ192" s="1" t="s">
        <v>74</v>
      </c>
      <c r="BA192" s="1" t="s">
        <v>74</v>
      </c>
      <c r="BB192" s="1" t="s">
        <v>74</v>
      </c>
      <c r="BC192" s="1" t="s">
        <v>74</v>
      </c>
      <c r="BD192" s="1" t="s">
        <v>1932</v>
      </c>
      <c r="BE192" s="1" t="s">
        <v>1933</v>
      </c>
      <c r="BF192" s="2" t="str">
        <f>HYPERLINK("http://dx.doi.org/10.1590/2526-8910.ctoAO246732282","http://dx.doi.org/10.1590/2526-8910.ctoAO246732282")</f>
        <v>http://dx.doi.org/10.1590/2526-8910.ctoAO246732282</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1934</v>
      </c>
      <c r="BT192" s="1" t="str">
        <f>HYPERLINK("https%3A%2F%2Fwww.webofscience.com%2Fwos%2Fwoscc%2Ffull-record%2FWOS:001124025400019","View Full Record in Web of Science")</f>
        <v>View Full Record in Web of Science</v>
      </c>
    </row>
    <row r="193" ht="12.75" customHeight="1">
      <c r="A193" s="1" t="s">
        <v>72</v>
      </c>
      <c r="B193" s="1" t="s">
        <v>1935</v>
      </c>
      <c r="C193" s="1" t="s">
        <v>74</v>
      </c>
      <c r="D193" s="1" t="s">
        <v>74</v>
      </c>
      <c r="E193" s="1" t="s">
        <v>74</v>
      </c>
      <c r="F193" s="1" t="s">
        <v>1936</v>
      </c>
      <c r="G193" s="1" t="s">
        <v>74</v>
      </c>
      <c r="H193" s="1" t="s">
        <v>74</v>
      </c>
      <c r="I193" s="1" t="s">
        <v>1937</v>
      </c>
      <c r="J193" s="1" t="s">
        <v>1938</v>
      </c>
      <c r="K193" s="1" t="s">
        <v>74</v>
      </c>
      <c r="L193" s="1" t="s">
        <v>74</v>
      </c>
      <c r="M193" s="1" t="s">
        <v>74</v>
      </c>
      <c r="N193" s="1" t="s">
        <v>74</v>
      </c>
      <c r="O193" s="1" t="s">
        <v>74</v>
      </c>
      <c r="P193" s="1" t="s">
        <v>74</v>
      </c>
      <c r="Q193" s="1" t="s">
        <v>74</v>
      </c>
      <c r="R193" s="1" t="s">
        <v>74</v>
      </c>
      <c r="S193" s="1" t="s">
        <v>74</v>
      </c>
      <c r="T193" s="1" t="s">
        <v>74</v>
      </c>
      <c r="U193" s="1" t="s">
        <v>74</v>
      </c>
      <c r="V193" s="1" t="s">
        <v>1939</v>
      </c>
      <c r="W193" s="1" t="s">
        <v>74</v>
      </c>
      <c r="X193" s="1" t="s">
        <v>74</v>
      </c>
      <c r="Y193" s="1" t="s">
        <v>74</v>
      </c>
      <c r="Z193" s="1" t="s">
        <v>74</v>
      </c>
      <c r="AA193" s="1" t="s">
        <v>1940</v>
      </c>
      <c r="AB193" s="1" t="s">
        <v>1941</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1942</v>
      </c>
      <c r="AP193" s="1" t="s">
        <v>74</v>
      </c>
      <c r="AQ193" s="1" t="s">
        <v>74</v>
      </c>
      <c r="AR193" s="1" t="s">
        <v>74</v>
      </c>
      <c r="AS193" s="1" t="s">
        <v>74</v>
      </c>
      <c r="AT193" s="1" t="s">
        <v>1943</v>
      </c>
      <c r="AU193" s="1">
        <v>2021.0</v>
      </c>
      <c r="AV193" s="1">
        <v>22.0</v>
      </c>
      <c r="AW193" s="1" t="s">
        <v>74</v>
      </c>
      <c r="AX193" s="1" t="s">
        <v>74</v>
      </c>
      <c r="AY193" s="1" t="s">
        <v>74</v>
      </c>
      <c r="AZ193" s="1" t="s">
        <v>74</v>
      </c>
      <c r="BA193" s="1" t="s">
        <v>74</v>
      </c>
      <c r="BB193" s="1" t="s">
        <v>74</v>
      </c>
      <c r="BC193" s="1" t="s">
        <v>74</v>
      </c>
      <c r="BD193" s="1">
        <v>100792.0</v>
      </c>
      <c r="BE193" s="1" t="s">
        <v>1944</v>
      </c>
      <c r="BF193" s="2" t="str">
        <f>HYPERLINK("http://dx.doi.org/10.1016/j.tsep.2020.100792","http://dx.doi.org/10.1016/j.tsep.2020.100792")</f>
        <v>http://dx.doi.org/10.1016/j.tsep.2020.100792</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1945</v>
      </c>
      <c r="BT193" s="1" t="str">
        <f>HYPERLINK("https%3A%2F%2Fwww.webofscience.com%2Fwos%2Fwoscc%2Ffull-record%2FWOS:000624915700005","View Full Record in Web of Science")</f>
        <v>View Full Record in Web of Science</v>
      </c>
    </row>
    <row r="194" ht="12.75" customHeight="1">
      <c r="A194" s="1" t="s">
        <v>72</v>
      </c>
      <c r="B194" s="1" t="s">
        <v>1946</v>
      </c>
      <c r="C194" s="1" t="s">
        <v>74</v>
      </c>
      <c r="D194" s="1" t="s">
        <v>74</v>
      </c>
      <c r="E194" s="1" t="s">
        <v>74</v>
      </c>
      <c r="F194" s="1" t="s">
        <v>1947</v>
      </c>
      <c r="G194" s="1" t="s">
        <v>74</v>
      </c>
      <c r="H194" s="1" t="s">
        <v>74</v>
      </c>
      <c r="I194" s="1" t="s">
        <v>1948</v>
      </c>
      <c r="J194" s="1" t="s">
        <v>1949</v>
      </c>
      <c r="K194" s="1" t="s">
        <v>74</v>
      </c>
      <c r="L194" s="1" t="s">
        <v>74</v>
      </c>
      <c r="M194" s="1" t="s">
        <v>74</v>
      </c>
      <c r="N194" s="1" t="s">
        <v>74</v>
      </c>
      <c r="O194" s="1" t="s">
        <v>74</v>
      </c>
      <c r="P194" s="1" t="s">
        <v>74</v>
      </c>
      <c r="Q194" s="1" t="s">
        <v>74</v>
      </c>
      <c r="R194" s="1" t="s">
        <v>74</v>
      </c>
      <c r="S194" s="1" t="s">
        <v>74</v>
      </c>
      <c r="T194" s="1" t="s">
        <v>74</v>
      </c>
      <c r="U194" s="1" t="s">
        <v>74</v>
      </c>
      <c r="V194" s="1" t="s">
        <v>1950</v>
      </c>
      <c r="W194" s="1" t="s">
        <v>74</v>
      </c>
      <c r="X194" s="1" t="s">
        <v>74</v>
      </c>
      <c r="Y194" s="1" t="s">
        <v>74</v>
      </c>
      <c r="Z194" s="1" t="s">
        <v>74</v>
      </c>
      <c r="AA194" s="1" t="s">
        <v>1951</v>
      </c>
      <c r="AB194" s="1" t="s">
        <v>1488</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1952</v>
      </c>
      <c r="AP194" s="1" t="s">
        <v>1953</v>
      </c>
      <c r="AQ194" s="1" t="s">
        <v>74</v>
      </c>
      <c r="AR194" s="1" t="s">
        <v>74</v>
      </c>
      <c r="AS194" s="1" t="s">
        <v>74</v>
      </c>
      <c r="AT194" s="1" t="s">
        <v>160</v>
      </c>
      <c r="AU194" s="1">
        <v>2020.0</v>
      </c>
      <c r="AV194" s="1">
        <v>35.0</v>
      </c>
      <c r="AW194" s="1">
        <v>10.0</v>
      </c>
      <c r="AX194" s="1" t="s">
        <v>74</v>
      </c>
      <c r="AY194" s="1" t="s">
        <v>74</v>
      </c>
      <c r="AZ194" s="1" t="s">
        <v>74</v>
      </c>
      <c r="BA194" s="1" t="s">
        <v>74</v>
      </c>
      <c r="BB194" s="1">
        <v>1347.0</v>
      </c>
      <c r="BC194" s="1">
        <v>1353.0</v>
      </c>
      <c r="BD194" s="1" t="s">
        <v>74</v>
      </c>
      <c r="BE194" s="1" t="s">
        <v>1954</v>
      </c>
      <c r="BF194" s="2" t="str">
        <f>HYPERLINK("http://dx.doi.org/10.1093/heapol/czaa113","http://dx.doi.org/10.1093/heapol/czaa113")</f>
        <v>http://dx.doi.org/10.1093/heapol/czaa113</v>
      </c>
      <c r="BG194" s="1" t="s">
        <v>74</v>
      </c>
      <c r="BH194" s="1" t="s">
        <v>74</v>
      </c>
      <c r="BI194" s="1" t="s">
        <v>74</v>
      </c>
      <c r="BJ194" s="1" t="s">
        <v>74</v>
      </c>
      <c r="BK194" s="1" t="s">
        <v>74</v>
      </c>
      <c r="BL194" s="1" t="s">
        <v>74</v>
      </c>
      <c r="BM194" s="1" t="s">
        <v>74</v>
      </c>
      <c r="BN194" s="1">
        <v>3.3296462E7</v>
      </c>
      <c r="BO194" s="1" t="s">
        <v>74</v>
      </c>
      <c r="BP194" s="1" t="s">
        <v>74</v>
      </c>
      <c r="BQ194" s="1" t="s">
        <v>74</v>
      </c>
      <c r="BR194" s="1" t="s">
        <v>74</v>
      </c>
      <c r="BS194" s="1" t="s">
        <v>1955</v>
      </c>
      <c r="BT194" s="1" t="str">
        <f>HYPERLINK("https%3A%2F%2Fwww.webofscience.com%2Fwos%2Fwoscc%2Ffull-record%2FWOS:000634550300009","View Full Record in Web of Science")</f>
        <v>View Full Record in Web of Science</v>
      </c>
    </row>
    <row r="195" ht="12.75" customHeight="1">
      <c r="A195" s="1" t="s">
        <v>442</v>
      </c>
      <c r="B195" s="1" t="s">
        <v>1355</v>
      </c>
      <c r="C195" s="1" t="s">
        <v>74</v>
      </c>
      <c r="D195" s="1" t="s">
        <v>1356</v>
      </c>
      <c r="E195" s="1" t="s">
        <v>74</v>
      </c>
      <c r="F195" s="1" t="s">
        <v>1357</v>
      </c>
      <c r="G195" s="1" t="s">
        <v>74</v>
      </c>
      <c r="H195" s="1" t="s">
        <v>74</v>
      </c>
      <c r="I195" s="1" t="s">
        <v>1956</v>
      </c>
      <c r="J195" s="1" t="s">
        <v>1359</v>
      </c>
      <c r="K195" s="1" t="s">
        <v>1360</v>
      </c>
      <c r="L195" s="1" t="s">
        <v>74</v>
      </c>
      <c r="M195" s="1" t="s">
        <v>74</v>
      </c>
      <c r="N195" s="1" t="s">
        <v>74</v>
      </c>
      <c r="O195" s="1" t="s">
        <v>74</v>
      </c>
      <c r="P195" s="1" t="s">
        <v>74</v>
      </c>
      <c r="Q195" s="1" t="s">
        <v>74</v>
      </c>
      <c r="R195" s="1" t="s">
        <v>74</v>
      </c>
      <c r="S195" s="1" t="s">
        <v>74</v>
      </c>
      <c r="T195" s="1" t="s">
        <v>74</v>
      </c>
      <c r="U195" s="1" t="s">
        <v>74</v>
      </c>
      <c r="V195" s="1" t="s">
        <v>74</v>
      </c>
      <c r="W195" s="1" t="s">
        <v>74</v>
      </c>
      <c r="X195" s="1" t="s">
        <v>74</v>
      </c>
      <c r="Y195" s="1" t="s">
        <v>74</v>
      </c>
      <c r="Z195" s="1" t="s">
        <v>74</v>
      </c>
      <c r="AA195" s="1" t="s">
        <v>74</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74</v>
      </c>
      <c r="AP195" s="1" t="s">
        <v>74</v>
      </c>
      <c r="AQ195" s="1" t="s">
        <v>1361</v>
      </c>
      <c r="AR195" s="1" t="s">
        <v>74</v>
      </c>
      <c r="AS195" s="1" t="s">
        <v>74</v>
      </c>
      <c r="AT195" s="1" t="s">
        <v>74</v>
      </c>
      <c r="AU195" s="1">
        <v>2020.0</v>
      </c>
      <c r="AV195" s="1">
        <v>8.0</v>
      </c>
      <c r="AW195" s="1" t="s">
        <v>74</v>
      </c>
      <c r="AX195" s="1" t="s">
        <v>74</v>
      </c>
      <c r="AY195" s="1" t="s">
        <v>74</v>
      </c>
      <c r="AZ195" s="1" t="s">
        <v>74</v>
      </c>
      <c r="BA195" s="1" t="s">
        <v>74</v>
      </c>
      <c r="BB195" s="1">
        <v>54.0</v>
      </c>
      <c r="BC195" s="1">
        <v>58.0</v>
      </c>
      <c r="BD195" s="1" t="s">
        <v>74</v>
      </c>
      <c r="BE195" s="1" t="s">
        <v>74</v>
      </c>
      <c r="BF195" s="1" t="s">
        <v>74</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1957</v>
      </c>
      <c r="BT195" s="1" t="str">
        <f>HYPERLINK("https%3A%2F%2Fwww.webofscience.com%2Fwos%2Fwoscc%2Ffull-record%2FWOS:000608865900010","View Full Record in Web of Science")</f>
        <v>View Full Record in Web of Science</v>
      </c>
    </row>
    <row r="196" ht="12.75" customHeight="1">
      <c r="A196" s="1" t="s">
        <v>72</v>
      </c>
      <c r="B196" s="1" t="s">
        <v>1958</v>
      </c>
      <c r="C196" s="1" t="s">
        <v>74</v>
      </c>
      <c r="D196" s="1" t="s">
        <v>74</v>
      </c>
      <c r="E196" s="1" t="s">
        <v>74</v>
      </c>
      <c r="F196" s="1" t="s">
        <v>1959</v>
      </c>
      <c r="G196" s="1" t="s">
        <v>74</v>
      </c>
      <c r="H196" s="1" t="s">
        <v>74</v>
      </c>
      <c r="I196" s="1" t="s">
        <v>1960</v>
      </c>
      <c r="J196" s="1" t="s">
        <v>1961</v>
      </c>
      <c r="K196" s="1" t="s">
        <v>74</v>
      </c>
      <c r="L196" s="1" t="s">
        <v>74</v>
      </c>
      <c r="M196" s="1" t="s">
        <v>74</v>
      </c>
      <c r="N196" s="1" t="s">
        <v>74</v>
      </c>
      <c r="O196" s="1" t="s">
        <v>74</v>
      </c>
      <c r="P196" s="1" t="s">
        <v>74</v>
      </c>
      <c r="Q196" s="1" t="s">
        <v>74</v>
      </c>
      <c r="R196" s="1" t="s">
        <v>74</v>
      </c>
      <c r="S196" s="1" t="s">
        <v>74</v>
      </c>
      <c r="T196" s="1" t="s">
        <v>74</v>
      </c>
      <c r="U196" s="1" t="s">
        <v>74</v>
      </c>
      <c r="V196" s="1" t="s">
        <v>1962</v>
      </c>
      <c r="W196" s="1" t="s">
        <v>74</v>
      </c>
      <c r="X196" s="1" t="s">
        <v>74</v>
      </c>
      <c r="Y196" s="1" t="s">
        <v>74</v>
      </c>
      <c r="Z196" s="1" t="s">
        <v>74</v>
      </c>
      <c r="AA196" s="1" t="s">
        <v>983</v>
      </c>
      <c r="AB196" s="1" t="s">
        <v>1963</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1964</v>
      </c>
      <c r="AP196" s="1" t="s">
        <v>1965</v>
      </c>
      <c r="AQ196" s="1" t="s">
        <v>74</v>
      </c>
      <c r="AR196" s="1" t="s">
        <v>74</v>
      </c>
      <c r="AS196" s="1" t="s">
        <v>74</v>
      </c>
      <c r="AT196" s="1" t="s">
        <v>160</v>
      </c>
      <c r="AU196" s="1">
        <v>2019.0</v>
      </c>
      <c r="AV196" s="1">
        <v>131.0</v>
      </c>
      <c r="AW196" s="1" t="s">
        <v>74</v>
      </c>
      <c r="AX196" s="1" t="s">
        <v>74</v>
      </c>
      <c r="AY196" s="1" t="s">
        <v>74</v>
      </c>
      <c r="AZ196" s="1" t="s">
        <v>74</v>
      </c>
      <c r="BA196" s="1" t="s">
        <v>74</v>
      </c>
      <c r="BB196" s="1" t="s">
        <v>74</v>
      </c>
      <c r="BC196" s="1" t="s">
        <v>74</v>
      </c>
      <c r="BD196" s="1">
        <v>109423.0</v>
      </c>
      <c r="BE196" s="1" t="s">
        <v>1966</v>
      </c>
      <c r="BF196" s="2" t="str">
        <f>HYPERLINK("http://dx.doi.org/10.1016/j.enzmictec.2019.109423","http://dx.doi.org/10.1016/j.enzmictec.2019.109423")</f>
        <v>http://dx.doi.org/10.1016/j.enzmictec.2019.109423</v>
      </c>
      <c r="BG196" s="1" t="s">
        <v>74</v>
      </c>
      <c r="BH196" s="1" t="s">
        <v>74</v>
      </c>
      <c r="BI196" s="1" t="s">
        <v>74</v>
      </c>
      <c r="BJ196" s="1" t="s">
        <v>74</v>
      </c>
      <c r="BK196" s="1" t="s">
        <v>74</v>
      </c>
      <c r="BL196" s="1" t="s">
        <v>74</v>
      </c>
      <c r="BM196" s="1" t="s">
        <v>74</v>
      </c>
      <c r="BN196" s="1">
        <v>3.1615676E7</v>
      </c>
      <c r="BO196" s="1" t="s">
        <v>74</v>
      </c>
      <c r="BP196" s="1" t="s">
        <v>74</v>
      </c>
      <c r="BQ196" s="1" t="s">
        <v>74</v>
      </c>
      <c r="BR196" s="1" t="s">
        <v>74</v>
      </c>
      <c r="BS196" s="1" t="s">
        <v>1967</v>
      </c>
      <c r="BT196" s="1" t="str">
        <f>HYPERLINK("https%3A%2F%2Fwww.webofscience.com%2Fwos%2Fwoscc%2Ffull-record%2FWOS:000496607400028","View Full Record in Web of Science")</f>
        <v>View Full Record in Web of Science</v>
      </c>
    </row>
    <row r="197" ht="12.75" customHeight="1">
      <c r="A197" s="1" t="s">
        <v>72</v>
      </c>
      <c r="B197" s="1" t="s">
        <v>1968</v>
      </c>
      <c r="C197" s="1" t="s">
        <v>74</v>
      </c>
      <c r="D197" s="1" t="s">
        <v>74</v>
      </c>
      <c r="E197" s="1" t="s">
        <v>74</v>
      </c>
      <c r="F197" s="1" t="s">
        <v>1969</v>
      </c>
      <c r="G197" s="1" t="s">
        <v>74</v>
      </c>
      <c r="H197" s="1" t="s">
        <v>74</v>
      </c>
      <c r="I197" s="1" t="s">
        <v>1970</v>
      </c>
      <c r="J197" s="1" t="s">
        <v>1971</v>
      </c>
      <c r="K197" s="1" t="s">
        <v>74</v>
      </c>
      <c r="L197" s="1" t="s">
        <v>74</v>
      </c>
      <c r="M197" s="1" t="s">
        <v>74</v>
      </c>
      <c r="N197" s="1" t="s">
        <v>74</v>
      </c>
      <c r="O197" s="1" t="s">
        <v>74</v>
      </c>
      <c r="P197" s="1" t="s">
        <v>74</v>
      </c>
      <c r="Q197" s="1" t="s">
        <v>74</v>
      </c>
      <c r="R197" s="1" t="s">
        <v>74</v>
      </c>
      <c r="S197" s="1" t="s">
        <v>74</v>
      </c>
      <c r="T197" s="1" t="s">
        <v>74</v>
      </c>
      <c r="U197" s="1" t="s">
        <v>74</v>
      </c>
      <c r="V197" s="1" t="s">
        <v>1972</v>
      </c>
      <c r="W197" s="1" t="s">
        <v>74</v>
      </c>
      <c r="X197" s="1" t="s">
        <v>74</v>
      </c>
      <c r="Y197" s="1" t="s">
        <v>74</v>
      </c>
      <c r="Z197" s="1" t="s">
        <v>74</v>
      </c>
      <c r="AA197" s="1" t="s">
        <v>1973</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1974</v>
      </c>
      <c r="AP197" s="1" t="s">
        <v>1975</v>
      </c>
      <c r="AQ197" s="1" t="s">
        <v>74</v>
      </c>
      <c r="AR197" s="1" t="s">
        <v>74</v>
      </c>
      <c r="AS197" s="1" t="s">
        <v>74</v>
      </c>
      <c r="AT197" s="1" t="s">
        <v>116</v>
      </c>
      <c r="AU197" s="1">
        <v>2019.0</v>
      </c>
      <c r="AV197" s="1">
        <v>22.0</v>
      </c>
      <c r="AW197" s="1">
        <v>2.0</v>
      </c>
      <c r="AX197" s="1" t="s">
        <v>74</v>
      </c>
      <c r="AY197" s="1" t="s">
        <v>74</v>
      </c>
      <c r="AZ197" s="1" t="s">
        <v>74</v>
      </c>
      <c r="BA197" s="1" t="s">
        <v>74</v>
      </c>
      <c r="BB197" s="1">
        <v>305.0</v>
      </c>
      <c r="BC197" s="1">
        <v>324.0</v>
      </c>
      <c r="BD197" s="1" t="s">
        <v>74</v>
      </c>
      <c r="BE197" s="1" t="s">
        <v>1976</v>
      </c>
      <c r="BF197" s="2" t="str">
        <f>HYPERLINK("http://dx.doi.org/10.5944/ried.22.2.23124","http://dx.doi.org/10.5944/ried.22.2.23124")</f>
        <v>http://dx.doi.org/10.5944/ried.22.2.23124</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1977</v>
      </c>
      <c r="BT197" s="1" t="str">
        <f>HYPERLINK("https%3A%2F%2Fwww.webofscience.com%2Fwos%2Fwoscc%2Ffull-record%2FWOS:000472721400016","View Full Record in Web of Science")</f>
        <v>View Full Record in Web of Science</v>
      </c>
    </row>
    <row r="198" ht="12.75" customHeight="1">
      <c r="A198" s="1" t="s">
        <v>72</v>
      </c>
      <c r="B198" s="1" t="s">
        <v>1978</v>
      </c>
      <c r="C198" s="1" t="s">
        <v>74</v>
      </c>
      <c r="D198" s="1" t="s">
        <v>74</v>
      </c>
      <c r="E198" s="1" t="s">
        <v>74</v>
      </c>
      <c r="F198" s="1" t="s">
        <v>1979</v>
      </c>
      <c r="G198" s="1" t="s">
        <v>74</v>
      </c>
      <c r="H198" s="1" t="s">
        <v>74</v>
      </c>
      <c r="I198" s="1" t="s">
        <v>1980</v>
      </c>
      <c r="J198" s="1" t="s">
        <v>1981</v>
      </c>
      <c r="K198" s="1" t="s">
        <v>74</v>
      </c>
      <c r="L198" s="1" t="s">
        <v>74</v>
      </c>
      <c r="M198" s="1" t="s">
        <v>74</v>
      </c>
      <c r="N198" s="1" t="s">
        <v>74</v>
      </c>
      <c r="O198" s="1" t="s">
        <v>74</v>
      </c>
      <c r="P198" s="1" t="s">
        <v>74</v>
      </c>
      <c r="Q198" s="1" t="s">
        <v>74</v>
      </c>
      <c r="R198" s="1" t="s">
        <v>74</v>
      </c>
      <c r="S198" s="1" t="s">
        <v>74</v>
      </c>
      <c r="T198" s="1" t="s">
        <v>74</v>
      </c>
      <c r="U198" s="1" t="s">
        <v>74</v>
      </c>
      <c r="V198" s="1" t="s">
        <v>1982</v>
      </c>
      <c r="W198" s="1" t="s">
        <v>74</v>
      </c>
      <c r="X198" s="1" t="s">
        <v>74</v>
      </c>
      <c r="Y198" s="1" t="s">
        <v>74</v>
      </c>
      <c r="Z198" s="1" t="s">
        <v>74</v>
      </c>
      <c r="AA198" s="1" t="s">
        <v>74</v>
      </c>
      <c r="AB198" s="1" t="s">
        <v>74</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1983</v>
      </c>
      <c r="AP198" s="1" t="s">
        <v>1984</v>
      </c>
      <c r="AQ198" s="1" t="s">
        <v>74</v>
      </c>
      <c r="AR198" s="1" t="s">
        <v>74</v>
      </c>
      <c r="AS198" s="1" t="s">
        <v>74</v>
      </c>
      <c r="AT198" s="1" t="s">
        <v>274</v>
      </c>
      <c r="AU198" s="1">
        <v>2017.0</v>
      </c>
      <c r="AV198" s="1">
        <v>77.0</v>
      </c>
      <c r="AW198" s="1">
        <v>12.0</v>
      </c>
      <c r="AX198" s="1" t="s">
        <v>74</v>
      </c>
      <c r="AY198" s="1" t="s">
        <v>74</v>
      </c>
      <c r="AZ198" s="1" t="s">
        <v>74</v>
      </c>
      <c r="BA198" s="1" t="s">
        <v>74</v>
      </c>
      <c r="BB198" s="1" t="s">
        <v>74</v>
      </c>
      <c r="BC198" s="1" t="s">
        <v>74</v>
      </c>
      <c r="BD198" s="1">
        <v>818.0</v>
      </c>
      <c r="BE198" s="1" t="s">
        <v>1985</v>
      </c>
      <c r="BF198" s="2" t="str">
        <f>HYPERLINK("http://dx.doi.org/10.1140/epjc/s10052-017-5388-2","http://dx.doi.org/10.1140/epjc/s10052-017-5388-2")</f>
        <v>http://dx.doi.org/10.1140/epjc/s10052-017-5388-2</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1986</v>
      </c>
      <c r="BT198" s="1" t="str">
        <f>HYPERLINK("https%3A%2F%2Fwww.webofscience.com%2Fwos%2Fwoscc%2Ffull-record%2FWOS:000417102100003","View Full Record in Web of Science")</f>
        <v>View Full Record in Web of Science</v>
      </c>
    </row>
    <row r="199" ht="12.75" customHeight="1">
      <c r="A199" s="1" t="s">
        <v>442</v>
      </c>
      <c r="B199" s="1" t="s">
        <v>1987</v>
      </c>
      <c r="C199" s="1" t="s">
        <v>74</v>
      </c>
      <c r="D199" s="1" t="s">
        <v>1988</v>
      </c>
      <c r="E199" s="1" t="s">
        <v>74</v>
      </c>
      <c r="F199" s="1" t="s">
        <v>1989</v>
      </c>
      <c r="G199" s="1" t="s">
        <v>74</v>
      </c>
      <c r="H199" s="1" t="s">
        <v>74</v>
      </c>
      <c r="I199" s="1" t="s">
        <v>1990</v>
      </c>
      <c r="J199" s="1" t="s">
        <v>1991</v>
      </c>
      <c r="K199" s="1" t="s">
        <v>74</v>
      </c>
      <c r="L199" s="1" t="s">
        <v>74</v>
      </c>
      <c r="M199" s="1" t="s">
        <v>74</v>
      </c>
      <c r="N199" s="1" t="s">
        <v>74</v>
      </c>
      <c r="O199" s="1" t="s">
        <v>74</v>
      </c>
      <c r="P199" s="1" t="s">
        <v>74</v>
      </c>
      <c r="Q199" s="1" t="s">
        <v>74</v>
      </c>
      <c r="R199" s="1" t="s">
        <v>74</v>
      </c>
      <c r="S199" s="1" t="s">
        <v>74</v>
      </c>
      <c r="T199" s="1" t="s">
        <v>74</v>
      </c>
      <c r="U199" s="1" t="s">
        <v>74</v>
      </c>
      <c r="V199" s="1" t="s">
        <v>74</v>
      </c>
      <c r="W199" s="1" t="s">
        <v>74</v>
      </c>
      <c r="X199" s="1" t="s">
        <v>74</v>
      </c>
      <c r="Y199" s="1" t="s">
        <v>74</v>
      </c>
      <c r="Z199" s="1" t="s">
        <v>74</v>
      </c>
      <c r="AA199" s="1" t="s">
        <v>74</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74</v>
      </c>
      <c r="AP199" s="1" t="s">
        <v>74</v>
      </c>
      <c r="AQ199" s="1" t="s">
        <v>1992</v>
      </c>
      <c r="AR199" s="1" t="s">
        <v>74</v>
      </c>
      <c r="AS199" s="1" t="s">
        <v>74</v>
      </c>
      <c r="AT199" s="1" t="s">
        <v>74</v>
      </c>
      <c r="AU199" s="1">
        <v>2016.0</v>
      </c>
      <c r="AV199" s="1" t="s">
        <v>74</v>
      </c>
      <c r="AW199" s="1" t="s">
        <v>74</v>
      </c>
      <c r="AX199" s="1" t="s">
        <v>74</v>
      </c>
      <c r="AY199" s="1" t="s">
        <v>74</v>
      </c>
      <c r="AZ199" s="1" t="s">
        <v>74</v>
      </c>
      <c r="BA199" s="1" t="s">
        <v>74</v>
      </c>
      <c r="BB199" s="1">
        <v>97.0</v>
      </c>
      <c r="BC199" s="1">
        <v>111.0</v>
      </c>
      <c r="BD199" s="1" t="s">
        <v>74</v>
      </c>
      <c r="BE199" s="1" t="s">
        <v>74</v>
      </c>
      <c r="BF199" s="1" t="s">
        <v>74</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1993</v>
      </c>
      <c r="BT199" s="1" t="str">
        <f>HYPERLINK("https%3A%2F%2Fwww.webofscience.com%2Fwos%2Fwoscc%2Ffull-record%2FWOS:000401436600007","View Full Record in Web of Science")</f>
        <v>View Full Record in Web of Science</v>
      </c>
    </row>
    <row r="200" ht="12.75" customHeight="1">
      <c r="A200" s="1" t="s">
        <v>72</v>
      </c>
      <c r="B200" s="1" t="s">
        <v>1994</v>
      </c>
      <c r="C200" s="1" t="s">
        <v>74</v>
      </c>
      <c r="D200" s="1" t="s">
        <v>74</v>
      </c>
      <c r="E200" s="1" t="s">
        <v>74</v>
      </c>
      <c r="F200" s="1" t="s">
        <v>1995</v>
      </c>
      <c r="G200" s="1" t="s">
        <v>74</v>
      </c>
      <c r="H200" s="1" t="s">
        <v>74</v>
      </c>
      <c r="I200" s="1" t="s">
        <v>1996</v>
      </c>
      <c r="J200" s="1" t="s">
        <v>280</v>
      </c>
      <c r="K200" s="1" t="s">
        <v>74</v>
      </c>
      <c r="L200" s="1" t="s">
        <v>74</v>
      </c>
      <c r="M200" s="1" t="s">
        <v>74</v>
      </c>
      <c r="N200" s="1" t="s">
        <v>74</v>
      </c>
      <c r="O200" s="1" t="s">
        <v>74</v>
      </c>
      <c r="P200" s="1" t="s">
        <v>74</v>
      </c>
      <c r="Q200" s="1" t="s">
        <v>74</v>
      </c>
      <c r="R200" s="1" t="s">
        <v>74</v>
      </c>
      <c r="S200" s="1" t="s">
        <v>74</v>
      </c>
      <c r="T200" s="1" t="s">
        <v>74</v>
      </c>
      <c r="U200" s="1" t="s">
        <v>74</v>
      </c>
      <c r="V200" s="1" t="s">
        <v>1997</v>
      </c>
      <c r="W200" s="1" t="s">
        <v>74</v>
      </c>
      <c r="X200" s="1" t="s">
        <v>74</v>
      </c>
      <c r="Y200" s="1" t="s">
        <v>74</v>
      </c>
      <c r="Z200" s="1" t="s">
        <v>74</v>
      </c>
      <c r="AA200" s="1" t="s">
        <v>1998</v>
      </c>
      <c r="AB200" s="1" t="s">
        <v>1018</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283</v>
      </c>
      <c r="AP200" s="1" t="s">
        <v>74</v>
      </c>
      <c r="AQ200" s="1" t="s">
        <v>74</v>
      </c>
      <c r="AR200" s="1" t="s">
        <v>74</v>
      </c>
      <c r="AS200" s="1" t="s">
        <v>74</v>
      </c>
      <c r="AT200" s="1" t="s">
        <v>160</v>
      </c>
      <c r="AU200" s="1">
        <v>2015.0</v>
      </c>
      <c r="AV200" s="1">
        <v>60.0</v>
      </c>
      <c r="AW200" s="1">
        <v>4.0</v>
      </c>
      <c r="AX200" s="1" t="s">
        <v>74</v>
      </c>
      <c r="AY200" s="1" t="s">
        <v>74</v>
      </c>
      <c r="AZ200" s="1" t="s">
        <v>74</v>
      </c>
      <c r="BA200" s="1" t="s">
        <v>74</v>
      </c>
      <c r="BB200" s="1">
        <v>2711.0</v>
      </c>
      <c r="BC200" s="1">
        <v>2715.0</v>
      </c>
      <c r="BD200" s="1" t="s">
        <v>74</v>
      </c>
      <c r="BE200" s="1" t="s">
        <v>1999</v>
      </c>
      <c r="BF200" s="2" t="str">
        <f>HYPERLINK("http://dx.doi.org/10.4067/S0717-97072015000400015","http://dx.doi.org/10.4067/S0717-97072015000400015")</f>
        <v>http://dx.doi.org/10.4067/S0717-97072015000400015</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2000</v>
      </c>
      <c r="BT200" s="1" t="str">
        <f>HYPERLINK("https%3A%2F%2Fwww.webofscience.com%2Fwos%2Fwoscc%2Ffull-record%2FWOS:000373368100015","View Full Record in Web of Science")</f>
        <v>View Full Record in Web of Science</v>
      </c>
    </row>
    <row r="201" ht="12.75" customHeight="1">
      <c r="A201" s="1" t="s">
        <v>72</v>
      </c>
      <c r="B201" s="1" t="s">
        <v>2001</v>
      </c>
      <c r="C201" s="1" t="s">
        <v>74</v>
      </c>
      <c r="D201" s="1" t="s">
        <v>74</v>
      </c>
      <c r="E201" s="1" t="s">
        <v>74</v>
      </c>
      <c r="F201" s="1" t="s">
        <v>2002</v>
      </c>
      <c r="G201" s="1" t="s">
        <v>74</v>
      </c>
      <c r="H201" s="1" t="s">
        <v>74</v>
      </c>
      <c r="I201" s="1" t="s">
        <v>2003</v>
      </c>
      <c r="J201" s="1" t="s">
        <v>2004</v>
      </c>
      <c r="K201" s="1" t="s">
        <v>74</v>
      </c>
      <c r="L201" s="1" t="s">
        <v>74</v>
      </c>
      <c r="M201" s="1" t="s">
        <v>74</v>
      </c>
      <c r="N201" s="1" t="s">
        <v>74</v>
      </c>
      <c r="O201" s="1" t="s">
        <v>74</v>
      </c>
      <c r="P201" s="1" t="s">
        <v>74</v>
      </c>
      <c r="Q201" s="1" t="s">
        <v>74</v>
      </c>
      <c r="R201" s="1" t="s">
        <v>74</v>
      </c>
      <c r="S201" s="1" t="s">
        <v>74</v>
      </c>
      <c r="T201" s="1" t="s">
        <v>74</v>
      </c>
      <c r="U201" s="1" t="s">
        <v>74</v>
      </c>
      <c r="V201" s="1" t="s">
        <v>2005</v>
      </c>
      <c r="W201" s="1" t="s">
        <v>74</v>
      </c>
      <c r="X201" s="1" t="s">
        <v>74</v>
      </c>
      <c r="Y201" s="1" t="s">
        <v>74</v>
      </c>
      <c r="Z201" s="1" t="s">
        <v>74</v>
      </c>
      <c r="AA201" s="1" t="s">
        <v>2006</v>
      </c>
      <c r="AB201" s="1" t="s">
        <v>2007</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2008</v>
      </c>
      <c r="AP201" s="1" t="s">
        <v>2009</v>
      </c>
      <c r="AQ201" s="1" t="s">
        <v>74</v>
      </c>
      <c r="AR201" s="1" t="s">
        <v>74</v>
      </c>
      <c r="AS201" s="1" t="s">
        <v>74</v>
      </c>
      <c r="AT201" s="1" t="s">
        <v>82</v>
      </c>
      <c r="AU201" s="1">
        <v>2012.0</v>
      </c>
      <c r="AV201" s="1">
        <v>327.0</v>
      </c>
      <c r="AW201" s="1">
        <v>6.0</v>
      </c>
      <c r="AX201" s="1" t="s">
        <v>74</v>
      </c>
      <c r="AY201" s="1" t="s">
        <v>74</v>
      </c>
      <c r="AZ201" s="1" t="s">
        <v>74</v>
      </c>
      <c r="BA201" s="1" t="s">
        <v>74</v>
      </c>
      <c r="BB201" s="1">
        <v>1761.0</v>
      </c>
      <c r="BC201" s="1">
        <v>1783.0</v>
      </c>
      <c r="BD201" s="1" t="s">
        <v>74</v>
      </c>
      <c r="BE201" s="1" t="s">
        <v>2010</v>
      </c>
      <c r="BF201" s="2" t="str">
        <f>HYPERLINK("http://dx.doi.org/10.1016/j.aop.2012.03.004","http://dx.doi.org/10.1016/j.aop.2012.03.004")</f>
        <v>http://dx.doi.org/10.1016/j.aop.2012.03.004</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2011</v>
      </c>
      <c r="BT201" s="1" t="str">
        <f>HYPERLINK("https%3A%2F%2Fwww.webofscience.com%2Fwos%2Fwoscc%2Ffull-record%2FWOS:000304507700017","View Full Record in Web of Science")</f>
        <v>View Full Record in Web of Science</v>
      </c>
    </row>
    <row r="202" ht="12.75" customHeight="1">
      <c r="A202" s="1" t="s">
        <v>72</v>
      </c>
      <c r="B202" s="1" t="s">
        <v>2012</v>
      </c>
      <c r="C202" s="1" t="s">
        <v>74</v>
      </c>
      <c r="D202" s="1" t="s">
        <v>74</v>
      </c>
      <c r="E202" s="1" t="s">
        <v>74</v>
      </c>
      <c r="F202" s="1" t="s">
        <v>2013</v>
      </c>
      <c r="G202" s="1" t="s">
        <v>74</v>
      </c>
      <c r="H202" s="1" t="s">
        <v>74</v>
      </c>
      <c r="I202" s="1" t="s">
        <v>2014</v>
      </c>
      <c r="J202" s="1" t="s">
        <v>2015</v>
      </c>
      <c r="K202" s="1" t="s">
        <v>74</v>
      </c>
      <c r="L202" s="1" t="s">
        <v>74</v>
      </c>
      <c r="M202" s="1" t="s">
        <v>74</v>
      </c>
      <c r="N202" s="1" t="s">
        <v>74</v>
      </c>
      <c r="O202" s="1" t="s">
        <v>74</v>
      </c>
      <c r="P202" s="1" t="s">
        <v>74</v>
      </c>
      <c r="Q202" s="1" t="s">
        <v>74</v>
      </c>
      <c r="R202" s="1" t="s">
        <v>74</v>
      </c>
      <c r="S202" s="1" t="s">
        <v>74</v>
      </c>
      <c r="T202" s="1" t="s">
        <v>74</v>
      </c>
      <c r="U202" s="1" t="s">
        <v>74</v>
      </c>
      <c r="V202" s="1" t="s">
        <v>2016</v>
      </c>
      <c r="W202" s="1" t="s">
        <v>74</v>
      </c>
      <c r="X202" s="1" t="s">
        <v>74</v>
      </c>
      <c r="Y202" s="1" t="s">
        <v>74</v>
      </c>
      <c r="Z202" s="1" t="s">
        <v>74</v>
      </c>
      <c r="AA202" s="1" t="s">
        <v>2017</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2018</v>
      </c>
      <c r="AP202" s="1" t="s">
        <v>74</v>
      </c>
      <c r="AQ202" s="1" t="s">
        <v>74</v>
      </c>
      <c r="AR202" s="1" t="s">
        <v>74</v>
      </c>
      <c r="AS202" s="1" t="s">
        <v>74</v>
      </c>
      <c r="AT202" s="1" t="s">
        <v>74</v>
      </c>
      <c r="AU202" s="1">
        <v>2012.0</v>
      </c>
      <c r="AV202" s="1">
        <v>1.0</v>
      </c>
      <c r="AW202" s="1">
        <v>34.0</v>
      </c>
      <c r="AX202" s="1" t="s">
        <v>74</v>
      </c>
      <c r="AY202" s="1" t="s">
        <v>74</v>
      </c>
      <c r="AZ202" s="1" t="s">
        <v>74</v>
      </c>
      <c r="BA202" s="1" t="s">
        <v>74</v>
      </c>
      <c r="BB202" s="1">
        <v>157.0</v>
      </c>
      <c r="BC202" s="1">
        <v>173.0</v>
      </c>
      <c r="BD202" s="1" t="s">
        <v>74</v>
      </c>
      <c r="BE202" s="1" t="s">
        <v>74</v>
      </c>
      <c r="BF202" s="1" t="s">
        <v>74</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2019</v>
      </c>
      <c r="BT202" s="1" t="str">
        <f>HYPERLINK("https%3A%2F%2Fwww.webofscience.com%2Fwos%2Fwoscc%2Ffull-record%2FWOS:000315670800008","View Full Record in Web of Science")</f>
        <v>View Full Record in Web of Science</v>
      </c>
    </row>
    <row r="203" ht="12.75" customHeight="1">
      <c r="A203" s="1" t="s">
        <v>72</v>
      </c>
      <c r="B203" s="1" t="s">
        <v>2020</v>
      </c>
      <c r="C203" s="1" t="s">
        <v>74</v>
      </c>
      <c r="D203" s="1" t="s">
        <v>74</v>
      </c>
      <c r="E203" s="1" t="s">
        <v>74</v>
      </c>
      <c r="F203" s="1" t="s">
        <v>2021</v>
      </c>
      <c r="G203" s="1" t="s">
        <v>74</v>
      </c>
      <c r="H203" s="1" t="s">
        <v>74</v>
      </c>
      <c r="I203" s="1" t="s">
        <v>2022</v>
      </c>
      <c r="J203" s="1" t="s">
        <v>2023</v>
      </c>
      <c r="K203" s="1" t="s">
        <v>74</v>
      </c>
      <c r="L203" s="1" t="s">
        <v>74</v>
      </c>
      <c r="M203" s="1" t="s">
        <v>74</v>
      </c>
      <c r="N203" s="1" t="s">
        <v>74</v>
      </c>
      <c r="O203" s="1" t="s">
        <v>74</v>
      </c>
      <c r="P203" s="1" t="s">
        <v>74</v>
      </c>
      <c r="Q203" s="1" t="s">
        <v>74</v>
      </c>
      <c r="R203" s="1" t="s">
        <v>74</v>
      </c>
      <c r="S203" s="1" t="s">
        <v>74</v>
      </c>
      <c r="T203" s="1" t="s">
        <v>74</v>
      </c>
      <c r="U203" s="1" t="s">
        <v>74</v>
      </c>
      <c r="V203" s="1" t="s">
        <v>2024</v>
      </c>
      <c r="W203" s="1" t="s">
        <v>74</v>
      </c>
      <c r="X203" s="1" t="s">
        <v>74</v>
      </c>
      <c r="Y203" s="1" t="s">
        <v>74</v>
      </c>
      <c r="Z203" s="1" t="s">
        <v>74</v>
      </c>
      <c r="AA203" s="1" t="s">
        <v>2025</v>
      </c>
      <c r="AB203" s="1" t="s">
        <v>2026</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2027</v>
      </c>
      <c r="AP203" s="1" t="s">
        <v>74</v>
      </c>
      <c r="AQ203" s="1" t="s">
        <v>74</v>
      </c>
      <c r="AR203" s="1" t="s">
        <v>74</v>
      </c>
      <c r="AS203" s="1" t="s">
        <v>74</v>
      </c>
      <c r="AT203" s="1" t="s">
        <v>183</v>
      </c>
      <c r="AU203" s="1">
        <v>2011.0</v>
      </c>
      <c r="AV203" s="1">
        <v>16.0</v>
      </c>
      <c r="AW203" s="1">
        <v>5.0</v>
      </c>
      <c r="AX203" s="1" t="s">
        <v>74</v>
      </c>
      <c r="AY203" s="1" t="s">
        <v>74</v>
      </c>
      <c r="AZ203" s="1" t="s">
        <v>74</v>
      </c>
      <c r="BA203" s="1" t="s">
        <v>74</v>
      </c>
      <c r="BB203" s="1">
        <v>3885.0</v>
      </c>
      <c r="BC203" s="1">
        <v>3895.0</v>
      </c>
      <c r="BD203" s="1" t="s">
        <v>74</v>
      </c>
      <c r="BE203" s="1" t="s">
        <v>2028</v>
      </c>
      <c r="BF203" s="2" t="str">
        <f>HYPERLINK("http://dx.doi.org/10.3390/molecules16053885","http://dx.doi.org/10.3390/molecules16053885")</f>
        <v>http://dx.doi.org/10.3390/molecules16053885</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2029</v>
      </c>
      <c r="BT203" s="1" t="str">
        <f>HYPERLINK("https%3A%2F%2Fwww.webofscience.com%2Fwos%2Fwoscc%2Ffull-record%2FWOS:000290955800032","View Full Record in Web of Science")</f>
        <v>View Full Record in Web of Science</v>
      </c>
    </row>
    <row r="204" ht="12.75" customHeight="1">
      <c r="A204" s="1" t="s">
        <v>72</v>
      </c>
      <c r="B204" s="1" t="s">
        <v>2030</v>
      </c>
      <c r="C204" s="1" t="s">
        <v>74</v>
      </c>
      <c r="D204" s="1" t="s">
        <v>74</v>
      </c>
      <c r="E204" s="1" t="s">
        <v>74</v>
      </c>
      <c r="F204" s="1" t="s">
        <v>2031</v>
      </c>
      <c r="G204" s="1" t="s">
        <v>74</v>
      </c>
      <c r="H204" s="1" t="s">
        <v>74</v>
      </c>
      <c r="I204" s="1" t="s">
        <v>2032</v>
      </c>
      <c r="J204" s="1" t="s">
        <v>1416</v>
      </c>
      <c r="K204" s="1" t="s">
        <v>74</v>
      </c>
      <c r="L204" s="1" t="s">
        <v>74</v>
      </c>
      <c r="M204" s="1" t="s">
        <v>74</v>
      </c>
      <c r="N204" s="1" t="s">
        <v>74</v>
      </c>
      <c r="O204" s="1" t="s">
        <v>74</v>
      </c>
      <c r="P204" s="1" t="s">
        <v>74</v>
      </c>
      <c r="Q204" s="1" t="s">
        <v>74</v>
      </c>
      <c r="R204" s="1" t="s">
        <v>74</v>
      </c>
      <c r="S204" s="1" t="s">
        <v>74</v>
      </c>
      <c r="T204" s="1" t="s">
        <v>74</v>
      </c>
      <c r="U204" s="1" t="s">
        <v>74</v>
      </c>
      <c r="V204" s="1" t="s">
        <v>2033</v>
      </c>
      <c r="W204" s="1" t="s">
        <v>74</v>
      </c>
      <c r="X204" s="1" t="s">
        <v>74</v>
      </c>
      <c r="Y204" s="1" t="s">
        <v>74</v>
      </c>
      <c r="Z204" s="1" t="s">
        <v>74</v>
      </c>
      <c r="AA204" s="1" t="s">
        <v>74</v>
      </c>
      <c r="AB204" s="1" t="s">
        <v>2034</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1418</v>
      </c>
      <c r="AP204" s="1" t="s">
        <v>1419</v>
      </c>
      <c r="AQ204" s="1" t="s">
        <v>74</v>
      </c>
      <c r="AR204" s="1" t="s">
        <v>74</v>
      </c>
      <c r="AS204" s="1" t="s">
        <v>74</v>
      </c>
      <c r="AT204" s="1" t="s">
        <v>607</v>
      </c>
      <c r="AU204" s="1">
        <v>2009.0</v>
      </c>
      <c r="AV204" s="1">
        <v>91.0</v>
      </c>
      <c r="AW204" s="1">
        <v>2.0</v>
      </c>
      <c r="AX204" s="1" t="s">
        <v>74</v>
      </c>
      <c r="AY204" s="1" t="s">
        <v>74</v>
      </c>
      <c r="AZ204" s="1" t="s">
        <v>74</v>
      </c>
      <c r="BA204" s="1" t="s">
        <v>74</v>
      </c>
      <c r="BB204" s="1">
        <v>295.0</v>
      </c>
      <c r="BC204" s="1">
        <v>299.0</v>
      </c>
      <c r="BD204" s="1" t="s">
        <v>74</v>
      </c>
      <c r="BE204" s="1" t="s">
        <v>2035</v>
      </c>
      <c r="BF204" s="2" t="str">
        <f>HYPERLINK("http://dx.doi.org/10.1016/j.biochi.2008.10.005","http://dx.doi.org/10.1016/j.biochi.2008.10.005")</f>
        <v>http://dx.doi.org/10.1016/j.biochi.2008.10.005</v>
      </c>
      <c r="BG204" s="1" t="s">
        <v>74</v>
      </c>
      <c r="BH204" s="1" t="s">
        <v>74</v>
      </c>
      <c r="BI204" s="1" t="s">
        <v>74</v>
      </c>
      <c r="BJ204" s="1" t="s">
        <v>74</v>
      </c>
      <c r="BK204" s="1" t="s">
        <v>74</v>
      </c>
      <c r="BL204" s="1" t="s">
        <v>74</v>
      </c>
      <c r="BM204" s="1" t="s">
        <v>74</v>
      </c>
      <c r="BN204" s="1">
        <v>1.8996167E7</v>
      </c>
      <c r="BO204" s="1" t="s">
        <v>74</v>
      </c>
      <c r="BP204" s="1" t="s">
        <v>74</v>
      </c>
      <c r="BQ204" s="1" t="s">
        <v>74</v>
      </c>
      <c r="BR204" s="1" t="s">
        <v>74</v>
      </c>
      <c r="BS204" s="1" t="s">
        <v>2036</v>
      </c>
      <c r="BT204" s="1" t="str">
        <f>HYPERLINK("https%3A%2F%2Fwww.webofscience.com%2Fwos%2Fwoscc%2Ffull-record%2FWOS:000263813300015","View Full Record in Web of Science")</f>
        <v>View Full Record in Web of Science</v>
      </c>
    </row>
    <row r="205" ht="12.75" customHeight="1">
      <c r="A205" s="1" t="s">
        <v>72</v>
      </c>
      <c r="B205" s="1" t="s">
        <v>2037</v>
      </c>
      <c r="C205" s="1" t="s">
        <v>74</v>
      </c>
      <c r="D205" s="1" t="s">
        <v>74</v>
      </c>
      <c r="E205" s="1" t="s">
        <v>74</v>
      </c>
      <c r="F205" s="1" t="s">
        <v>2038</v>
      </c>
      <c r="G205" s="1" t="s">
        <v>74</v>
      </c>
      <c r="H205" s="1" t="s">
        <v>74</v>
      </c>
      <c r="I205" s="1" t="s">
        <v>2039</v>
      </c>
      <c r="J205" s="1" t="s">
        <v>2040</v>
      </c>
      <c r="K205" s="1" t="s">
        <v>74</v>
      </c>
      <c r="L205" s="1" t="s">
        <v>74</v>
      </c>
      <c r="M205" s="1" t="s">
        <v>74</v>
      </c>
      <c r="N205" s="1" t="s">
        <v>74</v>
      </c>
      <c r="O205" s="1" t="s">
        <v>74</v>
      </c>
      <c r="P205" s="1" t="s">
        <v>74</v>
      </c>
      <c r="Q205" s="1" t="s">
        <v>74</v>
      </c>
      <c r="R205" s="1" t="s">
        <v>74</v>
      </c>
      <c r="S205" s="1" t="s">
        <v>74</v>
      </c>
      <c r="T205" s="1" t="s">
        <v>74</v>
      </c>
      <c r="U205" s="1" t="s">
        <v>74</v>
      </c>
      <c r="V205" s="1" t="s">
        <v>2041</v>
      </c>
      <c r="W205" s="1" t="s">
        <v>74</v>
      </c>
      <c r="X205" s="1" t="s">
        <v>74</v>
      </c>
      <c r="Y205" s="1" t="s">
        <v>74</v>
      </c>
      <c r="Z205" s="1" t="s">
        <v>74</v>
      </c>
      <c r="AA205" s="1" t="s">
        <v>508</v>
      </c>
      <c r="AB205" s="1" t="s">
        <v>74</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2042</v>
      </c>
      <c r="AP205" s="1" t="s">
        <v>2043</v>
      </c>
      <c r="AQ205" s="1" t="s">
        <v>74</v>
      </c>
      <c r="AR205" s="1" t="s">
        <v>74</v>
      </c>
      <c r="AS205" s="1" t="s">
        <v>74</v>
      </c>
      <c r="AT205" s="1" t="s">
        <v>74</v>
      </c>
      <c r="AU205" s="1">
        <v>2009.0</v>
      </c>
      <c r="AV205" s="1">
        <v>18.0</v>
      </c>
      <c r="AW205" s="1">
        <v>12.0</v>
      </c>
      <c r="AX205" s="1" t="s">
        <v>74</v>
      </c>
      <c r="AY205" s="1" t="s">
        <v>74</v>
      </c>
      <c r="AZ205" s="1" t="s">
        <v>74</v>
      </c>
      <c r="BA205" s="1" t="s">
        <v>74</v>
      </c>
      <c r="BB205" s="1">
        <v>2336.0</v>
      </c>
      <c r="BC205" s="1">
        <v>2344.0</v>
      </c>
      <c r="BD205" s="1" t="s">
        <v>74</v>
      </c>
      <c r="BE205" s="1" t="s">
        <v>74</v>
      </c>
      <c r="BF205" s="1" t="s">
        <v>74</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2044</v>
      </c>
      <c r="BT205" s="1" t="str">
        <f>HYPERLINK("https%3A%2F%2Fwww.webofscience.com%2Fwos%2Fwoscc%2Ffull-record%2FWOS:000274093100012","View Full Record in Web of Science")</f>
        <v>View Full Record in Web of Science</v>
      </c>
    </row>
    <row r="206" ht="12.75" customHeight="1">
      <c r="A206" s="1" t="s">
        <v>72</v>
      </c>
      <c r="B206" s="1" t="s">
        <v>2045</v>
      </c>
      <c r="C206" s="1" t="s">
        <v>74</v>
      </c>
      <c r="D206" s="1" t="s">
        <v>74</v>
      </c>
      <c r="E206" s="1" t="s">
        <v>74</v>
      </c>
      <c r="F206" s="1" t="s">
        <v>2046</v>
      </c>
      <c r="G206" s="1" t="s">
        <v>74</v>
      </c>
      <c r="H206" s="1" t="s">
        <v>74</v>
      </c>
      <c r="I206" s="1" t="s">
        <v>2047</v>
      </c>
      <c r="J206" s="1" t="s">
        <v>2048</v>
      </c>
      <c r="K206" s="1" t="s">
        <v>74</v>
      </c>
      <c r="L206" s="1" t="s">
        <v>74</v>
      </c>
      <c r="M206" s="1" t="s">
        <v>74</v>
      </c>
      <c r="N206" s="1" t="s">
        <v>74</v>
      </c>
      <c r="O206" s="1" t="s">
        <v>74</v>
      </c>
      <c r="P206" s="1" t="s">
        <v>74</v>
      </c>
      <c r="Q206" s="1" t="s">
        <v>74</v>
      </c>
      <c r="R206" s="1" t="s">
        <v>74</v>
      </c>
      <c r="S206" s="1" t="s">
        <v>74</v>
      </c>
      <c r="T206" s="1" t="s">
        <v>74</v>
      </c>
      <c r="U206" s="1" t="s">
        <v>74</v>
      </c>
      <c r="V206" s="1" t="s">
        <v>2049</v>
      </c>
      <c r="W206" s="1" t="s">
        <v>74</v>
      </c>
      <c r="X206" s="1" t="s">
        <v>74</v>
      </c>
      <c r="Y206" s="1" t="s">
        <v>74</v>
      </c>
      <c r="Z206" s="1" t="s">
        <v>74</v>
      </c>
      <c r="AA206" s="1" t="s">
        <v>2050</v>
      </c>
      <c r="AB206" s="1" t="s">
        <v>2051</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2052</v>
      </c>
      <c r="AP206" s="1" t="s">
        <v>74</v>
      </c>
      <c r="AQ206" s="1" t="s">
        <v>74</v>
      </c>
      <c r="AR206" s="1" t="s">
        <v>74</v>
      </c>
      <c r="AS206" s="1" t="s">
        <v>74</v>
      </c>
      <c r="AT206" s="1" t="s">
        <v>607</v>
      </c>
      <c r="AU206" s="1">
        <v>2008.0</v>
      </c>
      <c r="AV206" s="1">
        <v>63.0</v>
      </c>
      <c r="AW206" s="1">
        <v>2.0</v>
      </c>
      <c r="AX206" s="1" t="s">
        <v>74</v>
      </c>
      <c r="AY206" s="1" t="s">
        <v>74</v>
      </c>
      <c r="AZ206" s="1" t="s">
        <v>74</v>
      </c>
      <c r="BA206" s="1" t="s">
        <v>74</v>
      </c>
      <c r="BB206" s="1">
        <v>167.0</v>
      </c>
      <c r="BC206" s="1">
        <v>171.0</v>
      </c>
      <c r="BD206" s="1" t="s">
        <v>74</v>
      </c>
      <c r="BE206" s="1" t="s">
        <v>2053</v>
      </c>
      <c r="BF206" s="2" t="str">
        <f>HYPERLINK("http://dx.doi.org/10.1136/thx.2006.063180","http://dx.doi.org/10.1136/thx.2006.063180")</f>
        <v>http://dx.doi.org/10.1136/thx.2006.063180</v>
      </c>
      <c r="BG206" s="1" t="s">
        <v>74</v>
      </c>
      <c r="BH206" s="1" t="s">
        <v>74</v>
      </c>
      <c r="BI206" s="1" t="s">
        <v>74</v>
      </c>
      <c r="BJ206" s="1" t="s">
        <v>74</v>
      </c>
      <c r="BK206" s="1" t="s">
        <v>74</v>
      </c>
      <c r="BL206" s="1" t="s">
        <v>74</v>
      </c>
      <c r="BM206" s="1" t="s">
        <v>74</v>
      </c>
      <c r="BN206" s="1">
        <v>1.790116E7</v>
      </c>
      <c r="BO206" s="1" t="s">
        <v>74</v>
      </c>
      <c r="BP206" s="1" t="s">
        <v>74</v>
      </c>
      <c r="BQ206" s="1" t="s">
        <v>74</v>
      </c>
      <c r="BR206" s="1" t="s">
        <v>74</v>
      </c>
      <c r="BS206" s="1" t="s">
        <v>2054</v>
      </c>
      <c r="BT206" s="1" t="str">
        <f>HYPERLINK("https%3A%2F%2Fwww.webofscience.com%2Fwos%2Fwoscc%2Ffull-record%2FWOS:000252718500015","View Full Record in Web of Science")</f>
        <v>View Full Record in Web of Science</v>
      </c>
    </row>
    <row r="207" ht="12.75" customHeight="1">
      <c r="A207" s="1" t="s">
        <v>72</v>
      </c>
      <c r="B207" s="1" t="s">
        <v>2055</v>
      </c>
      <c r="C207" s="1" t="s">
        <v>74</v>
      </c>
      <c r="D207" s="1" t="s">
        <v>74</v>
      </c>
      <c r="E207" s="1" t="s">
        <v>74</v>
      </c>
      <c r="F207" s="1" t="s">
        <v>2056</v>
      </c>
      <c r="G207" s="1" t="s">
        <v>74</v>
      </c>
      <c r="H207" s="1" t="s">
        <v>74</v>
      </c>
      <c r="I207" s="1" t="s">
        <v>2057</v>
      </c>
      <c r="J207" s="1" t="s">
        <v>2058</v>
      </c>
      <c r="K207" s="1" t="s">
        <v>74</v>
      </c>
      <c r="L207" s="1" t="s">
        <v>74</v>
      </c>
      <c r="M207" s="1" t="s">
        <v>74</v>
      </c>
      <c r="N207" s="1" t="s">
        <v>74</v>
      </c>
      <c r="O207" s="1" t="s">
        <v>74</v>
      </c>
      <c r="P207" s="1" t="s">
        <v>74</v>
      </c>
      <c r="Q207" s="1" t="s">
        <v>74</v>
      </c>
      <c r="R207" s="1" t="s">
        <v>74</v>
      </c>
      <c r="S207" s="1" t="s">
        <v>74</v>
      </c>
      <c r="T207" s="1" t="s">
        <v>74</v>
      </c>
      <c r="U207" s="1" t="s">
        <v>74</v>
      </c>
      <c r="V207" s="1" t="s">
        <v>2059</v>
      </c>
      <c r="W207" s="1" t="s">
        <v>74</v>
      </c>
      <c r="X207" s="1" t="s">
        <v>74</v>
      </c>
      <c r="Y207" s="1" t="s">
        <v>74</v>
      </c>
      <c r="Z207" s="1" t="s">
        <v>74</v>
      </c>
      <c r="AA207" s="1" t="s">
        <v>2060</v>
      </c>
      <c r="AB207" s="1" t="s">
        <v>2061</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2062</v>
      </c>
      <c r="AP207" s="1" t="s">
        <v>2063</v>
      </c>
      <c r="AQ207" s="1" t="s">
        <v>74</v>
      </c>
      <c r="AR207" s="1" t="s">
        <v>74</v>
      </c>
      <c r="AS207" s="1" t="s">
        <v>74</v>
      </c>
      <c r="AT207" s="1" t="s">
        <v>74</v>
      </c>
      <c r="AU207" s="1">
        <v>2008.0</v>
      </c>
      <c r="AV207" s="1">
        <v>61.0</v>
      </c>
      <c r="AW207" s="1">
        <v>4.0</v>
      </c>
      <c r="AX207" s="1" t="s">
        <v>74</v>
      </c>
      <c r="AY207" s="1" t="s">
        <v>74</v>
      </c>
      <c r="AZ207" s="1" t="s">
        <v>74</v>
      </c>
      <c r="BA207" s="1" t="s">
        <v>74</v>
      </c>
      <c r="BB207" s="1">
        <v>479.0</v>
      </c>
      <c r="BC207" s="1">
        <v>489.0</v>
      </c>
      <c r="BD207" s="1" t="s">
        <v>74</v>
      </c>
      <c r="BE207" s="1" t="s">
        <v>2064</v>
      </c>
      <c r="BF207" s="2" t="str">
        <f>HYPERLINK("http://dx.doi.org/10.1080/00958970701370559","http://dx.doi.org/10.1080/00958970701370559")</f>
        <v>http://dx.doi.org/10.1080/00958970701370559</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2065</v>
      </c>
      <c r="BT207" s="1" t="str">
        <f>HYPERLINK("https%3A%2F%2Fwww.webofscience.com%2Fwos%2Fwoscc%2Ffull-record%2FWOS:000253265700001","View Full Record in Web of Science")</f>
        <v>View Full Record in Web of Science</v>
      </c>
    </row>
    <row r="208" ht="12.75" customHeight="1">
      <c r="A208" s="1" t="s">
        <v>72</v>
      </c>
      <c r="B208" s="1" t="s">
        <v>2066</v>
      </c>
      <c r="C208" s="1" t="s">
        <v>74</v>
      </c>
      <c r="D208" s="1" t="s">
        <v>74</v>
      </c>
      <c r="E208" s="1" t="s">
        <v>74</v>
      </c>
      <c r="F208" s="1" t="s">
        <v>2067</v>
      </c>
      <c r="G208" s="1" t="s">
        <v>74</v>
      </c>
      <c r="H208" s="1" t="s">
        <v>74</v>
      </c>
      <c r="I208" s="1" t="s">
        <v>2068</v>
      </c>
      <c r="J208" s="1" t="s">
        <v>2069</v>
      </c>
      <c r="K208" s="1" t="s">
        <v>74</v>
      </c>
      <c r="L208" s="1" t="s">
        <v>74</v>
      </c>
      <c r="M208" s="1" t="s">
        <v>74</v>
      </c>
      <c r="N208" s="1" t="s">
        <v>74</v>
      </c>
      <c r="O208" s="1" t="s">
        <v>74</v>
      </c>
      <c r="P208" s="1" t="s">
        <v>74</v>
      </c>
      <c r="Q208" s="1" t="s">
        <v>74</v>
      </c>
      <c r="R208" s="1" t="s">
        <v>74</v>
      </c>
      <c r="S208" s="1" t="s">
        <v>74</v>
      </c>
      <c r="T208" s="1" t="s">
        <v>74</v>
      </c>
      <c r="U208" s="1" t="s">
        <v>74</v>
      </c>
      <c r="V208" s="1" t="s">
        <v>2070</v>
      </c>
      <c r="W208" s="1" t="s">
        <v>74</v>
      </c>
      <c r="X208" s="1" t="s">
        <v>74</v>
      </c>
      <c r="Y208" s="1" t="s">
        <v>74</v>
      </c>
      <c r="Z208" s="1" t="s">
        <v>74</v>
      </c>
      <c r="AA208" s="1" t="s">
        <v>2071</v>
      </c>
      <c r="AB208" s="1" t="s">
        <v>2072</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2073</v>
      </c>
      <c r="AP208" s="1" t="s">
        <v>74</v>
      </c>
      <c r="AQ208" s="1" t="s">
        <v>74</v>
      </c>
      <c r="AR208" s="1" t="s">
        <v>74</v>
      </c>
      <c r="AS208" s="1" t="s">
        <v>74</v>
      </c>
      <c r="AT208" s="1" t="s">
        <v>517</v>
      </c>
      <c r="AU208" s="1">
        <v>2007.0</v>
      </c>
      <c r="AV208" s="1">
        <v>83.0</v>
      </c>
      <c r="AW208" s="1">
        <v>3.0</v>
      </c>
      <c r="AX208" s="1" t="s">
        <v>74</v>
      </c>
      <c r="AY208" s="1" t="s">
        <v>74</v>
      </c>
      <c r="AZ208" s="1" t="s">
        <v>74</v>
      </c>
      <c r="BA208" s="1" t="s">
        <v>74</v>
      </c>
      <c r="BB208" s="1">
        <v>722.0</v>
      </c>
      <c r="BC208" s="1">
        <v>729.0</v>
      </c>
      <c r="BD208" s="1" t="s">
        <v>74</v>
      </c>
      <c r="BE208" s="1" t="s">
        <v>2074</v>
      </c>
      <c r="BF208" s="2" t="str">
        <f>HYPERLINK("http://dx.doi.org/10.1562/2006-05-22-RA-898","http://dx.doi.org/10.1562/2006-05-22-RA-898")</f>
        <v>http://dx.doi.org/10.1562/2006-05-22-RA-898</v>
      </c>
      <c r="BG208" s="1" t="s">
        <v>74</v>
      </c>
      <c r="BH208" s="1" t="s">
        <v>74</v>
      </c>
      <c r="BI208" s="1" t="s">
        <v>74</v>
      </c>
      <c r="BJ208" s="1" t="s">
        <v>74</v>
      </c>
      <c r="BK208" s="1" t="s">
        <v>74</v>
      </c>
      <c r="BL208" s="1" t="s">
        <v>74</v>
      </c>
      <c r="BM208" s="1" t="s">
        <v>74</v>
      </c>
      <c r="BN208" s="1">
        <v>1.7132066E7</v>
      </c>
      <c r="BO208" s="1" t="s">
        <v>74</v>
      </c>
      <c r="BP208" s="1" t="s">
        <v>74</v>
      </c>
      <c r="BQ208" s="1" t="s">
        <v>74</v>
      </c>
      <c r="BR208" s="1" t="s">
        <v>74</v>
      </c>
      <c r="BS208" s="1" t="s">
        <v>2075</v>
      </c>
      <c r="BT208" s="1" t="str">
        <f>HYPERLINK("https%3A%2F%2Fwww.webofscience.com%2Fwos%2Fwoscc%2Ffull-record%2FWOS:000247327400035","View Full Record in Web of Science")</f>
        <v>View Full Record in Web of Science</v>
      </c>
    </row>
    <row r="209" ht="12.75" customHeight="1">
      <c r="A209" s="1" t="s">
        <v>72</v>
      </c>
      <c r="B209" s="1" t="s">
        <v>2076</v>
      </c>
      <c r="C209" s="1" t="s">
        <v>74</v>
      </c>
      <c r="D209" s="1" t="s">
        <v>74</v>
      </c>
      <c r="E209" s="1" t="s">
        <v>74</v>
      </c>
      <c r="F209" s="1" t="s">
        <v>2076</v>
      </c>
      <c r="G209" s="1" t="s">
        <v>74</v>
      </c>
      <c r="H209" s="1" t="s">
        <v>74</v>
      </c>
      <c r="I209" s="1" t="s">
        <v>2077</v>
      </c>
      <c r="J209" s="1" t="s">
        <v>337</v>
      </c>
      <c r="K209" s="1" t="s">
        <v>74</v>
      </c>
      <c r="L209" s="1" t="s">
        <v>74</v>
      </c>
      <c r="M209" s="1" t="s">
        <v>74</v>
      </c>
      <c r="N209" s="1" t="s">
        <v>74</v>
      </c>
      <c r="O209" s="1" t="s">
        <v>74</v>
      </c>
      <c r="P209" s="1" t="s">
        <v>74</v>
      </c>
      <c r="Q209" s="1" t="s">
        <v>74</v>
      </c>
      <c r="R209" s="1" t="s">
        <v>74</v>
      </c>
      <c r="S209" s="1" t="s">
        <v>74</v>
      </c>
      <c r="T209" s="1" t="s">
        <v>74</v>
      </c>
      <c r="U209" s="1" t="s">
        <v>74</v>
      </c>
      <c r="V209" s="1" t="s">
        <v>2078</v>
      </c>
      <c r="W209" s="1" t="s">
        <v>74</v>
      </c>
      <c r="X209" s="1" t="s">
        <v>74</v>
      </c>
      <c r="Y209" s="1" t="s">
        <v>74</v>
      </c>
      <c r="Z209" s="1" t="s">
        <v>74</v>
      </c>
      <c r="AA209" s="1" t="s">
        <v>2079</v>
      </c>
      <c r="AB209" s="1" t="s">
        <v>1876</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341</v>
      </c>
      <c r="AP209" s="1" t="s">
        <v>342</v>
      </c>
      <c r="AQ209" s="1" t="s">
        <v>74</v>
      </c>
      <c r="AR209" s="1" t="s">
        <v>74</v>
      </c>
      <c r="AS209" s="1" t="s">
        <v>74</v>
      </c>
      <c r="AT209" s="1" t="s">
        <v>343</v>
      </c>
      <c r="AU209" s="1">
        <v>2005.0</v>
      </c>
      <c r="AV209" s="1">
        <v>72.0</v>
      </c>
      <c r="AW209" s="1">
        <v>2.0</v>
      </c>
      <c r="AX209" s="1">
        <v>1.0</v>
      </c>
      <c r="AY209" s="1" t="s">
        <v>74</v>
      </c>
      <c r="AZ209" s="1" t="s">
        <v>74</v>
      </c>
      <c r="BA209" s="1" t="s">
        <v>74</v>
      </c>
      <c r="BB209" s="1" t="s">
        <v>74</v>
      </c>
      <c r="BC209" s="1" t="s">
        <v>74</v>
      </c>
      <c r="BD209" s="1">
        <v>21307.0</v>
      </c>
      <c r="BE209" s="1" t="s">
        <v>2080</v>
      </c>
      <c r="BF209" s="2" t="str">
        <f>HYPERLINK("http://dx.doi.org/10.1103/PhysRevE.72.021307","http://dx.doi.org/10.1103/PhysRevE.72.021307")</f>
        <v>http://dx.doi.org/10.1103/PhysRevE.72.021307</v>
      </c>
      <c r="BG209" s="1" t="s">
        <v>74</v>
      </c>
      <c r="BH209" s="1" t="s">
        <v>74</v>
      </c>
      <c r="BI209" s="1" t="s">
        <v>74</v>
      </c>
      <c r="BJ209" s="1" t="s">
        <v>74</v>
      </c>
      <c r="BK209" s="1" t="s">
        <v>74</v>
      </c>
      <c r="BL209" s="1" t="s">
        <v>74</v>
      </c>
      <c r="BM209" s="1" t="s">
        <v>74</v>
      </c>
      <c r="BN209" s="1">
        <v>1.6196556E7</v>
      </c>
      <c r="BO209" s="1" t="s">
        <v>74</v>
      </c>
      <c r="BP209" s="1" t="s">
        <v>74</v>
      </c>
      <c r="BQ209" s="1" t="s">
        <v>74</v>
      </c>
      <c r="BR209" s="1" t="s">
        <v>74</v>
      </c>
      <c r="BS209" s="1" t="s">
        <v>2081</v>
      </c>
      <c r="BT209" s="1" t="str">
        <f>HYPERLINK("https%3A%2F%2Fwww.webofscience.com%2Fwos%2Fwoscc%2Ffull-record%2FWOS:000231564000023","View Full Record in Web of Science")</f>
        <v>View Full Record in Web of Science</v>
      </c>
    </row>
    <row r="210" ht="12.75" customHeight="1">
      <c r="A210" s="1" t="s">
        <v>72</v>
      </c>
      <c r="B210" s="1" t="s">
        <v>2082</v>
      </c>
      <c r="C210" s="1" t="s">
        <v>74</v>
      </c>
      <c r="D210" s="1" t="s">
        <v>74</v>
      </c>
      <c r="E210" s="1" t="s">
        <v>74</v>
      </c>
      <c r="F210" s="1" t="s">
        <v>2082</v>
      </c>
      <c r="G210" s="1" t="s">
        <v>74</v>
      </c>
      <c r="H210" s="1" t="s">
        <v>74</v>
      </c>
      <c r="I210" s="1" t="s">
        <v>2083</v>
      </c>
      <c r="J210" s="1" t="s">
        <v>2084</v>
      </c>
      <c r="K210" s="1" t="s">
        <v>74</v>
      </c>
      <c r="L210" s="1" t="s">
        <v>74</v>
      </c>
      <c r="M210" s="1" t="s">
        <v>74</v>
      </c>
      <c r="N210" s="1" t="s">
        <v>74</v>
      </c>
      <c r="O210" s="1" t="s">
        <v>74</v>
      </c>
      <c r="P210" s="1" t="s">
        <v>74</v>
      </c>
      <c r="Q210" s="1" t="s">
        <v>74</v>
      </c>
      <c r="R210" s="1" t="s">
        <v>74</v>
      </c>
      <c r="S210" s="1" t="s">
        <v>74</v>
      </c>
      <c r="T210" s="1" t="s">
        <v>74</v>
      </c>
      <c r="U210" s="1" t="s">
        <v>74</v>
      </c>
      <c r="V210" s="1" t="s">
        <v>2085</v>
      </c>
      <c r="W210" s="1" t="s">
        <v>74</v>
      </c>
      <c r="X210" s="1" t="s">
        <v>74</v>
      </c>
      <c r="Y210" s="1" t="s">
        <v>74</v>
      </c>
      <c r="Z210" s="1" t="s">
        <v>74</v>
      </c>
      <c r="AA210" s="1" t="s">
        <v>663</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2086</v>
      </c>
      <c r="AP210" s="1" t="s">
        <v>74</v>
      </c>
      <c r="AQ210" s="1" t="s">
        <v>74</v>
      </c>
      <c r="AR210" s="1" t="s">
        <v>74</v>
      </c>
      <c r="AS210" s="1" t="s">
        <v>74</v>
      </c>
      <c r="AT210" s="1" t="s">
        <v>353</v>
      </c>
      <c r="AU210" s="1">
        <v>1999.0</v>
      </c>
      <c r="AV210" s="1">
        <v>200.0</v>
      </c>
      <c r="AW210" s="1">
        <v>10.0</v>
      </c>
      <c r="AX210" s="1" t="s">
        <v>74</v>
      </c>
      <c r="AY210" s="1" t="s">
        <v>74</v>
      </c>
      <c r="AZ210" s="1" t="s">
        <v>74</v>
      </c>
      <c r="BA210" s="1" t="s">
        <v>74</v>
      </c>
      <c r="BB210" s="1">
        <v>2411.0</v>
      </c>
      <c r="BC210" s="1">
        <v>2415.0</v>
      </c>
      <c r="BD210" s="1" t="s">
        <v>74</v>
      </c>
      <c r="BE210" s="1" t="s">
        <v>2087</v>
      </c>
      <c r="BF210" s="2" t="str">
        <f>HYPERLINK("http://dx.doi.org/10.1002/(SICI)1521-3935(19991001)200:10&lt;2411::AID-MACP2411&gt;3.0.CO;2-G","http://dx.doi.org/10.1002/(SICI)1521-3935(19991001)200:10&lt;2411::AID-MACP2411&gt;3.0.CO;2-G")</f>
        <v>http://dx.doi.org/10.1002/(SICI)1521-3935(19991001)200:10&lt;2411::AID-MACP2411&gt;3.0.CO;2-G</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2088</v>
      </c>
      <c r="BT210" s="1" t="str">
        <f>HYPERLINK("https%3A%2F%2Fwww.webofscience.com%2Fwos%2Fwoscc%2Ffull-record%2FWOS:000083050000031","View Full Record in Web of Science")</f>
        <v>View Full Record in Web of Science</v>
      </c>
    </row>
    <row r="211" ht="12.75" customHeight="1">
      <c r="A211" s="1" t="s">
        <v>72</v>
      </c>
      <c r="B211" s="1" t="s">
        <v>2089</v>
      </c>
      <c r="C211" s="1" t="s">
        <v>74</v>
      </c>
      <c r="D211" s="1" t="s">
        <v>74</v>
      </c>
      <c r="E211" s="1" t="s">
        <v>74</v>
      </c>
      <c r="F211" s="1" t="s">
        <v>2089</v>
      </c>
      <c r="G211" s="1" t="s">
        <v>74</v>
      </c>
      <c r="H211" s="1" t="s">
        <v>74</v>
      </c>
      <c r="I211" s="1" t="s">
        <v>2090</v>
      </c>
      <c r="J211" s="1" t="s">
        <v>2091</v>
      </c>
      <c r="K211" s="1" t="s">
        <v>74</v>
      </c>
      <c r="L211" s="1" t="s">
        <v>74</v>
      </c>
      <c r="M211" s="1" t="s">
        <v>74</v>
      </c>
      <c r="N211" s="1" t="s">
        <v>74</v>
      </c>
      <c r="O211" s="1" t="s">
        <v>74</v>
      </c>
      <c r="P211" s="1" t="s">
        <v>74</v>
      </c>
      <c r="Q211" s="1" t="s">
        <v>74</v>
      </c>
      <c r="R211" s="1" t="s">
        <v>74</v>
      </c>
      <c r="S211" s="1" t="s">
        <v>74</v>
      </c>
      <c r="T211" s="1" t="s">
        <v>74</v>
      </c>
      <c r="U211" s="1" t="s">
        <v>74</v>
      </c>
      <c r="V211" s="1" t="s">
        <v>74</v>
      </c>
      <c r="W211" s="1" t="s">
        <v>74</v>
      </c>
      <c r="X211" s="1" t="s">
        <v>74</v>
      </c>
      <c r="Y211" s="1" t="s">
        <v>74</v>
      </c>
      <c r="Z211" s="1" t="s">
        <v>74</v>
      </c>
      <c r="AA211" s="1" t="s">
        <v>2092</v>
      </c>
      <c r="AB211" s="1" t="s">
        <v>74</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2093</v>
      </c>
      <c r="AP211" s="1" t="s">
        <v>74</v>
      </c>
      <c r="AQ211" s="1" t="s">
        <v>74</v>
      </c>
      <c r="AR211" s="1" t="s">
        <v>74</v>
      </c>
      <c r="AS211" s="1" t="s">
        <v>74</v>
      </c>
      <c r="AT211" s="1" t="s">
        <v>74</v>
      </c>
      <c r="AU211" s="1">
        <v>1981.0</v>
      </c>
      <c r="AV211" s="1">
        <v>15.0</v>
      </c>
      <c r="AW211" s="1">
        <v>2.0</v>
      </c>
      <c r="AX211" s="1" t="s">
        <v>74</v>
      </c>
      <c r="AY211" s="1" t="s">
        <v>74</v>
      </c>
      <c r="AZ211" s="1" t="s">
        <v>74</v>
      </c>
      <c r="BA211" s="1" t="s">
        <v>74</v>
      </c>
      <c r="BB211" s="1">
        <v>1137.0</v>
      </c>
      <c r="BC211" s="1">
        <v>1139.0</v>
      </c>
      <c r="BD211" s="1" t="s">
        <v>74</v>
      </c>
      <c r="BE211" s="1" t="s">
        <v>2094</v>
      </c>
      <c r="BF211" s="2" t="str">
        <f>HYPERLINK("http://dx.doi.org/10.3987/S-1981-02-1137","http://dx.doi.org/10.3987/S-1981-02-1137")</f>
        <v>http://dx.doi.org/10.3987/S-1981-02-1137</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2095</v>
      </c>
      <c r="BT211" s="1" t="str">
        <f>HYPERLINK("https%3A%2F%2Fwww.webofscience.com%2Fwos%2Fwoscc%2Ffull-record%2FWOS:A1981LD42100082","View Full Record in Web of Science")</f>
        <v>View Full Record in Web of Science</v>
      </c>
    </row>
    <row r="212" ht="12.75" customHeight="1">
      <c r="A212" s="1" t="s">
        <v>72</v>
      </c>
      <c r="B212" s="1" t="s">
        <v>2096</v>
      </c>
      <c r="C212" s="1" t="s">
        <v>74</v>
      </c>
      <c r="D212" s="1" t="s">
        <v>74</v>
      </c>
      <c r="E212" s="1" t="s">
        <v>74</v>
      </c>
      <c r="F212" s="1" t="s">
        <v>2097</v>
      </c>
      <c r="G212" s="1" t="s">
        <v>74</v>
      </c>
      <c r="H212" s="1" t="s">
        <v>74</v>
      </c>
      <c r="I212" s="1" t="s">
        <v>2098</v>
      </c>
      <c r="J212" s="1" t="s">
        <v>2099</v>
      </c>
      <c r="K212" s="1" t="s">
        <v>74</v>
      </c>
      <c r="L212" s="1" t="s">
        <v>74</v>
      </c>
      <c r="M212" s="1" t="s">
        <v>74</v>
      </c>
      <c r="N212" s="1" t="s">
        <v>74</v>
      </c>
      <c r="O212" s="1" t="s">
        <v>74</v>
      </c>
      <c r="P212" s="1" t="s">
        <v>74</v>
      </c>
      <c r="Q212" s="1" t="s">
        <v>74</v>
      </c>
      <c r="R212" s="1" t="s">
        <v>74</v>
      </c>
      <c r="S212" s="1" t="s">
        <v>74</v>
      </c>
      <c r="T212" s="1" t="s">
        <v>74</v>
      </c>
      <c r="U212" s="1" t="s">
        <v>74</v>
      </c>
      <c r="V212" s="1" t="s">
        <v>2100</v>
      </c>
      <c r="W212" s="1" t="s">
        <v>74</v>
      </c>
      <c r="X212" s="1" t="s">
        <v>74</v>
      </c>
      <c r="Y212" s="1" t="s">
        <v>74</v>
      </c>
      <c r="Z212" s="1" t="s">
        <v>74</v>
      </c>
      <c r="AA212" s="1" t="s">
        <v>74</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2101</v>
      </c>
      <c r="AP212" s="1" t="s">
        <v>2102</v>
      </c>
      <c r="AQ212" s="1" t="s">
        <v>74</v>
      </c>
      <c r="AR212" s="1" t="s">
        <v>74</v>
      </c>
      <c r="AS212" s="1" t="s">
        <v>74</v>
      </c>
      <c r="AT212" s="1" t="s">
        <v>2103</v>
      </c>
      <c r="AU212" s="1">
        <v>2025.0</v>
      </c>
      <c r="AV212" s="1">
        <v>392.0</v>
      </c>
      <c r="AW212" s="1" t="s">
        <v>74</v>
      </c>
      <c r="AX212" s="1" t="s">
        <v>74</v>
      </c>
      <c r="AY212" s="1" t="s">
        <v>74</v>
      </c>
      <c r="AZ212" s="1" t="s">
        <v>74</v>
      </c>
      <c r="BA212" s="1" t="s">
        <v>74</v>
      </c>
      <c r="BB212" s="1" t="s">
        <v>74</v>
      </c>
      <c r="BC212" s="1" t="s">
        <v>74</v>
      </c>
      <c r="BD212" s="1">
        <v>113642.0</v>
      </c>
      <c r="BE212" s="1" t="s">
        <v>2104</v>
      </c>
      <c r="BF212" s="2" t="str">
        <f>HYPERLINK("http://dx.doi.org/10.1016/j.micromeso.2025.113642","http://dx.doi.org/10.1016/j.micromeso.2025.113642")</f>
        <v>http://dx.doi.org/10.1016/j.micromeso.2025.113642</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2105</v>
      </c>
      <c r="BT212" s="1" t="str">
        <f>HYPERLINK("https%3A%2F%2Fwww.webofscience.com%2Fwos%2Fwoscc%2Ffull-record%2FWOS:001476177100001","View Full Record in Web of Science")</f>
        <v>View Full Record in Web of Science</v>
      </c>
    </row>
    <row r="213" ht="12.75" customHeight="1">
      <c r="A213" s="1" t="s">
        <v>72</v>
      </c>
      <c r="B213" s="1" t="s">
        <v>2106</v>
      </c>
      <c r="C213" s="1" t="s">
        <v>74</v>
      </c>
      <c r="D213" s="1" t="s">
        <v>74</v>
      </c>
      <c r="E213" s="1" t="s">
        <v>74</v>
      </c>
      <c r="F213" s="1" t="s">
        <v>2107</v>
      </c>
      <c r="G213" s="1" t="s">
        <v>74</v>
      </c>
      <c r="H213" s="1" t="s">
        <v>74</v>
      </c>
      <c r="I213" s="1" t="s">
        <v>2108</v>
      </c>
      <c r="J213" s="1" t="s">
        <v>2109</v>
      </c>
      <c r="K213" s="1" t="s">
        <v>74</v>
      </c>
      <c r="L213" s="1" t="s">
        <v>74</v>
      </c>
      <c r="M213" s="1" t="s">
        <v>74</v>
      </c>
      <c r="N213" s="1" t="s">
        <v>74</v>
      </c>
      <c r="O213" s="1" t="s">
        <v>74</v>
      </c>
      <c r="P213" s="1" t="s">
        <v>74</v>
      </c>
      <c r="Q213" s="1" t="s">
        <v>74</v>
      </c>
      <c r="R213" s="1" t="s">
        <v>74</v>
      </c>
      <c r="S213" s="1" t="s">
        <v>74</v>
      </c>
      <c r="T213" s="1" t="s">
        <v>74</v>
      </c>
      <c r="U213" s="1" t="s">
        <v>74</v>
      </c>
      <c r="V213" s="1" t="s">
        <v>2110</v>
      </c>
      <c r="W213" s="1" t="s">
        <v>74</v>
      </c>
      <c r="X213" s="1" t="s">
        <v>74</v>
      </c>
      <c r="Y213" s="1" t="s">
        <v>74</v>
      </c>
      <c r="Z213" s="1" t="s">
        <v>74</v>
      </c>
      <c r="AA213" s="1" t="s">
        <v>2111</v>
      </c>
      <c r="AB213" s="1" t="s">
        <v>2112</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2113</v>
      </c>
      <c r="AP213" s="1" t="s">
        <v>74</v>
      </c>
      <c r="AQ213" s="1" t="s">
        <v>74</v>
      </c>
      <c r="AR213" s="1" t="s">
        <v>74</v>
      </c>
      <c r="AS213" s="1" t="s">
        <v>74</v>
      </c>
      <c r="AT213" s="1" t="s">
        <v>343</v>
      </c>
      <c r="AU213" s="1">
        <v>2023.0</v>
      </c>
      <c r="AV213" s="1">
        <v>40.0</v>
      </c>
      <c r="AW213" s="1" t="s">
        <v>74</v>
      </c>
      <c r="AX213" s="1" t="s">
        <v>74</v>
      </c>
      <c r="AY213" s="1" t="s">
        <v>74</v>
      </c>
      <c r="AZ213" s="1" t="s">
        <v>74</v>
      </c>
      <c r="BA213" s="1" t="s">
        <v>74</v>
      </c>
      <c r="BB213" s="1" t="s">
        <v>74</v>
      </c>
      <c r="BC213" s="1" t="s">
        <v>74</v>
      </c>
      <c r="BD213" s="1">
        <v>101316.0</v>
      </c>
      <c r="BE213" s="1" t="s">
        <v>2114</v>
      </c>
      <c r="BF213" s="2" t="str">
        <f>HYPERLINK("http://dx.doi.org/10.1016/j.coelec.2023.101316","http://dx.doi.org/10.1016/j.coelec.2023.101316")</f>
        <v>http://dx.doi.org/10.1016/j.coelec.2023.101316</v>
      </c>
      <c r="BG213" s="1" t="s">
        <v>74</v>
      </c>
      <c r="BH213" s="1" t="s">
        <v>2115</v>
      </c>
      <c r="BI213" s="1" t="s">
        <v>74</v>
      </c>
      <c r="BJ213" s="1" t="s">
        <v>74</v>
      </c>
      <c r="BK213" s="1" t="s">
        <v>74</v>
      </c>
      <c r="BL213" s="1" t="s">
        <v>74</v>
      </c>
      <c r="BM213" s="1" t="s">
        <v>74</v>
      </c>
      <c r="BN213" s="1" t="s">
        <v>74</v>
      </c>
      <c r="BO213" s="1" t="s">
        <v>74</v>
      </c>
      <c r="BP213" s="1" t="s">
        <v>74</v>
      </c>
      <c r="BQ213" s="1" t="s">
        <v>74</v>
      </c>
      <c r="BR213" s="1" t="s">
        <v>74</v>
      </c>
      <c r="BS213" s="1" t="s">
        <v>2116</v>
      </c>
      <c r="BT213" s="1" t="str">
        <f>HYPERLINK("https%3A%2F%2Fwww.webofscience.com%2Fwos%2Fwoscc%2Ffull-record%2FWOS:001033463700001","View Full Record in Web of Science")</f>
        <v>View Full Record in Web of Science</v>
      </c>
    </row>
    <row r="214" ht="12.75" customHeight="1">
      <c r="A214" s="1" t="s">
        <v>72</v>
      </c>
      <c r="B214" s="1" t="s">
        <v>2117</v>
      </c>
      <c r="C214" s="1" t="s">
        <v>74</v>
      </c>
      <c r="D214" s="1" t="s">
        <v>74</v>
      </c>
      <c r="E214" s="1" t="s">
        <v>74</v>
      </c>
      <c r="F214" s="1" t="s">
        <v>2118</v>
      </c>
      <c r="G214" s="1" t="s">
        <v>74</v>
      </c>
      <c r="H214" s="1" t="s">
        <v>74</v>
      </c>
      <c r="I214" s="1" t="s">
        <v>2119</v>
      </c>
      <c r="J214" s="1" t="s">
        <v>2120</v>
      </c>
      <c r="K214" s="1" t="s">
        <v>74</v>
      </c>
      <c r="L214" s="1" t="s">
        <v>74</v>
      </c>
      <c r="M214" s="1" t="s">
        <v>74</v>
      </c>
      <c r="N214" s="1" t="s">
        <v>74</v>
      </c>
      <c r="O214" s="1" t="s">
        <v>74</v>
      </c>
      <c r="P214" s="1" t="s">
        <v>74</v>
      </c>
      <c r="Q214" s="1" t="s">
        <v>74</v>
      </c>
      <c r="R214" s="1" t="s">
        <v>74</v>
      </c>
      <c r="S214" s="1" t="s">
        <v>74</v>
      </c>
      <c r="T214" s="1" t="s">
        <v>74</v>
      </c>
      <c r="U214" s="1" t="s">
        <v>74</v>
      </c>
      <c r="V214" s="1" t="s">
        <v>2121</v>
      </c>
      <c r="W214" s="1" t="s">
        <v>74</v>
      </c>
      <c r="X214" s="1" t="s">
        <v>74</v>
      </c>
      <c r="Y214" s="1" t="s">
        <v>74</v>
      </c>
      <c r="Z214" s="1" t="s">
        <v>74</v>
      </c>
      <c r="AA214" s="1" t="s">
        <v>2122</v>
      </c>
      <c r="AB214" s="1" t="s">
        <v>74</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74</v>
      </c>
      <c r="AP214" s="1" t="s">
        <v>2123</v>
      </c>
      <c r="AQ214" s="1" t="s">
        <v>74</v>
      </c>
      <c r="AR214" s="1" t="s">
        <v>74</v>
      </c>
      <c r="AS214" s="1" t="s">
        <v>74</v>
      </c>
      <c r="AT214" s="1" t="s">
        <v>2124</v>
      </c>
      <c r="AU214" s="1">
        <v>2022.0</v>
      </c>
      <c r="AV214" s="1">
        <v>4.0</v>
      </c>
      <c r="AW214" s="1" t="s">
        <v>74</v>
      </c>
      <c r="AX214" s="1" t="s">
        <v>74</v>
      </c>
      <c r="AY214" s="1" t="s">
        <v>74</v>
      </c>
      <c r="AZ214" s="1" t="s">
        <v>74</v>
      </c>
      <c r="BA214" s="1" t="s">
        <v>74</v>
      </c>
      <c r="BB214" s="1" t="s">
        <v>74</v>
      </c>
      <c r="BC214" s="1" t="s">
        <v>74</v>
      </c>
      <c r="BD214" s="1">
        <v>1056498.0</v>
      </c>
      <c r="BE214" s="1" t="s">
        <v>2125</v>
      </c>
      <c r="BF214" s="2" t="str">
        <f>HYPERLINK("http://dx.doi.org/10.3389/fnano.2022.1056498","http://dx.doi.org/10.3389/fnano.2022.1056498")</f>
        <v>http://dx.doi.org/10.3389/fnano.2022.1056498</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2126</v>
      </c>
      <c r="BT214" s="1" t="str">
        <f>HYPERLINK("https%3A%2F%2Fwww.webofscience.com%2Fwos%2Fwoscc%2Ffull-record%2FWOS:000993469500001","View Full Record in Web of Science")</f>
        <v>View Full Record in Web of Science</v>
      </c>
    </row>
    <row r="215" ht="12.75" customHeight="1">
      <c r="A215" s="1" t="s">
        <v>72</v>
      </c>
      <c r="B215" s="1" t="s">
        <v>2127</v>
      </c>
      <c r="C215" s="1" t="s">
        <v>74</v>
      </c>
      <c r="D215" s="1" t="s">
        <v>74</v>
      </c>
      <c r="E215" s="1" t="s">
        <v>74</v>
      </c>
      <c r="F215" s="1" t="s">
        <v>2128</v>
      </c>
      <c r="G215" s="1" t="s">
        <v>74</v>
      </c>
      <c r="H215" s="1" t="s">
        <v>74</v>
      </c>
      <c r="I215" s="1" t="s">
        <v>2129</v>
      </c>
      <c r="J215" s="1" t="s">
        <v>2130</v>
      </c>
      <c r="K215" s="1" t="s">
        <v>74</v>
      </c>
      <c r="L215" s="1" t="s">
        <v>74</v>
      </c>
      <c r="M215" s="1" t="s">
        <v>74</v>
      </c>
      <c r="N215" s="1" t="s">
        <v>74</v>
      </c>
      <c r="O215" s="1" t="s">
        <v>74</v>
      </c>
      <c r="P215" s="1" t="s">
        <v>74</v>
      </c>
      <c r="Q215" s="1" t="s">
        <v>74</v>
      </c>
      <c r="R215" s="1" t="s">
        <v>74</v>
      </c>
      <c r="S215" s="1" t="s">
        <v>74</v>
      </c>
      <c r="T215" s="1" t="s">
        <v>74</v>
      </c>
      <c r="U215" s="1" t="s">
        <v>74</v>
      </c>
      <c r="V215" s="1" t="s">
        <v>2131</v>
      </c>
      <c r="W215" s="1" t="s">
        <v>74</v>
      </c>
      <c r="X215" s="1" t="s">
        <v>74</v>
      </c>
      <c r="Y215" s="1" t="s">
        <v>74</v>
      </c>
      <c r="Z215" s="1" t="s">
        <v>74</v>
      </c>
      <c r="AA215" s="1" t="s">
        <v>2132</v>
      </c>
      <c r="AB215" s="1" t="s">
        <v>2133</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2134</v>
      </c>
      <c r="AP215" s="1" t="s">
        <v>74</v>
      </c>
      <c r="AQ215" s="1" t="s">
        <v>74</v>
      </c>
      <c r="AR215" s="1" t="s">
        <v>74</v>
      </c>
      <c r="AS215" s="1" t="s">
        <v>74</v>
      </c>
      <c r="AT215" s="1" t="s">
        <v>2135</v>
      </c>
      <c r="AU215" s="1">
        <v>2022.0</v>
      </c>
      <c r="AV215" s="1">
        <v>24.0</v>
      </c>
      <c r="AW215" s="1">
        <v>2.0</v>
      </c>
      <c r="AX215" s="1" t="s">
        <v>74</v>
      </c>
      <c r="AY215" s="1" t="s">
        <v>74</v>
      </c>
      <c r="AZ215" s="1" t="s">
        <v>74</v>
      </c>
      <c r="BA215" s="1" t="s">
        <v>74</v>
      </c>
      <c r="BB215" s="1" t="s">
        <v>74</v>
      </c>
      <c r="BC215" s="1" t="s">
        <v>74</v>
      </c>
      <c r="BD215" s="1">
        <v>23008.0</v>
      </c>
      <c r="BE215" s="1" t="s">
        <v>2136</v>
      </c>
      <c r="BF215" s="2" t="str">
        <f>HYPERLINK("http://dx.doi.org/10.1088/1367-2630/ac4a17","http://dx.doi.org/10.1088/1367-2630/ac4a17")</f>
        <v>http://dx.doi.org/10.1088/1367-2630/ac4a17</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2137</v>
      </c>
      <c r="BT215" s="1" t="str">
        <f>HYPERLINK("https%3A%2F%2Fwww.webofscience.com%2Fwos%2Fwoscc%2Ffull-record%2FWOS:000753144000001","View Full Record in Web of Science")</f>
        <v>View Full Record in Web of Science</v>
      </c>
    </row>
    <row r="216" ht="12.75" customHeight="1">
      <c r="A216" s="1" t="s">
        <v>72</v>
      </c>
      <c r="B216" s="1" t="s">
        <v>2138</v>
      </c>
      <c r="C216" s="1" t="s">
        <v>74</v>
      </c>
      <c r="D216" s="1" t="s">
        <v>74</v>
      </c>
      <c r="E216" s="1" t="s">
        <v>74</v>
      </c>
      <c r="F216" s="1" t="s">
        <v>2139</v>
      </c>
      <c r="G216" s="1" t="s">
        <v>74</v>
      </c>
      <c r="H216" s="1" t="s">
        <v>74</v>
      </c>
      <c r="I216" s="1" t="s">
        <v>2140</v>
      </c>
      <c r="J216" s="1" t="s">
        <v>2141</v>
      </c>
      <c r="K216" s="1" t="s">
        <v>74</v>
      </c>
      <c r="L216" s="1" t="s">
        <v>74</v>
      </c>
      <c r="M216" s="1" t="s">
        <v>74</v>
      </c>
      <c r="N216" s="1" t="s">
        <v>74</v>
      </c>
      <c r="O216" s="1" t="s">
        <v>74</v>
      </c>
      <c r="P216" s="1" t="s">
        <v>74</v>
      </c>
      <c r="Q216" s="1" t="s">
        <v>74</v>
      </c>
      <c r="R216" s="1" t="s">
        <v>74</v>
      </c>
      <c r="S216" s="1" t="s">
        <v>74</v>
      </c>
      <c r="T216" s="1" t="s">
        <v>74</v>
      </c>
      <c r="U216" s="1" t="s">
        <v>74</v>
      </c>
      <c r="V216" s="1" t="s">
        <v>2142</v>
      </c>
      <c r="W216" s="1" t="s">
        <v>74</v>
      </c>
      <c r="X216" s="1" t="s">
        <v>74</v>
      </c>
      <c r="Y216" s="1" t="s">
        <v>74</v>
      </c>
      <c r="Z216" s="1" t="s">
        <v>74</v>
      </c>
      <c r="AA216" s="1" t="s">
        <v>74</v>
      </c>
      <c r="AB216" s="1" t="s">
        <v>74</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2143</v>
      </c>
      <c r="AP216" s="1" t="s">
        <v>2144</v>
      </c>
      <c r="AQ216" s="1" t="s">
        <v>74</v>
      </c>
      <c r="AR216" s="1" t="s">
        <v>74</v>
      </c>
      <c r="AS216" s="1" t="s">
        <v>74</v>
      </c>
      <c r="AT216" s="1" t="s">
        <v>680</v>
      </c>
      <c r="AU216" s="1">
        <v>2022.0</v>
      </c>
      <c r="AV216" s="1" t="s">
        <v>74</v>
      </c>
      <c r="AW216" s="1">
        <v>23.0</v>
      </c>
      <c r="AX216" s="1" t="s">
        <v>74</v>
      </c>
      <c r="AY216" s="1" t="s">
        <v>74</v>
      </c>
      <c r="AZ216" s="1" t="s">
        <v>74</v>
      </c>
      <c r="BA216" s="1" t="s">
        <v>74</v>
      </c>
      <c r="BB216" s="1">
        <v>92.0</v>
      </c>
      <c r="BC216" s="1">
        <v>113.0</v>
      </c>
      <c r="BD216" s="1" t="s">
        <v>74</v>
      </c>
      <c r="BE216" s="1" t="s">
        <v>74</v>
      </c>
      <c r="BF216" s="1" t="s">
        <v>74</v>
      </c>
      <c r="BG216" s="1" t="s">
        <v>74</v>
      </c>
      <c r="BH216" s="1" t="s">
        <v>74</v>
      </c>
      <c r="BI216" s="1" t="s">
        <v>74</v>
      </c>
      <c r="BJ216" s="1" t="s">
        <v>74</v>
      </c>
      <c r="BK216" s="1" t="s">
        <v>74</v>
      </c>
      <c r="BL216" s="1" t="s">
        <v>74</v>
      </c>
      <c r="BM216" s="1" t="s">
        <v>74</v>
      </c>
      <c r="BN216" s="1" t="s">
        <v>74</v>
      </c>
      <c r="BO216" s="1" t="s">
        <v>74</v>
      </c>
      <c r="BP216" s="1" t="s">
        <v>74</v>
      </c>
      <c r="BQ216" s="1" t="s">
        <v>74</v>
      </c>
      <c r="BR216" s="1" t="s">
        <v>74</v>
      </c>
      <c r="BS216" s="1" t="s">
        <v>2145</v>
      </c>
      <c r="BT216" s="1" t="str">
        <f>HYPERLINK("https%3A%2F%2Fwww.webofscience.com%2Fwos%2Fwoscc%2Ffull-record%2FWOS:000769420900006","View Full Record in Web of Science")</f>
        <v>View Full Record in Web of Science</v>
      </c>
    </row>
    <row r="217" ht="12.75" customHeight="1">
      <c r="A217" s="1" t="s">
        <v>72</v>
      </c>
      <c r="B217" s="1" t="s">
        <v>2146</v>
      </c>
      <c r="C217" s="1" t="s">
        <v>74</v>
      </c>
      <c r="D217" s="1" t="s">
        <v>74</v>
      </c>
      <c r="E217" s="1" t="s">
        <v>74</v>
      </c>
      <c r="F217" s="1" t="s">
        <v>2147</v>
      </c>
      <c r="G217" s="1" t="s">
        <v>74</v>
      </c>
      <c r="H217" s="1" t="s">
        <v>74</v>
      </c>
      <c r="I217" s="1" t="s">
        <v>2148</v>
      </c>
      <c r="J217" s="1" t="s">
        <v>1516</v>
      </c>
      <c r="K217" s="1" t="s">
        <v>74</v>
      </c>
      <c r="L217" s="1" t="s">
        <v>74</v>
      </c>
      <c r="M217" s="1" t="s">
        <v>74</v>
      </c>
      <c r="N217" s="1" t="s">
        <v>74</v>
      </c>
      <c r="O217" s="1" t="s">
        <v>74</v>
      </c>
      <c r="P217" s="1" t="s">
        <v>74</v>
      </c>
      <c r="Q217" s="1" t="s">
        <v>74</v>
      </c>
      <c r="R217" s="1" t="s">
        <v>74</v>
      </c>
      <c r="S217" s="1" t="s">
        <v>74</v>
      </c>
      <c r="T217" s="1" t="s">
        <v>74</v>
      </c>
      <c r="U217" s="1" t="s">
        <v>74</v>
      </c>
      <c r="V217" s="1" t="s">
        <v>2149</v>
      </c>
      <c r="W217" s="1" t="s">
        <v>74</v>
      </c>
      <c r="X217" s="1" t="s">
        <v>74</v>
      </c>
      <c r="Y217" s="1" t="s">
        <v>74</v>
      </c>
      <c r="Z217" s="1" t="s">
        <v>74</v>
      </c>
      <c r="AA217" s="1" t="s">
        <v>74</v>
      </c>
      <c r="AB217" s="1" t="s">
        <v>74</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1518</v>
      </c>
      <c r="AP217" s="1" t="s">
        <v>74</v>
      </c>
      <c r="AQ217" s="1" t="s">
        <v>74</v>
      </c>
      <c r="AR217" s="1" t="s">
        <v>74</v>
      </c>
      <c r="AS217" s="1" t="s">
        <v>74</v>
      </c>
      <c r="AT217" s="1" t="s">
        <v>174</v>
      </c>
      <c r="AU217" s="1">
        <v>2021.0</v>
      </c>
      <c r="AV217" s="1">
        <v>50.0</v>
      </c>
      <c r="AW217" s="1" t="s">
        <v>74</v>
      </c>
      <c r="AX217" s="1" t="s">
        <v>74</v>
      </c>
      <c r="AY217" s="1" t="s">
        <v>74</v>
      </c>
      <c r="AZ217" s="1" t="s">
        <v>74</v>
      </c>
      <c r="BA217" s="1" t="s">
        <v>74</v>
      </c>
      <c r="BB217" s="1" t="s">
        <v>74</v>
      </c>
      <c r="BC217" s="1" t="s">
        <v>74</v>
      </c>
      <c r="BD217" s="1" t="s">
        <v>74</v>
      </c>
      <c r="BE217" s="1" t="s">
        <v>74</v>
      </c>
      <c r="BF217" s="1" t="s">
        <v>74</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2150</v>
      </c>
      <c r="BT217" s="1" t="str">
        <f>HYPERLINK("https%3A%2F%2Fwww.webofscience.com%2Fwos%2Fwoscc%2Ffull-record%2FWOS:000706614500035","View Full Record in Web of Science")</f>
        <v>View Full Record in Web of Science</v>
      </c>
    </row>
    <row r="218" ht="12.75" customHeight="1">
      <c r="A218" s="1" t="s">
        <v>72</v>
      </c>
      <c r="B218" s="1" t="s">
        <v>2151</v>
      </c>
      <c r="C218" s="1" t="s">
        <v>74</v>
      </c>
      <c r="D218" s="1" t="s">
        <v>74</v>
      </c>
      <c r="E218" s="1" t="s">
        <v>74</v>
      </c>
      <c r="F218" s="1" t="s">
        <v>2152</v>
      </c>
      <c r="G218" s="1" t="s">
        <v>74</v>
      </c>
      <c r="H218" s="1" t="s">
        <v>74</v>
      </c>
      <c r="I218" s="1" t="s">
        <v>2153</v>
      </c>
      <c r="J218" s="1" t="s">
        <v>2154</v>
      </c>
      <c r="K218" s="1" t="s">
        <v>74</v>
      </c>
      <c r="L218" s="1" t="s">
        <v>74</v>
      </c>
      <c r="M218" s="1" t="s">
        <v>74</v>
      </c>
      <c r="N218" s="1" t="s">
        <v>74</v>
      </c>
      <c r="O218" s="1" t="s">
        <v>74</v>
      </c>
      <c r="P218" s="1" t="s">
        <v>74</v>
      </c>
      <c r="Q218" s="1" t="s">
        <v>74</v>
      </c>
      <c r="R218" s="1" t="s">
        <v>74</v>
      </c>
      <c r="S218" s="1" t="s">
        <v>74</v>
      </c>
      <c r="T218" s="1" t="s">
        <v>74</v>
      </c>
      <c r="U218" s="1" t="s">
        <v>74</v>
      </c>
      <c r="V218" s="1" t="s">
        <v>74</v>
      </c>
      <c r="W218" s="1" t="s">
        <v>74</v>
      </c>
      <c r="X218" s="1" t="s">
        <v>74</v>
      </c>
      <c r="Y218" s="1" t="s">
        <v>74</v>
      </c>
      <c r="Z218" s="1" t="s">
        <v>74</v>
      </c>
      <c r="AA218" s="1" t="s">
        <v>74</v>
      </c>
      <c r="AB218" s="1" t="s">
        <v>2155</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2156</v>
      </c>
      <c r="AP218" s="1" t="s">
        <v>2157</v>
      </c>
      <c r="AQ218" s="1" t="s">
        <v>74</v>
      </c>
      <c r="AR218" s="1" t="s">
        <v>74</v>
      </c>
      <c r="AS218" s="1" t="s">
        <v>74</v>
      </c>
      <c r="AT218" s="1" t="s">
        <v>2158</v>
      </c>
      <c r="AU218" s="1">
        <v>2019.0</v>
      </c>
      <c r="AV218" s="1">
        <v>28.0</v>
      </c>
      <c r="AW218" s="1">
        <v>3.0</v>
      </c>
      <c r="AX218" s="1" t="s">
        <v>74</v>
      </c>
      <c r="AY218" s="1" t="s">
        <v>74</v>
      </c>
      <c r="AZ218" s="1" t="s">
        <v>74</v>
      </c>
      <c r="BA218" s="1" t="s">
        <v>74</v>
      </c>
      <c r="BB218" s="1">
        <v>483.0</v>
      </c>
      <c r="BC218" s="1">
        <v>491.0</v>
      </c>
      <c r="BD218" s="1" t="s">
        <v>74</v>
      </c>
      <c r="BE218" s="1" t="s">
        <v>2159</v>
      </c>
      <c r="BF218" s="2" t="str">
        <f>HYPERLINK("http://dx.doi.org/10.1080/13569325.2019.1696289","http://dx.doi.org/10.1080/13569325.2019.1696289")</f>
        <v>http://dx.doi.org/10.1080/13569325.2019.1696289</v>
      </c>
      <c r="BG218" s="1" t="s">
        <v>74</v>
      </c>
      <c r="BH218" s="1" t="s">
        <v>2160</v>
      </c>
      <c r="BI218" s="1" t="s">
        <v>74</v>
      </c>
      <c r="BJ218" s="1" t="s">
        <v>74</v>
      </c>
      <c r="BK218" s="1" t="s">
        <v>74</v>
      </c>
      <c r="BL218" s="1" t="s">
        <v>74</v>
      </c>
      <c r="BM218" s="1" t="s">
        <v>74</v>
      </c>
      <c r="BN218" s="1" t="s">
        <v>74</v>
      </c>
      <c r="BO218" s="1" t="s">
        <v>74</v>
      </c>
      <c r="BP218" s="1" t="s">
        <v>74</v>
      </c>
      <c r="BQ218" s="1" t="s">
        <v>74</v>
      </c>
      <c r="BR218" s="1" t="s">
        <v>74</v>
      </c>
      <c r="BS218" s="1" t="s">
        <v>2161</v>
      </c>
      <c r="BT218" s="1" t="str">
        <f>HYPERLINK("https%3A%2F%2Fwww.webofscience.com%2Fwos%2Fwoscc%2Ffull-record%2FWOS:000509425500001","View Full Record in Web of Science")</f>
        <v>View Full Record in Web of Science</v>
      </c>
    </row>
    <row r="219" ht="12.75" customHeight="1">
      <c r="A219" s="1" t="s">
        <v>241</v>
      </c>
      <c r="B219" s="1" t="s">
        <v>779</v>
      </c>
      <c r="C219" s="1" t="s">
        <v>74</v>
      </c>
      <c r="D219" s="1" t="s">
        <v>969</v>
      </c>
      <c r="E219" s="1" t="s">
        <v>74</v>
      </c>
      <c r="F219" s="1" t="s">
        <v>780</v>
      </c>
      <c r="G219" s="1" t="s">
        <v>74</v>
      </c>
      <c r="H219" s="1" t="s">
        <v>74</v>
      </c>
      <c r="I219" s="1" t="s">
        <v>2162</v>
      </c>
      <c r="J219" s="1" t="s">
        <v>971</v>
      </c>
      <c r="K219" s="1" t="s">
        <v>74</v>
      </c>
      <c r="L219" s="1" t="s">
        <v>74</v>
      </c>
      <c r="M219" s="1" t="s">
        <v>74</v>
      </c>
      <c r="N219" s="1" t="s">
        <v>74</v>
      </c>
      <c r="O219" s="1" t="s">
        <v>972</v>
      </c>
      <c r="P219" s="1" t="s">
        <v>973</v>
      </c>
      <c r="Q219" s="1" t="s">
        <v>974</v>
      </c>
      <c r="R219" s="1" t="s">
        <v>975</v>
      </c>
      <c r="S219" s="1" t="s">
        <v>74</v>
      </c>
      <c r="T219" s="1" t="s">
        <v>74</v>
      </c>
      <c r="U219" s="1" t="s">
        <v>74</v>
      </c>
      <c r="V219" s="1" t="s">
        <v>2163</v>
      </c>
      <c r="W219" s="1" t="s">
        <v>74</v>
      </c>
      <c r="X219" s="1" t="s">
        <v>74</v>
      </c>
      <c r="Y219" s="1" t="s">
        <v>74</v>
      </c>
      <c r="Z219" s="1" t="s">
        <v>74</v>
      </c>
      <c r="AA219" s="1" t="s">
        <v>74</v>
      </c>
      <c r="AB219" s="1" t="s">
        <v>2164</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74</v>
      </c>
      <c r="AP219" s="1" t="s">
        <v>74</v>
      </c>
      <c r="AQ219" s="1" t="s">
        <v>977</v>
      </c>
      <c r="AR219" s="1" t="s">
        <v>74</v>
      </c>
      <c r="AS219" s="1" t="s">
        <v>74</v>
      </c>
      <c r="AT219" s="1" t="s">
        <v>74</v>
      </c>
      <c r="AU219" s="1">
        <v>2018.0</v>
      </c>
      <c r="AV219" s="1" t="s">
        <v>74</v>
      </c>
      <c r="AW219" s="1" t="s">
        <v>74</v>
      </c>
      <c r="AX219" s="1" t="s">
        <v>74</v>
      </c>
      <c r="AY219" s="1" t="s">
        <v>74</v>
      </c>
      <c r="AZ219" s="1" t="s">
        <v>74</v>
      </c>
      <c r="BA219" s="1" t="s">
        <v>74</v>
      </c>
      <c r="BB219" s="1" t="s">
        <v>74</v>
      </c>
      <c r="BC219" s="1" t="s">
        <v>74</v>
      </c>
      <c r="BD219" s="1" t="s">
        <v>74</v>
      </c>
      <c r="BE219" s="1" t="s">
        <v>74</v>
      </c>
      <c r="BF219" s="1" t="s">
        <v>74</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2165</v>
      </c>
      <c r="BT219" s="1" t="str">
        <f>HYPERLINK("https%3A%2F%2Fwww.webofscience.com%2Fwos%2Fwoscc%2Ffull-record%2FWOS:000458417600070","View Full Record in Web of Science")</f>
        <v>View Full Record in Web of Science</v>
      </c>
    </row>
    <row r="220" ht="12.75" customHeight="1">
      <c r="A220" s="1" t="s">
        <v>72</v>
      </c>
      <c r="B220" s="1" t="s">
        <v>2166</v>
      </c>
      <c r="C220" s="1" t="s">
        <v>74</v>
      </c>
      <c r="D220" s="1" t="s">
        <v>74</v>
      </c>
      <c r="E220" s="1" t="s">
        <v>74</v>
      </c>
      <c r="F220" s="1" t="s">
        <v>2167</v>
      </c>
      <c r="G220" s="1" t="s">
        <v>74</v>
      </c>
      <c r="H220" s="1" t="s">
        <v>74</v>
      </c>
      <c r="I220" s="1" t="s">
        <v>2168</v>
      </c>
      <c r="J220" s="1" t="s">
        <v>2169</v>
      </c>
      <c r="K220" s="1" t="s">
        <v>74</v>
      </c>
      <c r="L220" s="1" t="s">
        <v>74</v>
      </c>
      <c r="M220" s="1" t="s">
        <v>74</v>
      </c>
      <c r="N220" s="1" t="s">
        <v>74</v>
      </c>
      <c r="O220" s="1" t="s">
        <v>74</v>
      </c>
      <c r="P220" s="1" t="s">
        <v>74</v>
      </c>
      <c r="Q220" s="1" t="s">
        <v>74</v>
      </c>
      <c r="R220" s="1" t="s">
        <v>74</v>
      </c>
      <c r="S220" s="1" t="s">
        <v>74</v>
      </c>
      <c r="T220" s="1" t="s">
        <v>74</v>
      </c>
      <c r="U220" s="1" t="s">
        <v>74</v>
      </c>
      <c r="V220" s="1" t="s">
        <v>2170</v>
      </c>
      <c r="W220" s="1" t="s">
        <v>74</v>
      </c>
      <c r="X220" s="1" t="s">
        <v>74</v>
      </c>
      <c r="Y220" s="1" t="s">
        <v>74</v>
      </c>
      <c r="Z220" s="1" t="s">
        <v>74</v>
      </c>
      <c r="AA220" s="1" t="s">
        <v>74</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2171</v>
      </c>
      <c r="AP220" s="1" t="s">
        <v>2172</v>
      </c>
      <c r="AQ220" s="1" t="s">
        <v>74</v>
      </c>
      <c r="AR220" s="1" t="s">
        <v>74</v>
      </c>
      <c r="AS220" s="1" t="s">
        <v>74</v>
      </c>
      <c r="AT220" s="1" t="s">
        <v>353</v>
      </c>
      <c r="AU220" s="1">
        <v>2017.0</v>
      </c>
      <c r="AV220" s="1">
        <v>123.0</v>
      </c>
      <c r="AW220" s="1">
        <v>4.0</v>
      </c>
      <c r="AX220" s="1" t="s">
        <v>74</v>
      </c>
      <c r="AY220" s="1" t="s">
        <v>74</v>
      </c>
      <c r="AZ220" s="1" t="s">
        <v>74</v>
      </c>
      <c r="BA220" s="1" t="s">
        <v>74</v>
      </c>
      <c r="BB220" s="1">
        <v>969.0</v>
      </c>
      <c r="BC220" s="1">
        <v>976.0</v>
      </c>
      <c r="BD220" s="1" t="s">
        <v>74</v>
      </c>
      <c r="BE220" s="1" t="s">
        <v>2173</v>
      </c>
      <c r="BF220" s="2" t="str">
        <f>HYPERLINK("http://dx.doi.org/10.1111/jam.13540","http://dx.doi.org/10.1111/jam.13540")</f>
        <v>http://dx.doi.org/10.1111/jam.13540</v>
      </c>
      <c r="BG220" s="1" t="s">
        <v>74</v>
      </c>
      <c r="BH220" s="1" t="s">
        <v>74</v>
      </c>
      <c r="BI220" s="1" t="s">
        <v>74</v>
      </c>
      <c r="BJ220" s="1" t="s">
        <v>74</v>
      </c>
      <c r="BK220" s="1" t="s">
        <v>74</v>
      </c>
      <c r="BL220" s="1" t="s">
        <v>74</v>
      </c>
      <c r="BM220" s="1" t="s">
        <v>74</v>
      </c>
      <c r="BN220" s="1">
        <v>2.8714193E7</v>
      </c>
      <c r="BO220" s="1" t="s">
        <v>74</v>
      </c>
      <c r="BP220" s="1" t="s">
        <v>74</v>
      </c>
      <c r="BQ220" s="1" t="s">
        <v>74</v>
      </c>
      <c r="BR220" s="1" t="s">
        <v>74</v>
      </c>
      <c r="BS220" s="1" t="s">
        <v>2174</v>
      </c>
      <c r="BT220" s="1" t="str">
        <f>HYPERLINK("https%3A%2F%2Fwww.webofscience.com%2Fwos%2Fwoscc%2Ffull-record%2FWOS:000411292000017","View Full Record in Web of Science")</f>
        <v>View Full Record in Web of Science</v>
      </c>
    </row>
    <row r="221" ht="12.75" customHeight="1">
      <c r="A221" s="1" t="s">
        <v>72</v>
      </c>
      <c r="B221" s="1" t="s">
        <v>2175</v>
      </c>
      <c r="C221" s="1" t="s">
        <v>74</v>
      </c>
      <c r="D221" s="1" t="s">
        <v>74</v>
      </c>
      <c r="E221" s="1" t="s">
        <v>74</v>
      </c>
      <c r="F221" s="1" t="s">
        <v>2176</v>
      </c>
      <c r="G221" s="1" t="s">
        <v>74</v>
      </c>
      <c r="H221" s="1" t="s">
        <v>74</v>
      </c>
      <c r="I221" s="1" t="s">
        <v>2177</v>
      </c>
      <c r="J221" s="1" t="s">
        <v>795</v>
      </c>
      <c r="K221" s="1" t="s">
        <v>74</v>
      </c>
      <c r="L221" s="1" t="s">
        <v>74</v>
      </c>
      <c r="M221" s="1" t="s">
        <v>74</v>
      </c>
      <c r="N221" s="1" t="s">
        <v>74</v>
      </c>
      <c r="O221" s="1" t="s">
        <v>74</v>
      </c>
      <c r="P221" s="1" t="s">
        <v>74</v>
      </c>
      <c r="Q221" s="1" t="s">
        <v>74</v>
      </c>
      <c r="R221" s="1" t="s">
        <v>74</v>
      </c>
      <c r="S221" s="1" t="s">
        <v>74</v>
      </c>
      <c r="T221" s="1" t="s">
        <v>74</v>
      </c>
      <c r="U221" s="1" t="s">
        <v>74</v>
      </c>
      <c r="V221" s="1" t="s">
        <v>2178</v>
      </c>
      <c r="W221" s="1" t="s">
        <v>74</v>
      </c>
      <c r="X221" s="1" t="s">
        <v>74</v>
      </c>
      <c r="Y221" s="1" t="s">
        <v>74</v>
      </c>
      <c r="Z221" s="1" t="s">
        <v>74</v>
      </c>
      <c r="AA221" s="1" t="s">
        <v>102</v>
      </c>
      <c r="AB221" s="1" t="s">
        <v>2179</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798</v>
      </c>
      <c r="AP221" s="1" t="s">
        <v>799</v>
      </c>
      <c r="AQ221" s="1" t="s">
        <v>74</v>
      </c>
      <c r="AR221" s="1" t="s">
        <v>74</v>
      </c>
      <c r="AS221" s="1" t="s">
        <v>74</v>
      </c>
      <c r="AT221" s="1" t="s">
        <v>2180</v>
      </c>
      <c r="AU221" s="1">
        <v>2017.0</v>
      </c>
      <c r="AV221" s="1">
        <v>224.0</v>
      </c>
      <c r="AW221" s="1" t="s">
        <v>74</v>
      </c>
      <c r="AX221" s="1" t="s">
        <v>74</v>
      </c>
      <c r="AY221" s="1" t="s">
        <v>74</v>
      </c>
      <c r="AZ221" s="1" t="s">
        <v>74</v>
      </c>
      <c r="BA221" s="1" t="s">
        <v>74</v>
      </c>
      <c r="BB221" s="1">
        <v>342.0</v>
      </c>
      <c r="BC221" s="1">
        <v>346.0</v>
      </c>
      <c r="BD221" s="1" t="s">
        <v>74</v>
      </c>
      <c r="BE221" s="1" t="s">
        <v>2181</v>
      </c>
      <c r="BF221" s="2" t="str">
        <f>HYPERLINK("http://dx.doi.org/10.1016/j.foodchem.2016.12.058","http://dx.doi.org/10.1016/j.foodchem.2016.12.058")</f>
        <v>http://dx.doi.org/10.1016/j.foodchem.2016.12.058</v>
      </c>
      <c r="BG221" s="1" t="s">
        <v>74</v>
      </c>
      <c r="BH221" s="1" t="s">
        <v>74</v>
      </c>
      <c r="BI221" s="1" t="s">
        <v>74</v>
      </c>
      <c r="BJ221" s="1" t="s">
        <v>74</v>
      </c>
      <c r="BK221" s="1" t="s">
        <v>74</v>
      </c>
      <c r="BL221" s="1" t="s">
        <v>74</v>
      </c>
      <c r="BM221" s="1" t="s">
        <v>74</v>
      </c>
      <c r="BN221" s="1">
        <v>2.8159277E7</v>
      </c>
      <c r="BO221" s="1" t="s">
        <v>74</v>
      </c>
      <c r="BP221" s="1" t="s">
        <v>74</v>
      </c>
      <c r="BQ221" s="1" t="s">
        <v>74</v>
      </c>
      <c r="BR221" s="1" t="s">
        <v>74</v>
      </c>
      <c r="BS221" s="1" t="s">
        <v>2182</v>
      </c>
      <c r="BT221" s="1" t="str">
        <f>HYPERLINK("https%3A%2F%2Fwww.webofscience.com%2Fwos%2Fwoscc%2Ffull-record%2FWOS:000394631400045","View Full Record in Web of Science")</f>
        <v>View Full Record in Web of Science</v>
      </c>
    </row>
    <row r="222" ht="12.75" customHeight="1">
      <c r="A222" s="1" t="s">
        <v>72</v>
      </c>
      <c r="B222" s="1" t="s">
        <v>2183</v>
      </c>
      <c r="C222" s="1" t="s">
        <v>74</v>
      </c>
      <c r="D222" s="1" t="s">
        <v>74</v>
      </c>
      <c r="E222" s="1" t="s">
        <v>74</v>
      </c>
      <c r="F222" s="1" t="s">
        <v>2184</v>
      </c>
      <c r="G222" s="1" t="s">
        <v>74</v>
      </c>
      <c r="H222" s="1" t="s">
        <v>74</v>
      </c>
      <c r="I222" s="1" t="s">
        <v>2185</v>
      </c>
      <c r="J222" s="1" t="s">
        <v>2023</v>
      </c>
      <c r="K222" s="1" t="s">
        <v>74</v>
      </c>
      <c r="L222" s="1" t="s">
        <v>74</v>
      </c>
      <c r="M222" s="1" t="s">
        <v>74</v>
      </c>
      <c r="N222" s="1" t="s">
        <v>74</v>
      </c>
      <c r="O222" s="1" t="s">
        <v>74</v>
      </c>
      <c r="P222" s="1" t="s">
        <v>74</v>
      </c>
      <c r="Q222" s="1" t="s">
        <v>74</v>
      </c>
      <c r="R222" s="1" t="s">
        <v>74</v>
      </c>
      <c r="S222" s="1" t="s">
        <v>74</v>
      </c>
      <c r="T222" s="1" t="s">
        <v>74</v>
      </c>
      <c r="U222" s="1" t="s">
        <v>74</v>
      </c>
      <c r="V222" s="1" t="s">
        <v>2186</v>
      </c>
      <c r="W222" s="1" t="s">
        <v>74</v>
      </c>
      <c r="X222" s="1" t="s">
        <v>74</v>
      </c>
      <c r="Y222" s="1" t="s">
        <v>74</v>
      </c>
      <c r="Z222" s="1" t="s">
        <v>74</v>
      </c>
      <c r="AA222" s="1" t="s">
        <v>2187</v>
      </c>
      <c r="AB222" s="1" t="s">
        <v>2188</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74</v>
      </c>
      <c r="AP222" s="1" t="s">
        <v>2027</v>
      </c>
      <c r="AQ222" s="1" t="s">
        <v>74</v>
      </c>
      <c r="AR222" s="1" t="s">
        <v>74</v>
      </c>
      <c r="AS222" s="1" t="s">
        <v>74</v>
      </c>
      <c r="AT222" s="1" t="s">
        <v>174</v>
      </c>
      <c r="AU222" s="1">
        <v>2017.0</v>
      </c>
      <c r="AV222" s="1">
        <v>22.0</v>
      </c>
      <c r="AW222" s="1">
        <v>4.0</v>
      </c>
      <c r="AX222" s="1" t="s">
        <v>74</v>
      </c>
      <c r="AY222" s="1" t="s">
        <v>74</v>
      </c>
      <c r="AZ222" s="1" t="s">
        <v>74</v>
      </c>
      <c r="BA222" s="1" t="s">
        <v>74</v>
      </c>
      <c r="BB222" s="1" t="s">
        <v>74</v>
      </c>
      <c r="BC222" s="1" t="s">
        <v>74</v>
      </c>
      <c r="BD222" s="1">
        <v>608.0</v>
      </c>
      <c r="BE222" s="1" t="s">
        <v>2189</v>
      </c>
      <c r="BF222" s="2" t="str">
        <f>HYPERLINK("http://dx.doi.org/10.3390/molecules22040608","http://dx.doi.org/10.3390/molecules22040608")</f>
        <v>http://dx.doi.org/10.3390/molecules22040608</v>
      </c>
      <c r="BG222" s="1" t="s">
        <v>74</v>
      </c>
      <c r="BH222" s="1" t="s">
        <v>74</v>
      </c>
      <c r="BI222" s="1" t="s">
        <v>74</v>
      </c>
      <c r="BJ222" s="1" t="s">
        <v>74</v>
      </c>
      <c r="BK222" s="1" t="s">
        <v>74</v>
      </c>
      <c r="BL222" s="1" t="s">
        <v>74</v>
      </c>
      <c r="BM222" s="1" t="s">
        <v>74</v>
      </c>
      <c r="BN222" s="1">
        <v>2.8394271E7</v>
      </c>
      <c r="BO222" s="1" t="s">
        <v>74</v>
      </c>
      <c r="BP222" s="1" t="s">
        <v>74</v>
      </c>
      <c r="BQ222" s="1" t="s">
        <v>74</v>
      </c>
      <c r="BR222" s="1" t="s">
        <v>74</v>
      </c>
      <c r="BS222" s="1" t="s">
        <v>2190</v>
      </c>
      <c r="BT222" s="1" t="str">
        <f>HYPERLINK("https%3A%2F%2Fwww.webofscience.com%2Fwos%2Fwoscc%2Ffull-record%2FWOS:000404517800106","View Full Record in Web of Science")</f>
        <v>View Full Record in Web of Science</v>
      </c>
    </row>
    <row r="223" ht="12.75" customHeight="1">
      <c r="A223" s="1" t="s">
        <v>72</v>
      </c>
      <c r="B223" s="1" t="s">
        <v>2191</v>
      </c>
      <c r="C223" s="1" t="s">
        <v>74</v>
      </c>
      <c r="D223" s="1" t="s">
        <v>74</v>
      </c>
      <c r="E223" s="1" t="s">
        <v>74</v>
      </c>
      <c r="F223" s="1" t="s">
        <v>2192</v>
      </c>
      <c r="G223" s="1" t="s">
        <v>74</v>
      </c>
      <c r="H223" s="1" t="s">
        <v>74</v>
      </c>
      <c r="I223" s="1" t="s">
        <v>2193</v>
      </c>
      <c r="J223" s="1" t="s">
        <v>2194</v>
      </c>
      <c r="K223" s="1" t="s">
        <v>74</v>
      </c>
      <c r="L223" s="1" t="s">
        <v>74</v>
      </c>
      <c r="M223" s="1" t="s">
        <v>74</v>
      </c>
      <c r="N223" s="1" t="s">
        <v>74</v>
      </c>
      <c r="O223" s="1" t="s">
        <v>74</v>
      </c>
      <c r="P223" s="1" t="s">
        <v>74</v>
      </c>
      <c r="Q223" s="1" t="s">
        <v>74</v>
      </c>
      <c r="R223" s="1" t="s">
        <v>74</v>
      </c>
      <c r="S223" s="1" t="s">
        <v>74</v>
      </c>
      <c r="T223" s="1" t="s">
        <v>74</v>
      </c>
      <c r="U223" s="1" t="s">
        <v>74</v>
      </c>
      <c r="V223" s="1" t="s">
        <v>2195</v>
      </c>
      <c r="W223" s="1" t="s">
        <v>74</v>
      </c>
      <c r="X223" s="1" t="s">
        <v>74</v>
      </c>
      <c r="Y223" s="1" t="s">
        <v>74</v>
      </c>
      <c r="Z223" s="1" t="s">
        <v>74</v>
      </c>
      <c r="AA223" s="1" t="s">
        <v>2196</v>
      </c>
      <c r="AB223" s="1" t="s">
        <v>2197</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2198</v>
      </c>
      <c r="AP223" s="1" t="s">
        <v>2199</v>
      </c>
      <c r="AQ223" s="1" t="s">
        <v>74</v>
      </c>
      <c r="AR223" s="1" t="s">
        <v>74</v>
      </c>
      <c r="AS223" s="1" t="s">
        <v>74</v>
      </c>
      <c r="AT223" s="1" t="s">
        <v>174</v>
      </c>
      <c r="AU223" s="1">
        <v>2017.0</v>
      </c>
      <c r="AV223" s="1">
        <v>77.0</v>
      </c>
      <c r="AW223" s="1" t="s">
        <v>74</v>
      </c>
      <c r="AX223" s="1" t="s">
        <v>74</v>
      </c>
      <c r="AY223" s="1" t="s">
        <v>74</v>
      </c>
      <c r="AZ223" s="1" t="s">
        <v>74</v>
      </c>
      <c r="BA223" s="1" t="s">
        <v>74</v>
      </c>
      <c r="BB223" s="1">
        <v>160.0</v>
      </c>
      <c r="BC223" s="1">
        <v>169.0</v>
      </c>
      <c r="BD223" s="1" t="s">
        <v>74</v>
      </c>
      <c r="BE223" s="1" t="s">
        <v>2200</v>
      </c>
      <c r="BF223" s="2" t="str">
        <f>HYPERLINK("http://dx.doi.org/10.1016/j.lwt.2016.11.039","http://dx.doi.org/10.1016/j.lwt.2016.11.039")</f>
        <v>http://dx.doi.org/10.1016/j.lwt.2016.11.039</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2201</v>
      </c>
      <c r="BT223" s="1" t="str">
        <f>HYPERLINK("https%3A%2F%2Fwww.webofscience.com%2Fwos%2Fwoscc%2Ffull-record%2FWOS:000392769200022","View Full Record in Web of Science")</f>
        <v>View Full Record in Web of Science</v>
      </c>
    </row>
    <row r="224" ht="12.75" customHeight="1">
      <c r="A224" s="1" t="s">
        <v>72</v>
      </c>
      <c r="B224" s="1" t="s">
        <v>2202</v>
      </c>
      <c r="C224" s="1" t="s">
        <v>74</v>
      </c>
      <c r="D224" s="1" t="s">
        <v>74</v>
      </c>
      <c r="E224" s="1" t="s">
        <v>74</v>
      </c>
      <c r="F224" s="1" t="s">
        <v>2203</v>
      </c>
      <c r="G224" s="1" t="s">
        <v>74</v>
      </c>
      <c r="H224" s="1" t="s">
        <v>74</v>
      </c>
      <c r="I224" s="1" t="s">
        <v>2204</v>
      </c>
      <c r="J224" s="1" t="s">
        <v>2205</v>
      </c>
      <c r="K224" s="1" t="s">
        <v>74</v>
      </c>
      <c r="L224" s="1" t="s">
        <v>74</v>
      </c>
      <c r="M224" s="1" t="s">
        <v>74</v>
      </c>
      <c r="N224" s="1" t="s">
        <v>74</v>
      </c>
      <c r="O224" s="1" t="s">
        <v>74</v>
      </c>
      <c r="P224" s="1" t="s">
        <v>74</v>
      </c>
      <c r="Q224" s="1" t="s">
        <v>74</v>
      </c>
      <c r="R224" s="1" t="s">
        <v>74</v>
      </c>
      <c r="S224" s="1" t="s">
        <v>74</v>
      </c>
      <c r="T224" s="1" t="s">
        <v>74</v>
      </c>
      <c r="U224" s="1" t="s">
        <v>74</v>
      </c>
      <c r="V224" s="1" t="s">
        <v>2206</v>
      </c>
      <c r="W224" s="1" t="s">
        <v>74</v>
      </c>
      <c r="X224" s="1" t="s">
        <v>74</v>
      </c>
      <c r="Y224" s="1" t="s">
        <v>74</v>
      </c>
      <c r="Z224" s="1" t="s">
        <v>74</v>
      </c>
      <c r="AA224" s="1" t="s">
        <v>1537</v>
      </c>
      <c r="AB224" s="1" t="s">
        <v>1538</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2207</v>
      </c>
      <c r="AP224" s="1" t="s">
        <v>2208</v>
      </c>
      <c r="AQ224" s="1" t="s">
        <v>74</v>
      </c>
      <c r="AR224" s="1" t="s">
        <v>74</v>
      </c>
      <c r="AS224" s="1" t="s">
        <v>74</v>
      </c>
      <c r="AT224" s="1" t="s">
        <v>160</v>
      </c>
      <c r="AU224" s="1">
        <v>2016.0</v>
      </c>
      <c r="AV224" s="1">
        <v>87.0</v>
      </c>
      <c r="AW224" s="1">
        <v>12.0</v>
      </c>
      <c r="AX224" s="1" t="s">
        <v>74</v>
      </c>
      <c r="AY224" s="1" t="s">
        <v>74</v>
      </c>
      <c r="AZ224" s="1" t="s">
        <v>74</v>
      </c>
      <c r="BA224" s="1" t="s">
        <v>74</v>
      </c>
      <c r="BB224" s="1" t="s">
        <v>74</v>
      </c>
      <c r="BC224" s="1" t="s">
        <v>74</v>
      </c>
      <c r="BD224" s="1">
        <v>125112.0</v>
      </c>
      <c r="BE224" s="1" t="s">
        <v>2209</v>
      </c>
      <c r="BF224" s="2" t="str">
        <f>HYPERLINK("http://dx.doi.org/10.1063/1.4972585","http://dx.doi.org/10.1063/1.4972585")</f>
        <v>http://dx.doi.org/10.1063/1.4972585</v>
      </c>
      <c r="BG224" s="1" t="s">
        <v>74</v>
      </c>
      <c r="BH224" s="1" t="s">
        <v>74</v>
      </c>
      <c r="BI224" s="1" t="s">
        <v>74</v>
      </c>
      <c r="BJ224" s="1" t="s">
        <v>74</v>
      </c>
      <c r="BK224" s="1" t="s">
        <v>74</v>
      </c>
      <c r="BL224" s="1" t="s">
        <v>74</v>
      </c>
      <c r="BM224" s="1" t="s">
        <v>74</v>
      </c>
      <c r="BN224" s="1">
        <v>2.8040984E7</v>
      </c>
      <c r="BO224" s="1" t="s">
        <v>74</v>
      </c>
      <c r="BP224" s="1" t="s">
        <v>74</v>
      </c>
      <c r="BQ224" s="1" t="s">
        <v>74</v>
      </c>
      <c r="BR224" s="1" t="s">
        <v>74</v>
      </c>
      <c r="BS224" s="1" t="s">
        <v>2210</v>
      </c>
      <c r="BT224" s="1" t="str">
        <f>HYPERLINK("https%3A%2F%2Fwww.webofscience.com%2Fwos%2Fwoscc%2Ffull-record%2FWOS:000392096800067","View Full Record in Web of Science")</f>
        <v>View Full Record in Web of Science</v>
      </c>
    </row>
    <row r="225" ht="12.75" customHeight="1">
      <c r="A225" s="1" t="s">
        <v>72</v>
      </c>
      <c r="B225" s="1" t="s">
        <v>2211</v>
      </c>
      <c r="C225" s="1" t="s">
        <v>74</v>
      </c>
      <c r="D225" s="1" t="s">
        <v>74</v>
      </c>
      <c r="E225" s="1" t="s">
        <v>74</v>
      </c>
      <c r="F225" s="1" t="s">
        <v>2212</v>
      </c>
      <c r="G225" s="1" t="s">
        <v>74</v>
      </c>
      <c r="H225" s="1" t="s">
        <v>74</v>
      </c>
      <c r="I225" s="1" t="s">
        <v>2213</v>
      </c>
      <c r="J225" s="1" t="s">
        <v>2214</v>
      </c>
      <c r="K225" s="1" t="s">
        <v>74</v>
      </c>
      <c r="L225" s="1" t="s">
        <v>74</v>
      </c>
      <c r="M225" s="1" t="s">
        <v>74</v>
      </c>
      <c r="N225" s="1" t="s">
        <v>74</v>
      </c>
      <c r="O225" s="1" t="s">
        <v>74</v>
      </c>
      <c r="P225" s="1" t="s">
        <v>74</v>
      </c>
      <c r="Q225" s="1" t="s">
        <v>74</v>
      </c>
      <c r="R225" s="1" t="s">
        <v>74</v>
      </c>
      <c r="S225" s="1" t="s">
        <v>74</v>
      </c>
      <c r="T225" s="1" t="s">
        <v>74</v>
      </c>
      <c r="U225" s="1" t="s">
        <v>74</v>
      </c>
      <c r="V225" s="1" t="s">
        <v>2215</v>
      </c>
      <c r="W225" s="1" t="s">
        <v>74</v>
      </c>
      <c r="X225" s="1" t="s">
        <v>74</v>
      </c>
      <c r="Y225" s="1" t="s">
        <v>74</v>
      </c>
      <c r="Z225" s="1" t="s">
        <v>74</v>
      </c>
      <c r="AA225" s="1" t="s">
        <v>2216</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2217</v>
      </c>
      <c r="AP225" s="1" t="s">
        <v>74</v>
      </c>
      <c r="AQ225" s="1" t="s">
        <v>74</v>
      </c>
      <c r="AR225" s="1" t="s">
        <v>74</v>
      </c>
      <c r="AS225" s="1" t="s">
        <v>74</v>
      </c>
      <c r="AT225" s="1" t="s">
        <v>74</v>
      </c>
      <c r="AU225" s="1">
        <v>2015.0</v>
      </c>
      <c r="AV225" s="1" t="s">
        <v>74</v>
      </c>
      <c r="AW225" s="1">
        <v>512.0</v>
      </c>
      <c r="AX225" s="1" t="s">
        <v>74</v>
      </c>
      <c r="AY225" s="1" t="s">
        <v>74</v>
      </c>
      <c r="AZ225" s="1" t="s">
        <v>74</v>
      </c>
      <c r="BA225" s="1" t="s">
        <v>74</v>
      </c>
      <c r="BB225" s="1">
        <v>231.0</v>
      </c>
      <c r="BC225" s="1">
        <v>246.0</v>
      </c>
      <c r="BD225" s="1" t="s">
        <v>74</v>
      </c>
      <c r="BE225" s="1" t="s">
        <v>2218</v>
      </c>
      <c r="BF225" s="2" t="str">
        <f>HYPERLINK("http://dx.doi.org/10.4067/S0718-04622015000200013","http://dx.doi.org/10.4067/S0718-04622015000200013")</f>
        <v>http://dx.doi.org/10.4067/S0718-04622015000200013</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2219</v>
      </c>
      <c r="BT225" s="1" t="str">
        <f>HYPERLINK("https%3A%2F%2Fwww.webofscience.com%2Fwos%2Fwoscc%2Ffull-record%2FWOS:000371528900013","View Full Record in Web of Science")</f>
        <v>View Full Record in Web of Science</v>
      </c>
    </row>
    <row r="226" ht="12.75" customHeight="1">
      <c r="A226" s="1" t="s">
        <v>241</v>
      </c>
      <c r="B226" s="1" t="s">
        <v>2220</v>
      </c>
      <c r="C226" s="1" t="s">
        <v>74</v>
      </c>
      <c r="D226" s="1" t="s">
        <v>2221</v>
      </c>
      <c r="E226" s="1" t="s">
        <v>74</v>
      </c>
      <c r="F226" s="1" t="s">
        <v>2222</v>
      </c>
      <c r="G226" s="1" t="s">
        <v>74</v>
      </c>
      <c r="H226" s="1" t="s">
        <v>74</v>
      </c>
      <c r="I226" s="1" t="s">
        <v>2223</v>
      </c>
      <c r="J226" s="1" t="s">
        <v>2224</v>
      </c>
      <c r="K226" s="1" t="s">
        <v>2225</v>
      </c>
      <c r="L226" s="1" t="s">
        <v>74</v>
      </c>
      <c r="M226" s="1" t="s">
        <v>74</v>
      </c>
      <c r="N226" s="1" t="s">
        <v>74</v>
      </c>
      <c r="O226" s="1" t="s">
        <v>2226</v>
      </c>
      <c r="P226" s="1" t="s">
        <v>2227</v>
      </c>
      <c r="Q226" s="1" t="s">
        <v>2228</v>
      </c>
      <c r="R226" s="1" t="s">
        <v>2229</v>
      </c>
      <c r="S226" s="1" t="s">
        <v>74</v>
      </c>
      <c r="T226" s="1" t="s">
        <v>74</v>
      </c>
      <c r="U226" s="1" t="s">
        <v>74</v>
      </c>
      <c r="V226" s="1" t="s">
        <v>2230</v>
      </c>
      <c r="W226" s="1" t="s">
        <v>74</v>
      </c>
      <c r="X226" s="1" t="s">
        <v>74</v>
      </c>
      <c r="Y226" s="1" t="s">
        <v>74</v>
      </c>
      <c r="Z226" s="1" t="s">
        <v>74</v>
      </c>
      <c r="AA226" s="1" t="s">
        <v>2231</v>
      </c>
      <c r="AB226" s="1" t="s">
        <v>74</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2232</v>
      </c>
      <c r="AP226" s="1" t="s">
        <v>2233</v>
      </c>
      <c r="AQ226" s="1" t="s">
        <v>2234</v>
      </c>
      <c r="AR226" s="1" t="s">
        <v>74</v>
      </c>
      <c r="AS226" s="1" t="s">
        <v>74</v>
      </c>
      <c r="AT226" s="1" t="s">
        <v>74</v>
      </c>
      <c r="AU226" s="1">
        <v>2012.0</v>
      </c>
      <c r="AV226" s="1">
        <v>8452.0</v>
      </c>
      <c r="AW226" s="1" t="s">
        <v>74</v>
      </c>
      <c r="AX226" s="1" t="s">
        <v>74</v>
      </c>
      <c r="AY226" s="1" t="s">
        <v>74</v>
      </c>
      <c r="AZ226" s="1" t="s">
        <v>74</v>
      </c>
      <c r="BA226" s="1" t="s">
        <v>74</v>
      </c>
      <c r="BB226" s="1" t="s">
        <v>74</v>
      </c>
      <c r="BC226" s="1" t="s">
        <v>74</v>
      </c>
      <c r="BD226" s="1" t="s">
        <v>2235</v>
      </c>
      <c r="BE226" s="1" t="s">
        <v>2236</v>
      </c>
      <c r="BF226" s="2" t="str">
        <f>HYPERLINK("http://dx.doi.org/10.1117/12.925253","http://dx.doi.org/10.1117/12.925253")</f>
        <v>http://dx.doi.org/10.1117/12.925253</v>
      </c>
      <c r="BG226" s="1" t="s">
        <v>74</v>
      </c>
      <c r="BH226" s="1" t="s">
        <v>74</v>
      </c>
      <c r="BI226" s="1" t="s">
        <v>74</v>
      </c>
      <c r="BJ226" s="1" t="s">
        <v>74</v>
      </c>
      <c r="BK226" s="1" t="s">
        <v>74</v>
      </c>
      <c r="BL226" s="1" t="s">
        <v>74</v>
      </c>
      <c r="BM226" s="1" t="s">
        <v>74</v>
      </c>
      <c r="BN226" s="1" t="s">
        <v>74</v>
      </c>
      <c r="BO226" s="1" t="s">
        <v>74</v>
      </c>
      <c r="BP226" s="1" t="s">
        <v>74</v>
      </c>
      <c r="BQ226" s="1" t="s">
        <v>74</v>
      </c>
      <c r="BR226" s="1" t="s">
        <v>74</v>
      </c>
      <c r="BS226" s="1" t="s">
        <v>2237</v>
      </c>
      <c r="BT226" s="1" t="str">
        <f>HYPERLINK("https%3A%2F%2Fwww.webofscience.com%2Fwos%2Fwoscc%2Ffull-record%2FWOS:000312884000078","View Full Record in Web of Science")</f>
        <v>View Full Record in Web of Science</v>
      </c>
    </row>
    <row r="227" ht="12.75" customHeight="1">
      <c r="A227" s="1" t="s">
        <v>72</v>
      </c>
      <c r="B227" s="1" t="s">
        <v>2238</v>
      </c>
      <c r="C227" s="1" t="s">
        <v>74</v>
      </c>
      <c r="D227" s="1" t="s">
        <v>74</v>
      </c>
      <c r="E227" s="1" t="s">
        <v>74</v>
      </c>
      <c r="F227" s="1" t="s">
        <v>2239</v>
      </c>
      <c r="G227" s="1" t="s">
        <v>74</v>
      </c>
      <c r="H227" s="1" t="s">
        <v>74</v>
      </c>
      <c r="I227" s="1" t="s">
        <v>2240</v>
      </c>
      <c r="J227" s="1" t="s">
        <v>601</v>
      </c>
      <c r="K227" s="1" t="s">
        <v>74</v>
      </c>
      <c r="L227" s="1" t="s">
        <v>74</v>
      </c>
      <c r="M227" s="1" t="s">
        <v>74</v>
      </c>
      <c r="N227" s="1" t="s">
        <v>74</v>
      </c>
      <c r="O227" s="1" t="s">
        <v>74</v>
      </c>
      <c r="P227" s="1" t="s">
        <v>74</v>
      </c>
      <c r="Q227" s="1" t="s">
        <v>74</v>
      </c>
      <c r="R227" s="1" t="s">
        <v>74</v>
      </c>
      <c r="S227" s="1" t="s">
        <v>74</v>
      </c>
      <c r="T227" s="1" t="s">
        <v>74</v>
      </c>
      <c r="U227" s="1" t="s">
        <v>74</v>
      </c>
      <c r="V227" s="1" t="s">
        <v>2241</v>
      </c>
      <c r="W227" s="1" t="s">
        <v>74</v>
      </c>
      <c r="X227" s="1" t="s">
        <v>74</v>
      </c>
      <c r="Y227" s="1" t="s">
        <v>74</v>
      </c>
      <c r="Z227" s="1" t="s">
        <v>74</v>
      </c>
      <c r="AA227" s="1" t="s">
        <v>74</v>
      </c>
      <c r="AB227" s="1" t="s">
        <v>2242</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605</v>
      </c>
      <c r="AP227" s="1" t="s">
        <v>606</v>
      </c>
      <c r="AQ227" s="1" t="s">
        <v>74</v>
      </c>
      <c r="AR227" s="1" t="s">
        <v>74</v>
      </c>
      <c r="AS227" s="1" t="s">
        <v>74</v>
      </c>
      <c r="AT227" s="1" t="s">
        <v>116</v>
      </c>
      <c r="AU227" s="1">
        <v>2010.0</v>
      </c>
      <c r="AV227" s="1">
        <v>29.0</v>
      </c>
      <c r="AW227" s="1">
        <v>5.0</v>
      </c>
      <c r="AX227" s="1" t="s">
        <v>74</v>
      </c>
      <c r="AY227" s="1" t="s">
        <v>74</v>
      </c>
      <c r="AZ227" s="1" t="s">
        <v>74</v>
      </c>
      <c r="BA227" s="1" t="s">
        <v>74</v>
      </c>
      <c r="BB227" s="1">
        <v>299.0</v>
      </c>
      <c r="BC227" s="1">
        <v>305.0</v>
      </c>
      <c r="BD227" s="1" t="s">
        <v>74</v>
      </c>
      <c r="BE227" s="1" t="s">
        <v>2243</v>
      </c>
      <c r="BF227" s="2" t="str">
        <f>HYPERLINK("http://dx.doi.org/10.1007/s10930-010-9252-6","http://dx.doi.org/10.1007/s10930-010-9252-6")</f>
        <v>http://dx.doi.org/10.1007/s10930-010-9252-6</v>
      </c>
      <c r="BG227" s="1" t="s">
        <v>74</v>
      </c>
      <c r="BH227" s="1" t="s">
        <v>74</v>
      </c>
      <c r="BI227" s="1" t="s">
        <v>74</v>
      </c>
      <c r="BJ227" s="1" t="s">
        <v>74</v>
      </c>
      <c r="BK227" s="1" t="s">
        <v>74</v>
      </c>
      <c r="BL227" s="1" t="s">
        <v>74</v>
      </c>
      <c r="BM227" s="1" t="s">
        <v>74</v>
      </c>
      <c r="BN227" s="1">
        <v>2.0524049E7</v>
      </c>
      <c r="BO227" s="1" t="s">
        <v>74</v>
      </c>
      <c r="BP227" s="1" t="s">
        <v>74</v>
      </c>
      <c r="BQ227" s="1" t="s">
        <v>74</v>
      </c>
      <c r="BR227" s="1" t="s">
        <v>74</v>
      </c>
      <c r="BS227" s="1" t="s">
        <v>2244</v>
      </c>
      <c r="BT227" s="1" t="str">
        <f>HYPERLINK("https%3A%2F%2Fwww.webofscience.com%2Fwos%2Fwoscc%2Ffull-record%2FWOS:000279317000001","View Full Record in Web of Science")</f>
        <v>View Full Record in Web of Science</v>
      </c>
    </row>
    <row r="228" ht="12.75" customHeight="1">
      <c r="A228" s="1" t="s">
        <v>72</v>
      </c>
      <c r="B228" s="1" t="s">
        <v>2245</v>
      </c>
      <c r="C228" s="1" t="s">
        <v>74</v>
      </c>
      <c r="D228" s="1" t="s">
        <v>74</v>
      </c>
      <c r="E228" s="1" t="s">
        <v>74</v>
      </c>
      <c r="F228" s="1" t="s">
        <v>2246</v>
      </c>
      <c r="G228" s="1" t="s">
        <v>74</v>
      </c>
      <c r="H228" s="1" t="s">
        <v>74</v>
      </c>
      <c r="I228" s="1" t="s">
        <v>2247</v>
      </c>
      <c r="J228" s="1" t="s">
        <v>100</v>
      </c>
      <c r="K228" s="1" t="s">
        <v>74</v>
      </c>
      <c r="L228" s="1" t="s">
        <v>74</v>
      </c>
      <c r="M228" s="1" t="s">
        <v>74</v>
      </c>
      <c r="N228" s="1" t="s">
        <v>74</v>
      </c>
      <c r="O228" s="1" t="s">
        <v>74</v>
      </c>
      <c r="P228" s="1" t="s">
        <v>74</v>
      </c>
      <c r="Q228" s="1" t="s">
        <v>74</v>
      </c>
      <c r="R228" s="1" t="s">
        <v>74</v>
      </c>
      <c r="S228" s="1" t="s">
        <v>74</v>
      </c>
      <c r="T228" s="1" t="s">
        <v>74</v>
      </c>
      <c r="U228" s="1" t="s">
        <v>74</v>
      </c>
      <c r="V228" s="1" t="s">
        <v>2248</v>
      </c>
      <c r="W228" s="1" t="s">
        <v>74</v>
      </c>
      <c r="X228" s="1" t="s">
        <v>74</v>
      </c>
      <c r="Y228" s="1" t="s">
        <v>74</v>
      </c>
      <c r="Z228" s="1" t="s">
        <v>74</v>
      </c>
      <c r="AA228" s="1" t="s">
        <v>2249</v>
      </c>
      <c r="AB228" s="1" t="s">
        <v>2250</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104</v>
      </c>
      <c r="AP228" s="1" t="s">
        <v>105</v>
      </c>
      <c r="AQ228" s="1" t="s">
        <v>74</v>
      </c>
      <c r="AR228" s="1" t="s">
        <v>74</v>
      </c>
      <c r="AS228" s="1" t="s">
        <v>74</v>
      </c>
      <c r="AT228" s="1" t="s">
        <v>160</v>
      </c>
      <c r="AU228" s="1">
        <v>2009.0</v>
      </c>
      <c r="AV228" s="1">
        <v>83.0</v>
      </c>
      <c r="AW228" s="1">
        <v>3.0</v>
      </c>
      <c r="AX228" s="1" t="s">
        <v>74</v>
      </c>
      <c r="AY228" s="1" t="s">
        <v>74</v>
      </c>
      <c r="AZ228" s="1" t="s">
        <v>74</v>
      </c>
      <c r="BA228" s="1" t="s">
        <v>74</v>
      </c>
      <c r="BB228" s="1">
        <v>391.0</v>
      </c>
      <c r="BC228" s="1">
        <v>395.0</v>
      </c>
      <c r="BD228" s="1" t="s">
        <v>74</v>
      </c>
      <c r="BE228" s="1" t="s">
        <v>2251</v>
      </c>
      <c r="BF228" s="2" t="str">
        <f>HYPERLINK("http://dx.doi.org/10.1016/j.dyepig.2009.06.011","http://dx.doi.org/10.1016/j.dyepig.2009.06.011")</f>
        <v>http://dx.doi.org/10.1016/j.dyepig.2009.06.011</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2252</v>
      </c>
      <c r="BT228" s="1" t="str">
        <f>HYPERLINK("https%3A%2F%2Fwww.webofscience.com%2Fwos%2Fwoscc%2Ffull-record%2FWOS:000269280500019","View Full Record in Web of Science")</f>
        <v>View Full Record in Web of Science</v>
      </c>
    </row>
    <row r="229" ht="12.75" customHeight="1">
      <c r="A229" s="1" t="s">
        <v>72</v>
      </c>
      <c r="B229" s="1" t="s">
        <v>2253</v>
      </c>
      <c r="C229" s="1" t="s">
        <v>74</v>
      </c>
      <c r="D229" s="1" t="s">
        <v>74</v>
      </c>
      <c r="E229" s="1" t="s">
        <v>74</v>
      </c>
      <c r="F229" s="1" t="s">
        <v>2254</v>
      </c>
      <c r="G229" s="1" t="s">
        <v>74</v>
      </c>
      <c r="H229" s="1" t="s">
        <v>74</v>
      </c>
      <c r="I229" s="1" t="s">
        <v>2255</v>
      </c>
      <c r="J229" s="1" t="s">
        <v>2023</v>
      </c>
      <c r="K229" s="1" t="s">
        <v>74</v>
      </c>
      <c r="L229" s="1" t="s">
        <v>74</v>
      </c>
      <c r="M229" s="1" t="s">
        <v>74</v>
      </c>
      <c r="N229" s="1" t="s">
        <v>74</v>
      </c>
      <c r="O229" s="1" t="s">
        <v>74</v>
      </c>
      <c r="P229" s="1" t="s">
        <v>74</v>
      </c>
      <c r="Q229" s="1" t="s">
        <v>74</v>
      </c>
      <c r="R229" s="1" t="s">
        <v>74</v>
      </c>
      <c r="S229" s="1" t="s">
        <v>74</v>
      </c>
      <c r="T229" s="1" t="s">
        <v>74</v>
      </c>
      <c r="U229" s="1" t="s">
        <v>74</v>
      </c>
      <c r="V229" s="1" t="s">
        <v>2256</v>
      </c>
      <c r="W229" s="1" t="s">
        <v>74</v>
      </c>
      <c r="X229" s="1" t="s">
        <v>74</v>
      </c>
      <c r="Y229" s="1" t="s">
        <v>74</v>
      </c>
      <c r="Z229" s="1" t="s">
        <v>74</v>
      </c>
      <c r="AA229" s="1" t="s">
        <v>2257</v>
      </c>
      <c r="AB229" s="1" t="s">
        <v>2258</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2027</v>
      </c>
      <c r="AP229" s="1" t="s">
        <v>74</v>
      </c>
      <c r="AQ229" s="1" t="s">
        <v>74</v>
      </c>
      <c r="AR229" s="1" t="s">
        <v>74</v>
      </c>
      <c r="AS229" s="1" t="s">
        <v>74</v>
      </c>
      <c r="AT229" s="1" t="s">
        <v>353</v>
      </c>
      <c r="AU229" s="1">
        <v>2008.0</v>
      </c>
      <c r="AV229" s="1">
        <v>13.0</v>
      </c>
      <c r="AW229" s="1">
        <v>10.0</v>
      </c>
      <c r="AX229" s="1" t="s">
        <v>74</v>
      </c>
      <c r="AY229" s="1" t="s">
        <v>74</v>
      </c>
      <c r="AZ229" s="1" t="s">
        <v>74</v>
      </c>
      <c r="BA229" s="1" t="s">
        <v>74</v>
      </c>
      <c r="BB229" s="1">
        <v>2385.0</v>
      </c>
      <c r="BC229" s="1">
        <v>2393.0</v>
      </c>
      <c r="BD229" s="1" t="s">
        <v>74</v>
      </c>
      <c r="BE229" s="1" t="s">
        <v>2259</v>
      </c>
      <c r="BF229" s="2" t="str">
        <f>HYPERLINK("http://dx.doi.org/10.3390/molecules13102385","http://dx.doi.org/10.3390/molecules13102385")</f>
        <v>http://dx.doi.org/10.3390/molecules13102385</v>
      </c>
      <c r="BG229" s="1" t="s">
        <v>74</v>
      </c>
      <c r="BH229" s="1" t="s">
        <v>74</v>
      </c>
      <c r="BI229" s="1" t="s">
        <v>74</v>
      </c>
      <c r="BJ229" s="1" t="s">
        <v>74</v>
      </c>
      <c r="BK229" s="1" t="s">
        <v>74</v>
      </c>
      <c r="BL229" s="1" t="s">
        <v>74</v>
      </c>
      <c r="BM229" s="1" t="s">
        <v>74</v>
      </c>
      <c r="BN229" s="1">
        <v>1.8830161E7</v>
      </c>
      <c r="BO229" s="1" t="s">
        <v>74</v>
      </c>
      <c r="BP229" s="1" t="s">
        <v>74</v>
      </c>
      <c r="BQ229" s="1" t="s">
        <v>74</v>
      </c>
      <c r="BR229" s="1" t="s">
        <v>74</v>
      </c>
      <c r="BS229" s="1" t="s">
        <v>2260</v>
      </c>
      <c r="BT229" s="1" t="str">
        <f>HYPERLINK("https%3A%2F%2Fwww.webofscience.com%2Fwos%2Fwoscc%2Ffull-record%2FWOS:000260505100003","View Full Record in Web of Science")</f>
        <v>View Full Record in Web of Science</v>
      </c>
    </row>
    <row r="230" ht="12.75" customHeight="1">
      <c r="A230" s="1" t="s">
        <v>72</v>
      </c>
      <c r="B230" s="1" t="s">
        <v>346</v>
      </c>
      <c r="C230" s="1" t="s">
        <v>74</v>
      </c>
      <c r="D230" s="1" t="s">
        <v>74</v>
      </c>
      <c r="E230" s="1" t="s">
        <v>74</v>
      </c>
      <c r="F230" s="1" t="s">
        <v>347</v>
      </c>
      <c r="G230" s="1" t="s">
        <v>74</v>
      </c>
      <c r="H230" s="1" t="s">
        <v>74</v>
      </c>
      <c r="I230" s="1" t="s">
        <v>2261</v>
      </c>
      <c r="J230" s="1" t="s">
        <v>2262</v>
      </c>
      <c r="K230" s="1" t="s">
        <v>74</v>
      </c>
      <c r="L230" s="1" t="s">
        <v>74</v>
      </c>
      <c r="M230" s="1" t="s">
        <v>74</v>
      </c>
      <c r="N230" s="1" t="s">
        <v>74</v>
      </c>
      <c r="O230" s="1" t="s">
        <v>74</v>
      </c>
      <c r="P230" s="1" t="s">
        <v>74</v>
      </c>
      <c r="Q230" s="1" t="s">
        <v>74</v>
      </c>
      <c r="R230" s="1" t="s">
        <v>74</v>
      </c>
      <c r="S230" s="1" t="s">
        <v>74</v>
      </c>
      <c r="T230" s="1" t="s">
        <v>74</v>
      </c>
      <c r="U230" s="1" t="s">
        <v>74</v>
      </c>
      <c r="V230" s="1" t="s">
        <v>2263</v>
      </c>
      <c r="W230" s="1" t="s">
        <v>74</v>
      </c>
      <c r="X230" s="1" t="s">
        <v>74</v>
      </c>
      <c r="Y230" s="1" t="s">
        <v>74</v>
      </c>
      <c r="Z230" s="1" t="s">
        <v>74</v>
      </c>
      <c r="AA230" s="1" t="s">
        <v>74</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2264</v>
      </c>
      <c r="AP230" s="1" t="s">
        <v>2265</v>
      </c>
      <c r="AQ230" s="1" t="s">
        <v>74</v>
      </c>
      <c r="AR230" s="1" t="s">
        <v>74</v>
      </c>
      <c r="AS230" s="1" t="s">
        <v>74</v>
      </c>
      <c r="AT230" s="1" t="s">
        <v>174</v>
      </c>
      <c r="AU230" s="1">
        <v>2008.0</v>
      </c>
      <c r="AV230" s="1">
        <v>23.0</v>
      </c>
      <c r="AW230" s="1">
        <v>2.0</v>
      </c>
      <c r="AX230" s="1" t="s">
        <v>74</v>
      </c>
      <c r="AY230" s="1" t="s">
        <v>74</v>
      </c>
      <c r="AZ230" s="1" t="s">
        <v>74</v>
      </c>
      <c r="BA230" s="1" t="s">
        <v>74</v>
      </c>
      <c r="BB230" s="1">
        <v>953.0</v>
      </c>
      <c r="BC230" s="1">
        <v>959.0</v>
      </c>
      <c r="BD230" s="1" t="s">
        <v>74</v>
      </c>
      <c r="BE230" s="1" t="s">
        <v>2266</v>
      </c>
      <c r="BF230" s="2" t="str">
        <f>HYPERLINK("http://dx.doi.org/10.1109/TPWRD.2008.917895","http://dx.doi.org/10.1109/TPWRD.2008.917895")</f>
        <v>http://dx.doi.org/10.1109/TPWRD.2008.917895</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2267</v>
      </c>
      <c r="BT230" s="1" t="str">
        <f>HYPERLINK("https%3A%2F%2Fwww.webofscience.com%2Fwos%2Fwoscc%2Ffull-record%2FWOS:000254851700054","View Full Record in Web of Science")</f>
        <v>View Full Record in Web of Science</v>
      </c>
    </row>
    <row r="231" ht="12.75" customHeight="1">
      <c r="A231" s="1" t="s">
        <v>72</v>
      </c>
      <c r="B231" s="1" t="s">
        <v>2268</v>
      </c>
      <c r="C231" s="1" t="s">
        <v>74</v>
      </c>
      <c r="D231" s="1" t="s">
        <v>74</v>
      </c>
      <c r="E231" s="1" t="s">
        <v>74</v>
      </c>
      <c r="F231" s="1" t="s">
        <v>2268</v>
      </c>
      <c r="G231" s="1" t="s">
        <v>74</v>
      </c>
      <c r="H231" s="1" t="s">
        <v>74</v>
      </c>
      <c r="I231" s="1" t="s">
        <v>2269</v>
      </c>
      <c r="J231" s="1" t="s">
        <v>1752</v>
      </c>
      <c r="K231" s="1" t="s">
        <v>74</v>
      </c>
      <c r="L231" s="1" t="s">
        <v>74</v>
      </c>
      <c r="M231" s="1" t="s">
        <v>74</v>
      </c>
      <c r="N231" s="1" t="s">
        <v>74</v>
      </c>
      <c r="O231" s="1" t="s">
        <v>1753</v>
      </c>
      <c r="P231" s="1" t="s">
        <v>1754</v>
      </c>
      <c r="Q231" s="1" t="s">
        <v>1755</v>
      </c>
      <c r="R231" s="1" t="s">
        <v>74</v>
      </c>
      <c r="S231" s="1" t="s">
        <v>74</v>
      </c>
      <c r="T231" s="1" t="s">
        <v>74</v>
      </c>
      <c r="U231" s="1" t="s">
        <v>74</v>
      </c>
      <c r="V231" s="1" t="s">
        <v>2270</v>
      </c>
      <c r="W231" s="1" t="s">
        <v>74</v>
      </c>
      <c r="X231" s="1" t="s">
        <v>74</v>
      </c>
      <c r="Y231" s="1" t="s">
        <v>74</v>
      </c>
      <c r="Z231" s="1" t="s">
        <v>74</v>
      </c>
      <c r="AA231" s="1" t="s">
        <v>645</v>
      </c>
      <c r="AB231" s="1" t="s">
        <v>74</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1757</v>
      </c>
      <c r="AP231" s="1" t="s">
        <v>74</v>
      </c>
      <c r="AQ231" s="1" t="s">
        <v>74</v>
      </c>
      <c r="AR231" s="1" t="s">
        <v>74</v>
      </c>
      <c r="AS231" s="1" t="s">
        <v>74</v>
      </c>
      <c r="AT231" s="1" t="s">
        <v>160</v>
      </c>
      <c r="AU231" s="1">
        <v>2002.0</v>
      </c>
      <c r="AV231" s="1">
        <v>48.0</v>
      </c>
      <c r="AW231" s="1" t="s">
        <v>74</v>
      </c>
      <c r="AX231" s="1" t="s">
        <v>74</v>
      </c>
      <c r="AY231" s="1">
        <v>3.0</v>
      </c>
      <c r="AZ231" s="1" t="s">
        <v>74</v>
      </c>
      <c r="BA231" s="1" t="s">
        <v>74</v>
      </c>
      <c r="BB231" s="1">
        <v>128.0</v>
      </c>
      <c r="BC231" s="1">
        <v>130.0</v>
      </c>
      <c r="BD231" s="1" t="s">
        <v>74</v>
      </c>
      <c r="BE231" s="1" t="s">
        <v>74</v>
      </c>
      <c r="BF231" s="1" t="s">
        <v>74</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2271</v>
      </c>
      <c r="BT231" s="1" t="str">
        <f>HYPERLINK("https%3A%2F%2Fwww.webofscience.com%2Fwos%2Fwoscc%2Ffull-record%2FWOS:000180065500046","View Full Record in Web of Science")</f>
        <v>View Full Record in Web of Science</v>
      </c>
    </row>
    <row r="232" ht="12.75" customHeight="1">
      <c r="A232" s="1" t="s">
        <v>72</v>
      </c>
      <c r="B232" s="1" t="s">
        <v>2272</v>
      </c>
      <c r="C232" s="1" t="s">
        <v>74</v>
      </c>
      <c r="D232" s="1" t="s">
        <v>74</v>
      </c>
      <c r="E232" s="1" t="s">
        <v>74</v>
      </c>
      <c r="F232" s="1" t="s">
        <v>2272</v>
      </c>
      <c r="G232" s="1" t="s">
        <v>74</v>
      </c>
      <c r="H232" s="1" t="s">
        <v>74</v>
      </c>
      <c r="I232" s="1" t="s">
        <v>2273</v>
      </c>
      <c r="J232" s="1" t="s">
        <v>2262</v>
      </c>
      <c r="K232" s="1" t="s">
        <v>74</v>
      </c>
      <c r="L232" s="1" t="s">
        <v>74</v>
      </c>
      <c r="M232" s="1" t="s">
        <v>74</v>
      </c>
      <c r="N232" s="1" t="s">
        <v>74</v>
      </c>
      <c r="O232" s="1" t="s">
        <v>74</v>
      </c>
      <c r="P232" s="1" t="s">
        <v>74</v>
      </c>
      <c r="Q232" s="1" t="s">
        <v>74</v>
      </c>
      <c r="R232" s="1" t="s">
        <v>74</v>
      </c>
      <c r="S232" s="1" t="s">
        <v>74</v>
      </c>
      <c r="T232" s="1" t="s">
        <v>74</v>
      </c>
      <c r="U232" s="1" t="s">
        <v>74</v>
      </c>
      <c r="V232" s="1" t="s">
        <v>2274</v>
      </c>
      <c r="W232" s="1" t="s">
        <v>74</v>
      </c>
      <c r="X232" s="1" t="s">
        <v>74</v>
      </c>
      <c r="Y232" s="1" t="s">
        <v>74</v>
      </c>
      <c r="Z232" s="1" t="s">
        <v>74</v>
      </c>
      <c r="AA232" s="1" t="s">
        <v>74</v>
      </c>
      <c r="AB232" s="1" t="s">
        <v>74</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2264</v>
      </c>
      <c r="AP232" s="1" t="s">
        <v>74</v>
      </c>
      <c r="AQ232" s="1" t="s">
        <v>74</v>
      </c>
      <c r="AR232" s="1" t="s">
        <v>74</v>
      </c>
      <c r="AS232" s="1" t="s">
        <v>74</v>
      </c>
      <c r="AT232" s="1" t="s">
        <v>174</v>
      </c>
      <c r="AU232" s="1">
        <v>2000.0</v>
      </c>
      <c r="AV232" s="1">
        <v>15.0</v>
      </c>
      <c r="AW232" s="1">
        <v>2.0</v>
      </c>
      <c r="AX232" s="1" t="s">
        <v>74</v>
      </c>
      <c r="AY232" s="1" t="s">
        <v>74</v>
      </c>
      <c r="AZ232" s="1" t="s">
        <v>74</v>
      </c>
      <c r="BA232" s="1" t="s">
        <v>74</v>
      </c>
      <c r="BB232" s="1">
        <v>641.0</v>
      </c>
      <c r="BC232" s="1">
        <v>645.0</v>
      </c>
      <c r="BD232" s="1" t="s">
        <v>74</v>
      </c>
      <c r="BE232" s="1" t="s">
        <v>2275</v>
      </c>
      <c r="BF232" s="2" t="str">
        <f>HYPERLINK("http://dx.doi.org/10.1109/61.852998","http://dx.doi.org/10.1109/61.852998")</f>
        <v>http://dx.doi.org/10.1109/61.852998</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2276</v>
      </c>
      <c r="BT232" s="1" t="str">
        <f>HYPERLINK("https%3A%2F%2Fwww.webofscience.com%2Fwos%2Fwoscc%2Ffull-record%2FWOS:000088393600031","View Full Record in Web of Science")</f>
        <v>View Full Record in Web of Science</v>
      </c>
    </row>
    <row r="233" ht="12.75" customHeight="1">
      <c r="A233" s="1" t="s">
        <v>72</v>
      </c>
      <c r="B233" s="1" t="s">
        <v>2277</v>
      </c>
      <c r="C233" s="1" t="s">
        <v>74</v>
      </c>
      <c r="D233" s="1" t="s">
        <v>74</v>
      </c>
      <c r="E233" s="1" t="s">
        <v>74</v>
      </c>
      <c r="F233" s="1" t="s">
        <v>2277</v>
      </c>
      <c r="G233" s="1" t="s">
        <v>74</v>
      </c>
      <c r="H233" s="1" t="s">
        <v>74</v>
      </c>
      <c r="I233" s="1" t="s">
        <v>2278</v>
      </c>
      <c r="J233" s="1" t="s">
        <v>2279</v>
      </c>
      <c r="K233" s="1" t="s">
        <v>74</v>
      </c>
      <c r="L233" s="1" t="s">
        <v>74</v>
      </c>
      <c r="M233" s="1" t="s">
        <v>74</v>
      </c>
      <c r="N233" s="1" t="s">
        <v>74</v>
      </c>
      <c r="O233" s="1" t="s">
        <v>74</v>
      </c>
      <c r="P233" s="1" t="s">
        <v>74</v>
      </c>
      <c r="Q233" s="1" t="s">
        <v>74</v>
      </c>
      <c r="R233" s="1" t="s">
        <v>74</v>
      </c>
      <c r="S233" s="1" t="s">
        <v>74</v>
      </c>
      <c r="T233" s="1" t="s">
        <v>74</v>
      </c>
      <c r="U233" s="1" t="s">
        <v>74</v>
      </c>
      <c r="V233" s="1" t="s">
        <v>2280</v>
      </c>
      <c r="W233" s="1" t="s">
        <v>74</v>
      </c>
      <c r="X233" s="1" t="s">
        <v>74</v>
      </c>
      <c r="Y233" s="1" t="s">
        <v>74</v>
      </c>
      <c r="Z233" s="1" t="s">
        <v>74</v>
      </c>
      <c r="AA233" s="1" t="s">
        <v>2281</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2282</v>
      </c>
      <c r="AP233" s="1" t="s">
        <v>74</v>
      </c>
      <c r="AQ233" s="1" t="s">
        <v>74</v>
      </c>
      <c r="AR233" s="1" t="s">
        <v>74</v>
      </c>
      <c r="AS233" s="1" t="s">
        <v>74</v>
      </c>
      <c r="AT233" s="1" t="s">
        <v>2283</v>
      </c>
      <c r="AU233" s="1">
        <v>1997.0</v>
      </c>
      <c r="AV233" s="1">
        <v>10.0</v>
      </c>
      <c r="AW233" s="1">
        <v>3.0</v>
      </c>
      <c r="AX233" s="1" t="s">
        <v>74</v>
      </c>
      <c r="AY233" s="1" t="s">
        <v>74</v>
      </c>
      <c r="AZ233" s="1" t="s">
        <v>74</v>
      </c>
      <c r="BA233" s="1" t="s">
        <v>74</v>
      </c>
      <c r="BB233" s="1">
        <v>151.0</v>
      </c>
      <c r="BC233" s="1">
        <v>160.0</v>
      </c>
      <c r="BD233" s="1" t="s">
        <v>74</v>
      </c>
      <c r="BE233" s="1" t="s">
        <v>74</v>
      </c>
      <c r="BF233" s="1" t="s">
        <v>74</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2284</v>
      </c>
      <c r="BT233" s="1" t="str">
        <f>HYPERLINK("https%3A%2F%2Fwww.webofscience.com%2Fwos%2Fwoscc%2Ffull-record%2FWOS:A1997XU90500004","View Full Record in Web of Science")</f>
        <v>View Full Record in Web of Science</v>
      </c>
    </row>
    <row r="234" ht="12.75" customHeight="1">
      <c r="A234" s="1" t="s">
        <v>72</v>
      </c>
      <c r="B234" s="1" t="s">
        <v>2285</v>
      </c>
      <c r="C234" s="1" t="s">
        <v>74</v>
      </c>
      <c r="D234" s="1" t="s">
        <v>74</v>
      </c>
      <c r="E234" s="1" t="s">
        <v>74</v>
      </c>
      <c r="F234" s="1" t="s">
        <v>2285</v>
      </c>
      <c r="G234" s="1" t="s">
        <v>74</v>
      </c>
      <c r="H234" s="1" t="s">
        <v>74</v>
      </c>
      <c r="I234" s="1" t="s">
        <v>2286</v>
      </c>
      <c r="J234" s="1" t="s">
        <v>2287</v>
      </c>
      <c r="K234" s="1" t="s">
        <v>74</v>
      </c>
      <c r="L234" s="1" t="s">
        <v>74</v>
      </c>
      <c r="M234" s="1" t="s">
        <v>74</v>
      </c>
      <c r="N234" s="1" t="s">
        <v>74</v>
      </c>
      <c r="O234" s="1" t="s">
        <v>2288</v>
      </c>
      <c r="P234" s="1" t="s">
        <v>2289</v>
      </c>
      <c r="Q234" s="1" t="s">
        <v>2290</v>
      </c>
      <c r="R234" s="1" t="s">
        <v>2291</v>
      </c>
      <c r="S234" s="1" t="s">
        <v>74</v>
      </c>
      <c r="T234" s="1" t="s">
        <v>74</v>
      </c>
      <c r="U234" s="1" t="s">
        <v>74</v>
      </c>
      <c r="V234" s="1" t="s">
        <v>2292</v>
      </c>
      <c r="W234" s="1" t="s">
        <v>74</v>
      </c>
      <c r="X234" s="1" t="s">
        <v>74</v>
      </c>
      <c r="Y234" s="1" t="s">
        <v>74</v>
      </c>
      <c r="Z234" s="1" t="s">
        <v>74</v>
      </c>
      <c r="AA234" s="1" t="s">
        <v>74</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2293</v>
      </c>
      <c r="AP234" s="1" t="s">
        <v>2294</v>
      </c>
      <c r="AQ234" s="1" t="s">
        <v>74</v>
      </c>
      <c r="AR234" s="1" t="s">
        <v>74</v>
      </c>
      <c r="AS234" s="1" t="s">
        <v>74</v>
      </c>
      <c r="AT234" s="1" t="s">
        <v>2295</v>
      </c>
      <c r="AU234" s="1">
        <v>1996.0</v>
      </c>
      <c r="AV234" s="1">
        <v>327.0</v>
      </c>
      <c r="AW234" s="1" t="s">
        <v>74</v>
      </c>
      <c r="AX234" s="1" t="s">
        <v>74</v>
      </c>
      <c r="AY234" s="1" t="s">
        <v>74</v>
      </c>
      <c r="AZ234" s="1" t="s">
        <v>74</v>
      </c>
      <c r="BA234" s="1" t="s">
        <v>74</v>
      </c>
      <c r="BB234" s="1">
        <v>481.0</v>
      </c>
      <c r="BC234" s="1">
        <v>489.0</v>
      </c>
      <c r="BD234" s="1" t="s">
        <v>74</v>
      </c>
      <c r="BE234" s="1" t="s">
        <v>74</v>
      </c>
      <c r="BF234" s="1" t="s">
        <v>74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2296</v>
      </c>
      <c r="BT234" s="1" t="str">
        <f>HYPERLINK("https%3A%2F%2Fwww.webofscience.com%2Fwos%2Fwoscc%2Ffull-record%2FWOS:A1996VG10200073","View Full Record in Web of Science")</f>
        <v>View Full Record in Web of Science</v>
      </c>
    </row>
    <row r="235" ht="12.75" customHeight="1">
      <c r="A235" s="1" t="s">
        <v>72</v>
      </c>
      <c r="B235" s="1" t="s">
        <v>2297</v>
      </c>
      <c r="C235" s="1" t="s">
        <v>74</v>
      </c>
      <c r="D235" s="1" t="s">
        <v>74</v>
      </c>
      <c r="E235" s="1" t="s">
        <v>74</v>
      </c>
      <c r="F235" s="1" t="s">
        <v>2297</v>
      </c>
      <c r="G235" s="1" t="s">
        <v>74</v>
      </c>
      <c r="H235" s="1" t="s">
        <v>74</v>
      </c>
      <c r="I235" s="1" t="s">
        <v>2298</v>
      </c>
      <c r="J235" s="1" t="s">
        <v>2299</v>
      </c>
      <c r="K235" s="1" t="s">
        <v>74</v>
      </c>
      <c r="L235" s="1" t="s">
        <v>74</v>
      </c>
      <c r="M235" s="1" t="s">
        <v>74</v>
      </c>
      <c r="N235" s="1" t="s">
        <v>74</v>
      </c>
      <c r="O235" s="1" t="s">
        <v>74</v>
      </c>
      <c r="P235" s="1" t="s">
        <v>74</v>
      </c>
      <c r="Q235" s="1" t="s">
        <v>74</v>
      </c>
      <c r="R235" s="1" t="s">
        <v>74</v>
      </c>
      <c r="S235" s="1" t="s">
        <v>74</v>
      </c>
      <c r="T235" s="1" t="s">
        <v>74</v>
      </c>
      <c r="U235" s="1" t="s">
        <v>74</v>
      </c>
      <c r="V235" s="1" t="s">
        <v>74</v>
      </c>
      <c r="W235" s="1" t="s">
        <v>74</v>
      </c>
      <c r="X235" s="1" t="s">
        <v>74</v>
      </c>
      <c r="Y235" s="1" t="s">
        <v>74</v>
      </c>
      <c r="Z235" s="1" t="s">
        <v>74</v>
      </c>
      <c r="AA235" s="1" t="s">
        <v>74</v>
      </c>
      <c r="AB235" s="1" t="s">
        <v>74</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2300</v>
      </c>
      <c r="AP235" s="1" t="s">
        <v>74</v>
      </c>
      <c r="AQ235" s="1" t="s">
        <v>74</v>
      </c>
      <c r="AR235" s="1" t="s">
        <v>74</v>
      </c>
      <c r="AS235" s="1" t="s">
        <v>74</v>
      </c>
      <c r="AT235" s="1" t="s">
        <v>74</v>
      </c>
      <c r="AU235" s="1">
        <v>1985.0</v>
      </c>
      <c r="AV235" s="1">
        <v>57.0</v>
      </c>
      <c r="AW235" s="1">
        <v>2.0</v>
      </c>
      <c r="AX235" s="1" t="s">
        <v>74</v>
      </c>
      <c r="AY235" s="1" t="s">
        <v>74</v>
      </c>
      <c r="AZ235" s="1" t="s">
        <v>74</v>
      </c>
      <c r="BA235" s="1" t="s">
        <v>74</v>
      </c>
      <c r="BB235" s="1">
        <v>155.0</v>
      </c>
      <c r="BC235" s="1">
        <v>158.0</v>
      </c>
      <c r="BD235" s="1" t="s">
        <v>74</v>
      </c>
      <c r="BE235" s="1" t="s">
        <v>74</v>
      </c>
      <c r="BF235" s="1" t="s">
        <v>74</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2301</v>
      </c>
      <c r="BT235" s="1" t="str">
        <f>HYPERLINK("https%3A%2F%2Fwww.webofscience.com%2Fwos%2Fwoscc%2Ffull-record%2FWOS:A1985ATH5200003","View Full Record in Web of Science")</f>
        <v>View Full Record in Web of Science</v>
      </c>
    </row>
    <row r="236" ht="12.75" customHeight="1">
      <c r="A236" s="1" t="s">
        <v>72</v>
      </c>
      <c r="B236" s="1" t="s">
        <v>2302</v>
      </c>
      <c r="C236" s="1" t="s">
        <v>74</v>
      </c>
      <c r="D236" s="1" t="s">
        <v>74</v>
      </c>
      <c r="E236" s="1" t="s">
        <v>74</v>
      </c>
      <c r="F236" s="1" t="s">
        <v>2303</v>
      </c>
      <c r="G236" s="1" t="s">
        <v>74</v>
      </c>
      <c r="H236" s="1" t="s">
        <v>74</v>
      </c>
      <c r="I236" s="1" t="s">
        <v>2304</v>
      </c>
      <c r="J236" s="1" t="s">
        <v>2305</v>
      </c>
      <c r="K236" s="1" t="s">
        <v>74</v>
      </c>
      <c r="L236" s="1" t="s">
        <v>74</v>
      </c>
      <c r="M236" s="1" t="s">
        <v>74</v>
      </c>
      <c r="N236" s="1" t="s">
        <v>74</v>
      </c>
      <c r="O236" s="1" t="s">
        <v>74</v>
      </c>
      <c r="P236" s="1" t="s">
        <v>74</v>
      </c>
      <c r="Q236" s="1" t="s">
        <v>74</v>
      </c>
      <c r="R236" s="1" t="s">
        <v>74</v>
      </c>
      <c r="S236" s="1" t="s">
        <v>74</v>
      </c>
      <c r="T236" s="1" t="s">
        <v>74</v>
      </c>
      <c r="U236" s="1" t="s">
        <v>74</v>
      </c>
      <c r="V236" s="1" t="s">
        <v>2306</v>
      </c>
      <c r="W236" s="1" t="s">
        <v>74</v>
      </c>
      <c r="X236" s="1" t="s">
        <v>74</v>
      </c>
      <c r="Y236" s="1" t="s">
        <v>74</v>
      </c>
      <c r="Z236" s="1" t="s">
        <v>74</v>
      </c>
      <c r="AA236" s="1" t="s">
        <v>74</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2307</v>
      </c>
      <c r="AP236" s="1" t="s">
        <v>74</v>
      </c>
      <c r="AQ236" s="1" t="s">
        <v>74</v>
      </c>
      <c r="AR236" s="1" t="s">
        <v>74</v>
      </c>
      <c r="AS236" s="1" t="s">
        <v>74</v>
      </c>
      <c r="AT236" s="1" t="s">
        <v>2308</v>
      </c>
      <c r="AU236" s="1">
        <v>2022.0</v>
      </c>
      <c r="AV236" s="1">
        <v>23.0</v>
      </c>
      <c r="AW236" s="1">
        <v>5.0</v>
      </c>
      <c r="AX236" s="1" t="s">
        <v>74</v>
      </c>
      <c r="AY236" s="1" t="s">
        <v>74</v>
      </c>
      <c r="AZ236" s="1" t="s">
        <v>74</v>
      </c>
      <c r="BA236" s="1" t="s">
        <v>74</v>
      </c>
      <c r="BB236" s="1">
        <v>183.0</v>
      </c>
      <c r="BC236" s="1">
        <v>191.0</v>
      </c>
      <c r="BD236" s="1" t="s">
        <v>74</v>
      </c>
      <c r="BE236" s="1" t="s">
        <v>2309</v>
      </c>
      <c r="BF236" s="2" t="str">
        <f>HYPERLINK("http://dx.doi.org/10.24875/RMN.20000055","http://dx.doi.org/10.24875/RMN.20000055")</f>
        <v>http://dx.doi.org/10.24875/RMN.20000055</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2310</v>
      </c>
      <c r="BT236" s="1" t="str">
        <f>HYPERLINK("https%3A%2F%2Fwww.webofscience.com%2Fwos%2Fwoscc%2Ffull-record%2FWOS:000898561900006","View Full Record in Web of Science")</f>
        <v>View Full Record in Web of Science</v>
      </c>
    </row>
    <row r="237" ht="12.75" customHeight="1">
      <c r="A237" s="1" t="s">
        <v>72</v>
      </c>
      <c r="B237" s="1" t="s">
        <v>2311</v>
      </c>
      <c r="C237" s="1" t="s">
        <v>74</v>
      </c>
      <c r="D237" s="1" t="s">
        <v>74</v>
      </c>
      <c r="E237" s="1" t="s">
        <v>74</v>
      </c>
      <c r="F237" s="1" t="s">
        <v>2312</v>
      </c>
      <c r="G237" s="1" t="s">
        <v>74</v>
      </c>
      <c r="H237" s="1" t="s">
        <v>74</v>
      </c>
      <c r="I237" s="1" t="s">
        <v>2313</v>
      </c>
      <c r="J237" s="1" t="s">
        <v>2314</v>
      </c>
      <c r="K237" s="1" t="s">
        <v>74</v>
      </c>
      <c r="L237" s="1" t="s">
        <v>74</v>
      </c>
      <c r="M237" s="1" t="s">
        <v>74</v>
      </c>
      <c r="N237" s="1" t="s">
        <v>74</v>
      </c>
      <c r="O237" s="1" t="s">
        <v>74</v>
      </c>
      <c r="P237" s="1" t="s">
        <v>74</v>
      </c>
      <c r="Q237" s="1" t="s">
        <v>74</v>
      </c>
      <c r="R237" s="1" t="s">
        <v>74</v>
      </c>
      <c r="S237" s="1" t="s">
        <v>74</v>
      </c>
      <c r="T237" s="1" t="s">
        <v>74</v>
      </c>
      <c r="U237" s="1" t="s">
        <v>74</v>
      </c>
      <c r="V237" s="1" t="s">
        <v>2315</v>
      </c>
      <c r="W237" s="1" t="s">
        <v>74</v>
      </c>
      <c r="X237" s="1" t="s">
        <v>74</v>
      </c>
      <c r="Y237" s="1" t="s">
        <v>74</v>
      </c>
      <c r="Z237" s="1" t="s">
        <v>74</v>
      </c>
      <c r="AA237" s="1" t="s">
        <v>2316</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2317</v>
      </c>
      <c r="AP237" s="1" t="s">
        <v>2318</v>
      </c>
      <c r="AQ237" s="1" t="s">
        <v>74</v>
      </c>
      <c r="AR237" s="1" t="s">
        <v>74</v>
      </c>
      <c r="AS237" s="1" t="s">
        <v>74</v>
      </c>
      <c r="AT237" s="1" t="s">
        <v>183</v>
      </c>
      <c r="AU237" s="1">
        <v>2022.0</v>
      </c>
      <c r="AV237" s="1" t="s">
        <v>74</v>
      </c>
      <c r="AW237" s="1" t="s">
        <v>74</v>
      </c>
      <c r="AX237" s="1" t="s">
        <v>74</v>
      </c>
      <c r="AY237" s="1" t="s">
        <v>74</v>
      </c>
      <c r="AZ237" s="1" t="s">
        <v>2319</v>
      </c>
      <c r="BA237" s="1" t="s">
        <v>74</v>
      </c>
      <c r="BB237" s="1">
        <v>94.0</v>
      </c>
      <c r="BC237" s="1">
        <v>113.0</v>
      </c>
      <c r="BD237" s="1" t="s">
        <v>74</v>
      </c>
      <c r="BE237" s="1" t="s">
        <v>2320</v>
      </c>
      <c r="BF237" s="2" t="str">
        <f>HYPERLINK("http://dx.doi.org/10.7764/onomazein.ne10.06","http://dx.doi.org/10.7764/onomazein.ne10.06")</f>
        <v>http://dx.doi.org/10.7764/onomazein.ne10.06</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2321</v>
      </c>
      <c r="BT237" s="1" t="str">
        <f>HYPERLINK("https%3A%2F%2Fwww.webofscience.com%2Fwos%2Fwoscc%2Ffull-record%2FWOS:000861022500006","View Full Record in Web of Science")</f>
        <v>View Full Record in Web of Science</v>
      </c>
    </row>
    <row r="238" ht="12.75" customHeight="1">
      <c r="A238" s="1" t="s">
        <v>72</v>
      </c>
      <c r="B238" s="1" t="s">
        <v>2322</v>
      </c>
      <c r="C238" s="1" t="s">
        <v>74</v>
      </c>
      <c r="D238" s="1" t="s">
        <v>74</v>
      </c>
      <c r="E238" s="1" t="s">
        <v>74</v>
      </c>
      <c r="F238" s="1" t="s">
        <v>2323</v>
      </c>
      <c r="G238" s="1" t="s">
        <v>74</v>
      </c>
      <c r="H238" s="1" t="s">
        <v>74</v>
      </c>
      <c r="I238" s="1" t="s">
        <v>2324</v>
      </c>
      <c r="J238" s="1" t="s">
        <v>1448</v>
      </c>
      <c r="K238" s="1" t="s">
        <v>74</v>
      </c>
      <c r="L238" s="1" t="s">
        <v>74</v>
      </c>
      <c r="M238" s="1" t="s">
        <v>74</v>
      </c>
      <c r="N238" s="1" t="s">
        <v>74</v>
      </c>
      <c r="O238" s="1" t="s">
        <v>74</v>
      </c>
      <c r="P238" s="1" t="s">
        <v>74</v>
      </c>
      <c r="Q238" s="1" t="s">
        <v>74</v>
      </c>
      <c r="R238" s="1" t="s">
        <v>74</v>
      </c>
      <c r="S238" s="1" t="s">
        <v>74</v>
      </c>
      <c r="T238" s="1" t="s">
        <v>74</v>
      </c>
      <c r="U238" s="1" t="s">
        <v>74</v>
      </c>
      <c r="V238" s="1" t="s">
        <v>2325</v>
      </c>
      <c r="W238" s="1" t="s">
        <v>74</v>
      </c>
      <c r="X238" s="1" t="s">
        <v>74</v>
      </c>
      <c r="Y238" s="1" t="s">
        <v>74</v>
      </c>
      <c r="Z238" s="1" t="s">
        <v>74</v>
      </c>
      <c r="AA238" s="1" t="s">
        <v>74</v>
      </c>
      <c r="AB238" s="1" t="s">
        <v>74</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1450</v>
      </c>
      <c r="AP238" s="1" t="s">
        <v>1451</v>
      </c>
      <c r="AQ238" s="1" t="s">
        <v>74</v>
      </c>
      <c r="AR238" s="1" t="s">
        <v>74</v>
      </c>
      <c r="AS238" s="1" t="s">
        <v>74</v>
      </c>
      <c r="AT238" s="1" t="s">
        <v>74</v>
      </c>
      <c r="AU238" s="1">
        <v>2022.0</v>
      </c>
      <c r="AV238" s="1">
        <v>31.0</v>
      </c>
      <c r="AW238" s="1">
        <v>1.0</v>
      </c>
      <c r="AX238" s="1" t="s">
        <v>74</v>
      </c>
      <c r="AY238" s="1" t="s">
        <v>74</v>
      </c>
      <c r="AZ238" s="1" t="s">
        <v>74</v>
      </c>
      <c r="BA238" s="1" t="s">
        <v>74</v>
      </c>
      <c r="BB238" s="1">
        <v>1.0</v>
      </c>
      <c r="BC238" s="1">
        <v>14.0</v>
      </c>
      <c r="BD238" s="1" t="s">
        <v>74</v>
      </c>
      <c r="BE238" s="1" t="s">
        <v>2326</v>
      </c>
      <c r="BF238" s="2" t="str">
        <f>HYPERLINK("http://dx.doi.org/10.1590/S0104-12902022200891","http://dx.doi.org/10.1590/S0104-12902022200891")</f>
        <v>http://dx.doi.org/10.1590/S0104-12902022200891</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2327</v>
      </c>
      <c r="BT238" s="1" t="str">
        <f>HYPERLINK("https%3A%2F%2Fwww.webofscience.com%2Fwos%2Fwoscc%2Ffull-record%2FWOS:000760821800001","View Full Record in Web of Science")</f>
        <v>View Full Record in Web of Science</v>
      </c>
    </row>
    <row r="239" ht="12.75" customHeight="1">
      <c r="A239" s="1" t="s">
        <v>241</v>
      </c>
      <c r="B239" s="1" t="s">
        <v>2328</v>
      </c>
      <c r="C239" s="1" t="s">
        <v>74</v>
      </c>
      <c r="D239" s="1" t="s">
        <v>74</v>
      </c>
      <c r="E239" s="1" t="s">
        <v>427</v>
      </c>
      <c r="F239" s="1" t="s">
        <v>2329</v>
      </c>
      <c r="G239" s="1" t="s">
        <v>74</v>
      </c>
      <c r="H239" s="1" t="s">
        <v>74</v>
      </c>
      <c r="I239" s="1" t="s">
        <v>2330</v>
      </c>
      <c r="J239" s="1" t="s">
        <v>2331</v>
      </c>
      <c r="K239" s="1" t="s">
        <v>2332</v>
      </c>
      <c r="L239" s="1" t="s">
        <v>74</v>
      </c>
      <c r="M239" s="1" t="s">
        <v>74</v>
      </c>
      <c r="N239" s="1" t="s">
        <v>74</v>
      </c>
      <c r="O239" s="1" t="s">
        <v>2333</v>
      </c>
      <c r="P239" s="1" t="s">
        <v>2334</v>
      </c>
      <c r="Q239" s="1" t="s">
        <v>2335</v>
      </c>
      <c r="R239" s="1" t="s">
        <v>2336</v>
      </c>
      <c r="S239" s="1" t="s">
        <v>74</v>
      </c>
      <c r="T239" s="1" t="s">
        <v>74</v>
      </c>
      <c r="U239" s="1" t="s">
        <v>74</v>
      </c>
      <c r="V239" s="1" t="s">
        <v>2337</v>
      </c>
      <c r="W239" s="1" t="s">
        <v>74</v>
      </c>
      <c r="X239" s="1" t="s">
        <v>74</v>
      </c>
      <c r="Y239" s="1" t="s">
        <v>74</v>
      </c>
      <c r="Z239" s="1" t="s">
        <v>74</v>
      </c>
      <c r="AA239" s="1" t="s">
        <v>2338</v>
      </c>
      <c r="AB239" s="1" t="s">
        <v>2339</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2340</v>
      </c>
      <c r="AP239" s="1" t="s">
        <v>74</v>
      </c>
      <c r="AQ239" s="1" t="s">
        <v>2341</v>
      </c>
      <c r="AR239" s="1" t="s">
        <v>74</v>
      </c>
      <c r="AS239" s="1" t="s">
        <v>74</v>
      </c>
      <c r="AT239" s="1" t="s">
        <v>74</v>
      </c>
      <c r="AU239" s="1">
        <v>2020.0</v>
      </c>
      <c r="AV239" s="1" t="s">
        <v>74</v>
      </c>
      <c r="AW239" s="1" t="s">
        <v>74</v>
      </c>
      <c r="AX239" s="1" t="s">
        <v>74</v>
      </c>
      <c r="AY239" s="1" t="s">
        <v>74</v>
      </c>
      <c r="AZ239" s="1" t="s">
        <v>74</v>
      </c>
      <c r="BA239" s="1" t="s">
        <v>74</v>
      </c>
      <c r="BB239" s="1" t="s">
        <v>74</v>
      </c>
      <c r="BC239" s="1" t="s">
        <v>74</v>
      </c>
      <c r="BD239" s="1" t="s">
        <v>74</v>
      </c>
      <c r="BE239" s="1" t="s">
        <v>2342</v>
      </c>
      <c r="BF239" s="2" t="str">
        <f>HYPERLINK("http://dx.doi.org/10.1109/CIIBMS50712.2020.9336398","http://dx.doi.org/10.1109/CIIBMS50712.2020.9336398")</f>
        <v>http://dx.doi.org/10.1109/CIIBMS50712.2020.9336398</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2343</v>
      </c>
      <c r="BT239" s="1" t="str">
        <f>HYPERLINK("https%3A%2F%2Fwww.webofscience.com%2Fwos%2Fwoscc%2Ffull-record%2FWOS:000659932400001","View Full Record in Web of Science")</f>
        <v>View Full Record in Web of Science</v>
      </c>
    </row>
    <row r="240" ht="12.75" customHeight="1">
      <c r="A240" s="1" t="s">
        <v>72</v>
      </c>
      <c r="B240" s="1" t="s">
        <v>2344</v>
      </c>
      <c r="C240" s="1" t="s">
        <v>74</v>
      </c>
      <c r="D240" s="1" t="s">
        <v>74</v>
      </c>
      <c r="E240" s="1" t="s">
        <v>74</v>
      </c>
      <c r="F240" s="1" t="s">
        <v>2345</v>
      </c>
      <c r="G240" s="1" t="s">
        <v>74</v>
      </c>
      <c r="H240" s="1" t="s">
        <v>74</v>
      </c>
      <c r="I240" s="1" t="s">
        <v>2346</v>
      </c>
      <c r="J240" s="1" t="s">
        <v>2347</v>
      </c>
      <c r="K240" s="1" t="s">
        <v>74</v>
      </c>
      <c r="L240" s="1" t="s">
        <v>74</v>
      </c>
      <c r="M240" s="1" t="s">
        <v>74</v>
      </c>
      <c r="N240" s="1" t="s">
        <v>74</v>
      </c>
      <c r="O240" s="1" t="s">
        <v>74</v>
      </c>
      <c r="P240" s="1" t="s">
        <v>74</v>
      </c>
      <c r="Q240" s="1" t="s">
        <v>74</v>
      </c>
      <c r="R240" s="1" t="s">
        <v>74</v>
      </c>
      <c r="S240" s="1" t="s">
        <v>74</v>
      </c>
      <c r="T240" s="1" t="s">
        <v>74</v>
      </c>
      <c r="U240" s="1" t="s">
        <v>74</v>
      </c>
      <c r="V240" s="1" t="s">
        <v>2348</v>
      </c>
      <c r="W240" s="1" t="s">
        <v>74</v>
      </c>
      <c r="X240" s="1" t="s">
        <v>74</v>
      </c>
      <c r="Y240" s="1" t="s">
        <v>74</v>
      </c>
      <c r="Z240" s="1" t="s">
        <v>74</v>
      </c>
      <c r="AA240" s="1" t="s">
        <v>2349</v>
      </c>
      <c r="AB240" s="1" t="s">
        <v>2350</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2351</v>
      </c>
      <c r="AP240" s="1" t="s">
        <v>2352</v>
      </c>
      <c r="AQ240" s="1" t="s">
        <v>74</v>
      </c>
      <c r="AR240" s="1" t="s">
        <v>74</v>
      </c>
      <c r="AS240" s="1" t="s">
        <v>74</v>
      </c>
      <c r="AT240" s="1" t="s">
        <v>160</v>
      </c>
      <c r="AU240" s="1">
        <v>2019.0</v>
      </c>
      <c r="AV240" s="1">
        <v>23.0</v>
      </c>
      <c r="AW240" s="1">
        <v>12.0</v>
      </c>
      <c r="AX240" s="1" t="s">
        <v>74</v>
      </c>
      <c r="AY240" s="1" t="s">
        <v>74</v>
      </c>
      <c r="AZ240" s="1" t="s">
        <v>74</v>
      </c>
      <c r="BA240" s="1" t="s">
        <v>74</v>
      </c>
      <c r="BB240" s="1">
        <v>3225.0</v>
      </c>
      <c r="BC240" s="1">
        <v>3229.0</v>
      </c>
      <c r="BD240" s="1" t="s">
        <v>74</v>
      </c>
      <c r="BE240" s="1" t="s">
        <v>2353</v>
      </c>
      <c r="BF240" s="2" t="str">
        <f>HYPERLINK("http://dx.doi.org/10.1007/s10008-019-04405-3","http://dx.doi.org/10.1007/s10008-019-04405-3")</f>
        <v>http://dx.doi.org/10.1007/s10008-019-04405-3</v>
      </c>
      <c r="BG240" s="1" t="s">
        <v>74</v>
      </c>
      <c r="BH240" s="1" t="s">
        <v>2354</v>
      </c>
      <c r="BI240" s="1" t="s">
        <v>74</v>
      </c>
      <c r="BJ240" s="1" t="s">
        <v>74</v>
      </c>
      <c r="BK240" s="1" t="s">
        <v>74</v>
      </c>
      <c r="BL240" s="1" t="s">
        <v>74</v>
      </c>
      <c r="BM240" s="1" t="s">
        <v>74</v>
      </c>
      <c r="BN240" s="1" t="s">
        <v>74</v>
      </c>
      <c r="BO240" s="1" t="s">
        <v>74</v>
      </c>
      <c r="BP240" s="1" t="s">
        <v>74</v>
      </c>
      <c r="BQ240" s="1" t="s">
        <v>74</v>
      </c>
      <c r="BR240" s="1" t="s">
        <v>74</v>
      </c>
      <c r="BS240" s="1" t="s">
        <v>2355</v>
      </c>
      <c r="BT240" s="1" t="str">
        <f>HYPERLINK("https%3A%2F%2Fwww.webofscience.com%2Fwos%2Fwoscc%2Ffull-record%2FWOS:000493784000001","View Full Record in Web of Science")</f>
        <v>View Full Record in Web of Science</v>
      </c>
    </row>
    <row r="241" ht="12.75" customHeight="1">
      <c r="A241" s="1" t="s">
        <v>72</v>
      </c>
      <c r="B241" s="1" t="s">
        <v>2356</v>
      </c>
      <c r="C241" s="1" t="s">
        <v>74</v>
      </c>
      <c r="D241" s="1" t="s">
        <v>74</v>
      </c>
      <c r="E241" s="1" t="s">
        <v>74</v>
      </c>
      <c r="F241" s="1" t="s">
        <v>2357</v>
      </c>
      <c r="G241" s="1" t="s">
        <v>74</v>
      </c>
      <c r="H241" s="1" t="s">
        <v>74</v>
      </c>
      <c r="I241" s="1" t="s">
        <v>2358</v>
      </c>
      <c r="J241" s="1" t="s">
        <v>1847</v>
      </c>
      <c r="K241" s="1" t="s">
        <v>74</v>
      </c>
      <c r="L241" s="1" t="s">
        <v>74</v>
      </c>
      <c r="M241" s="1" t="s">
        <v>74</v>
      </c>
      <c r="N241" s="1" t="s">
        <v>74</v>
      </c>
      <c r="O241" s="1" t="s">
        <v>74</v>
      </c>
      <c r="P241" s="1" t="s">
        <v>74</v>
      </c>
      <c r="Q241" s="1" t="s">
        <v>74</v>
      </c>
      <c r="R241" s="1" t="s">
        <v>74</v>
      </c>
      <c r="S241" s="1" t="s">
        <v>74</v>
      </c>
      <c r="T241" s="1" t="s">
        <v>74</v>
      </c>
      <c r="U241" s="1" t="s">
        <v>74</v>
      </c>
      <c r="V241" s="1" t="s">
        <v>74</v>
      </c>
      <c r="W241" s="1" t="s">
        <v>74</v>
      </c>
      <c r="X241" s="1" t="s">
        <v>74</v>
      </c>
      <c r="Y241" s="1" t="s">
        <v>74</v>
      </c>
      <c r="Z241" s="1" t="s">
        <v>74</v>
      </c>
      <c r="AA241" s="1" t="s">
        <v>2359</v>
      </c>
      <c r="AB241" s="1" t="s">
        <v>2360</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1848</v>
      </c>
      <c r="AP241" s="1" t="s">
        <v>2361</v>
      </c>
      <c r="AQ241" s="1" t="s">
        <v>74</v>
      </c>
      <c r="AR241" s="1" t="s">
        <v>74</v>
      </c>
      <c r="AS241" s="1" t="s">
        <v>74</v>
      </c>
      <c r="AT241" s="1" t="s">
        <v>343</v>
      </c>
      <c r="AU241" s="1">
        <v>2019.0</v>
      </c>
      <c r="AV241" s="1">
        <v>91.0</v>
      </c>
      <c r="AW241" s="1" t="s">
        <v>74</v>
      </c>
      <c r="AX241" s="1" t="s">
        <v>74</v>
      </c>
      <c r="AY241" s="1" t="s">
        <v>74</v>
      </c>
      <c r="AZ241" s="1" t="s">
        <v>74</v>
      </c>
      <c r="BA241" s="1" t="s">
        <v>2362</v>
      </c>
      <c r="BB241" s="1">
        <v>450.0</v>
      </c>
      <c r="BC241" s="1">
        <v>451.0</v>
      </c>
      <c r="BD241" s="1" t="s">
        <v>74</v>
      </c>
      <c r="BE241" s="1" t="s">
        <v>2363</v>
      </c>
      <c r="BF241" s="2" t="str">
        <f>HYPERLINK("http://dx.doi.org/10.1016/j.fsi.2019.04.235","http://dx.doi.org/10.1016/j.fsi.2019.04.235")</f>
        <v>http://dx.doi.org/10.1016/j.fsi.2019.04.235</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2364</v>
      </c>
      <c r="BT241" s="1" t="str">
        <f>HYPERLINK("https%3A%2F%2Fwww.webofscience.com%2Fwos%2Fwoscc%2Ffull-record%2FWOS:000474676700208","View Full Record in Web of Science")</f>
        <v>View Full Record in Web of Science</v>
      </c>
    </row>
    <row r="242" ht="12.75" customHeight="1">
      <c r="A242" s="1" t="s">
        <v>72</v>
      </c>
      <c r="B242" s="1" t="s">
        <v>2365</v>
      </c>
      <c r="C242" s="1" t="s">
        <v>74</v>
      </c>
      <c r="D242" s="1" t="s">
        <v>74</v>
      </c>
      <c r="E242" s="1" t="s">
        <v>74</v>
      </c>
      <c r="F242" s="1" t="s">
        <v>2366</v>
      </c>
      <c r="G242" s="1" t="s">
        <v>74</v>
      </c>
      <c r="H242" s="1" t="s">
        <v>74</v>
      </c>
      <c r="I242" s="1" t="s">
        <v>2367</v>
      </c>
      <c r="J242" s="1" t="s">
        <v>736</v>
      </c>
      <c r="K242" s="1" t="s">
        <v>74</v>
      </c>
      <c r="L242" s="1" t="s">
        <v>74</v>
      </c>
      <c r="M242" s="1" t="s">
        <v>74</v>
      </c>
      <c r="N242" s="1" t="s">
        <v>74</v>
      </c>
      <c r="O242" s="1" t="s">
        <v>74</v>
      </c>
      <c r="P242" s="1" t="s">
        <v>74</v>
      </c>
      <c r="Q242" s="1" t="s">
        <v>74</v>
      </c>
      <c r="R242" s="1" t="s">
        <v>74</v>
      </c>
      <c r="S242" s="1" t="s">
        <v>74</v>
      </c>
      <c r="T242" s="1" t="s">
        <v>74</v>
      </c>
      <c r="U242" s="1" t="s">
        <v>74</v>
      </c>
      <c r="V242" s="1" t="s">
        <v>2368</v>
      </c>
      <c r="W242" s="1" t="s">
        <v>74</v>
      </c>
      <c r="X242" s="1" t="s">
        <v>74</v>
      </c>
      <c r="Y242" s="1" t="s">
        <v>74</v>
      </c>
      <c r="Z242" s="1" t="s">
        <v>74</v>
      </c>
      <c r="AA242" s="1" t="s">
        <v>2369</v>
      </c>
      <c r="AB242" s="1" t="s">
        <v>2370</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740</v>
      </c>
      <c r="AP242" s="1" t="s">
        <v>741</v>
      </c>
      <c r="AQ242" s="1" t="s">
        <v>74</v>
      </c>
      <c r="AR242" s="1" t="s">
        <v>74</v>
      </c>
      <c r="AS242" s="1" t="s">
        <v>74</v>
      </c>
      <c r="AT242" s="1" t="s">
        <v>183</v>
      </c>
      <c r="AU242" s="1">
        <v>2019.0</v>
      </c>
      <c r="AV242" s="1">
        <v>280.0</v>
      </c>
      <c r="AW242" s="1" t="s">
        <v>74</v>
      </c>
      <c r="AX242" s="1" t="s">
        <v>74</v>
      </c>
      <c r="AY242" s="1" t="s">
        <v>74</v>
      </c>
      <c r="AZ242" s="1" t="s">
        <v>74</v>
      </c>
      <c r="BA242" s="1" t="s">
        <v>74</v>
      </c>
      <c r="BB242" s="1">
        <v>478.0</v>
      </c>
      <c r="BC242" s="1">
        <v>488.0</v>
      </c>
      <c r="BD242" s="1" t="s">
        <v>74</v>
      </c>
      <c r="BE242" s="1" t="s">
        <v>2371</v>
      </c>
      <c r="BF242" s="2" t="str">
        <f>HYPERLINK("http://dx.doi.org/10.1016/j.biortech.2019.02.008","http://dx.doi.org/10.1016/j.biortech.2019.02.008")</f>
        <v>http://dx.doi.org/10.1016/j.biortech.2019.02.008</v>
      </c>
      <c r="BG242" s="1" t="s">
        <v>74</v>
      </c>
      <c r="BH242" s="1" t="s">
        <v>74</v>
      </c>
      <c r="BI242" s="1" t="s">
        <v>74</v>
      </c>
      <c r="BJ242" s="1" t="s">
        <v>74</v>
      </c>
      <c r="BK242" s="1" t="s">
        <v>74</v>
      </c>
      <c r="BL242" s="1" t="s">
        <v>74</v>
      </c>
      <c r="BM242" s="1" t="s">
        <v>74</v>
      </c>
      <c r="BN242" s="1">
        <v>3.0826176E7</v>
      </c>
      <c r="BO242" s="1" t="s">
        <v>74</v>
      </c>
      <c r="BP242" s="1" t="s">
        <v>74</v>
      </c>
      <c r="BQ242" s="1" t="s">
        <v>74</v>
      </c>
      <c r="BR242" s="1" t="s">
        <v>74</v>
      </c>
      <c r="BS242" s="1" t="s">
        <v>2372</v>
      </c>
      <c r="BT242" s="1" t="str">
        <f>HYPERLINK("https%3A%2F%2Fwww.webofscience.com%2Fwos%2Fwoscc%2Ffull-record%2FWOS:000460896800054","View Full Record in Web of Science")</f>
        <v>View Full Record in Web of Science</v>
      </c>
    </row>
    <row r="243" ht="12.75" customHeight="1">
      <c r="A243" s="1" t="s">
        <v>72</v>
      </c>
      <c r="B243" s="1" t="s">
        <v>2373</v>
      </c>
      <c r="C243" s="1" t="s">
        <v>74</v>
      </c>
      <c r="D243" s="1" t="s">
        <v>74</v>
      </c>
      <c r="E243" s="1" t="s">
        <v>74</v>
      </c>
      <c r="F243" s="1" t="s">
        <v>2374</v>
      </c>
      <c r="G243" s="1" t="s">
        <v>74</v>
      </c>
      <c r="H243" s="1" t="s">
        <v>74</v>
      </c>
      <c r="I243" s="1" t="s">
        <v>2375</v>
      </c>
      <c r="J243" s="1" t="s">
        <v>2376</v>
      </c>
      <c r="K243" s="1" t="s">
        <v>74</v>
      </c>
      <c r="L243" s="1" t="s">
        <v>74</v>
      </c>
      <c r="M243" s="1" t="s">
        <v>74</v>
      </c>
      <c r="N243" s="1" t="s">
        <v>74</v>
      </c>
      <c r="O243" s="1" t="s">
        <v>74</v>
      </c>
      <c r="P243" s="1" t="s">
        <v>74</v>
      </c>
      <c r="Q243" s="1" t="s">
        <v>74</v>
      </c>
      <c r="R243" s="1" t="s">
        <v>74</v>
      </c>
      <c r="S243" s="1" t="s">
        <v>74</v>
      </c>
      <c r="T243" s="1" t="s">
        <v>74</v>
      </c>
      <c r="U243" s="1" t="s">
        <v>74</v>
      </c>
      <c r="V243" s="1" t="s">
        <v>2377</v>
      </c>
      <c r="W243" s="1" t="s">
        <v>74</v>
      </c>
      <c r="X243" s="1" t="s">
        <v>74</v>
      </c>
      <c r="Y243" s="1" t="s">
        <v>74</v>
      </c>
      <c r="Z243" s="1" t="s">
        <v>74</v>
      </c>
      <c r="AA243" s="1" t="s">
        <v>1468</v>
      </c>
      <c r="AB243" s="1" t="s">
        <v>2378</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2379</v>
      </c>
      <c r="AP243" s="1" t="s">
        <v>2380</v>
      </c>
      <c r="AQ243" s="1" t="s">
        <v>74</v>
      </c>
      <c r="AR243" s="1" t="s">
        <v>74</v>
      </c>
      <c r="AS243" s="1" t="s">
        <v>74</v>
      </c>
      <c r="AT243" s="1" t="s">
        <v>174</v>
      </c>
      <c r="AU243" s="1">
        <v>2019.0</v>
      </c>
      <c r="AV243" s="1">
        <v>34.0</v>
      </c>
      <c r="AW243" s="1">
        <v>2.0</v>
      </c>
      <c r="AX243" s="1" t="s">
        <v>74</v>
      </c>
      <c r="AY243" s="1" t="s">
        <v>74</v>
      </c>
      <c r="AZ243" s="1" t="s">
        <v>74</v>
      </c>
      <c r="BA243" s="1" t="s">
        <v>74</v>
      </c>
      <c r="BB243" s="1" t="s">
        <v>2381</v>
      </c>
      <c r="BC243" s="1" t="s">
        <v>2382</v>
      </c>
      <c r="BD243" s="1" t="s">
        <v>74</v>
      </c>
      <c r="BE243" s="1" t="s">
        <v>2383</v>
      </c>
      <c r="BF243" s="2" t="str">
        <f>HYPERLINK("http://dx.doi.org/10.1002/hpm.2751","http://dx.doi.org/10.1002/hpm.2751")</f>
        <v>http://dx.doi.org/10.1002/hpm.2751</v>
      </c>
      <c r="BG243" s="1" t="s">
        <v>74</v>
      </c>
      <c r="BH243" s="1" t="s">
        <v>74</v>
      </c>
      <c r="BI243" s="1" t="s">
        <v>74</v>
      </c>
      <c r="BJ243" s="1" t="s">
        <v>74</v>
      </c>
      <c r="BK243" s="1" t="s">
        <v>74</v>
      </c>
      <c r="BL243" s="1" t="s">
        <v>74</v>
      </c>
      <c r="BM243" s="1" t="s">
        <v>74</v>
      </c>
      <c r="BN243" s="1">
        <v>3.0793372E7</v>
      </c>
      <c r="BO243" s="1" t="s">
        <v>74</v>
      </c>
      <c r="BP243" s="1" t="s">
        <v>74</v>
      </c>
      <c r="BQ243" s="1" t="s">
        <v>74</v>
      </c>
      <c r="BR243" s="1" t="s">
        <v>74</v>
      </c>
      <c r="BS243" s="1" t="s">
        <v>2384</v>
      </c>
      <c r="BT243" s="1" t="str">
        <f>HYPERLINK("https%3A%2F%2Fwww.webofscience.com%2Fwos%2Fwoscc%2Ffull-record%2FWOS:000474590200033","View Full Record in Web of Science")</f>
        <v>View Full Record in Web of Science</v>
      </c>
    </row>
    <row r="244" ht="12.75" customHeight="1">
      <c r="A244" s="1" t="s">
        <v>442</v>
      </c>
      <c r="B244" s="1" t="s">
        <v>2385</v>
      </c>
      <c r="C244" s="1" t="s">
        <v>2386</v>
      </c>
      <c r="D244" s="1" t="s">
        <v>74</v>
      </c>
      <c r="E244" s="1" t="s">
        <v>74</v>
      </c>
      <c r="F244" s="1" t="s">
        <v>2387</v>
      </c>
      <c r="G244" s="1" t="s">
        <v>2386</v>
      </c>
      <c r="H244" s="1" t="s">
        <v>74</v>
      </c>
      <c r="I244" s="1" t="s">
        <v>2388</v>
      </c>
      <c r="J244" s="1" t="s">
        <v>2389</v>
      </c>
      <c r="K244" s="1" t="s">
        <v>74</v>
      </c>
      <c r="L244" s="1" t="s">
        <v>74</v>
      </c>
      <c r="M244" s="1" t="s">
        <v>74</v>
      </c>
      <c r="N244" s="1" t="s">
        <v>74</v>
      </c>
      <c r="O244" s="1" t="s">
        <v>74</v>
      </c>
      <c r="P244" s="1" t="s">
        <v>74</v>
      </c>
      <c r="Q244" s="1" t="s">
        <v>74</v>
      </c>
      <c r="R244" s="1" t="s">
        <v>74</v>
      </c>
      <c r="S244" s="1" t="s">
        <v>74</v>
      </c>
      <c r="T244" s="1" t="s">
        <v>74</v>
      </c>
      <c r="U244" s="1" t="s">
        <v>74</v>
      </c>
      <c r="V244" s="1" t="s">
        <v>74</v>
      </c>
      <c r="W244" s="1" t="s">
        <v>74</v>
      </c>
      <c r="X244" s="1" t="s">
        <v>74</v>
      </c>
      <c r="Y244" s="1" t="s">
        <v>74</v>
      </c>
      <c r="Z244" s="1" t="s">
        <v>74</v>
      </c>
      <c r="AA244" s="1" t="s">
        <v>74</v>
      </c>
      <c r="AB244" s="1" t="s">
        <v>74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74</v>
      </c>
      <c r="AP244" s="1" t="s">
        <v>74</v>
      </c>
      <c r="AQ244" s="1" t="s">
        <v>2390</v>
      </c>
      <c r="AR244" s="1" t="s">
        <v>74</v>
      </c>
      <c r="AS244" s="1" t="s">
        <v>74</v>
      </c>
      <c r="AT244" s="1" t="s">
        <v>74</v>
      </c>
      <c r="AU244" s="1">
        <v>2019.0</v>
      </c>
      <c r="AV244" s="1" t="s">
        <v>74</v>
      </c>
      <c r="AW244" s="1" t="s">
        <v>74</v>
      </c>
      <c r="AX244" s="1" t="s">
        <v>74</v>
      </c>
      <c r="AY244" s="1" t="s">
        <v>74</v>
      </c>
      <c r="AZ244" s="1" t="s">
        <v>74</v>
      </c>
      <c r="BA244" s="1" t="s">
        <v>74</v>
      </c>
      <c r="BB244" s="1">
        <v>41.0</v>
      </c>
      <c r="BC244" s="1">
        <v>60.0</v>
      </c>
      <c r="BD244" s="1" t="s">
        <v>74</v>
      </c>
      <c r="BE244" s="1" t="s">
        <v>74</v>
      </c>
      <c r="BF244" s="1" t="s">
        <v>74</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2391</v>
      </c>
      <c r="BT244" s="1" t="str">
        <f>HYPERLINK("https%3A%2F%2Fwww.webofscience.com%2Fwos%2Fwoscc%2Ffull-record%2FWOS:000887018400004","View Full Record in Web of Science")</f>
        <v>View Full Record in Web of Science</v>
      </c>
    </row>
    <row r="245" ht="12.75" customHeight="1">
      <c r="A245" s="1" t="s">
        <v>72</v>
      </c>
      <c r="B245" s="1" t="s">
        <v>2392</v>
      </c>
      <c r="C245" s="1" t="s">
        <v>74</v>
      </c>
      <c r="D245" s="1" t="s">
        <v>74</v>
      </c>
      <c r="E245" s="1" t="s">
        <v>74</v>
      </c>
      <c r="F245" s="1" t="s">
        <v>2393</v>
      </c>
      <c r="G245" s="1" t="s">
        <v>74</v>
      </c>
      <c r="H245" s="1" t="s">
        <v>74</v>
      </c>
      <c r="I245" s="1" t="s">
        <v>2394</v>
      </c>
      <c r="J245" s="1" t="s">
        <v>1847</v>
      </c>
      <c r="K245" s="1" t="s">
        <v>74</v>
      </c>
      <c r="L245" s="1" t="s">
        <v>74</v>
      </c>
      <c r="M245" s="1" t="s">
        <v>74</v>
      </c>
      <c r="N245" s="1" t="s">
        <v>74</v>
      </c>
      <c r="O245" s="1" t="s">
        <v>74</v>
      </c>
      <c r="P245" s="1" t="s">
        <v>74</v>
      </c>
      <c r="Q245" s="1" t="s">
        <v>74</v>
      </c>
      <c r="R245" s="1" t="s">
        <v>74</v>
      </c>
      <c r="S245" s="1" t="s">
        <v>74</v>
      </c>
      <c r="T245" s="1" t="s">
        <v>74</v>
      </c>
      <c r="U245" s="1" t="s">
        <v>74</v>
      </c>
      <c r="V245" s="1" t="s">
        <v>74</v>
      </c>
      <c r="W245" s="1" t="s">
        <v>74</v>
      </c>
      <c r="X245" s="1" t="s">
        <v>74</v>
      </c>
      <c r="Y245" s="1" t="s">
        <v>74</v>
      </c>
      <c r="Z245" s="1" t="s">
        <v>74</v>
      </c>
      <c r="AA245" s="1" t="s">
        <v>74</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1848</v>
      </c>
      <c r="AP245" s="1" t="s">
        <v>2361</v>
      </c>
      <c r="AQ245" s="1" t="s">
        <v>74</v>
      </c>
      <c r="AR245" s="1" t="s">
        <v>74</v>
      </c>
      <c r="AS245" s="1" t="s">
        <v>74</v>
      </c>
      <c r="AT245" s="1" t="s">
        <v>82</v>
      </c>
      <c r="AU245" s="1">
        <v>2016.0</v>
      </c>
      <c r="AV245" s="1">
        <v>53.0</v>
      </c>
      <c r="AW245" s="1" t="s">
        <v>74</v>
      </c>
      <c r="AX245" s="1" t="s">
        <v>74</v>
      </c>
      <c r="AY245" s="1" t="s">
        <v>74</v>
      </c>
      <c r="AZ245" s="1" t="s">
        <v>2319</v>
      </c>
      <c r="BA245" s="1" t="s">
        <v>2395</v>
      </c>
      <c r="BB245" s="1">
        <v>98.0</v>
      </c>
      <c r="BC245" s="1">
        <v>98.0</v>
      </c>
      <c r="BD245" s="1" t="s">
        <v>74</v>
      </c>
      <c r="BE245" s="1" t="s">
        <v>74</v>
      </c>
      <c r="BF245" s="1" t="s">
        <v>74</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2396</v>
      </c>
      <c r="BT245" s="1" t="str">
        <f>HYPERLINK("https%3A%2F%2Fwww.webofscience.com%2Fwos%2Fwoscc%2Ffull-record%2FWOS:000377730400122","View Full Record in Web of Science")</f>
        <v>View Full Record in Web of Science</v>
      </c>
    </row>
    <row r="246" ht="12.75" customHeight="1">
      <c r="A246" s="1" t="s">
        <v>72</v>
      </c>
      <c r="B246" s="1" t="s">
        <v>2397</v>
      </c>
      <c r="C246" s="1" t="s">
        <v>74</v>
      </c>
      <c r="D246" s="1" t="s">
        <v>74</v>
      </c>
      <c r="E246" s="1" t="s">
        <v>74</v>
      </c>
      <c r="F246" s="1" t="s">
        <v>2398</v>
      </c>
      <c r="G246" s="1" t="s">
        <v>74</v>
      </c>
      <c r="H246" s="1" t="s">
        <v>74</v>
      </c>
      <c r="I246" s="1" t="s">
        <v>2399</v>
      </c>
      <c r="J246" s="1" t="s">
        <v>2400</v>
      </c>
      <c r="K246" s="1" t="s">
        <v>74</v>
      </c>
      <c r="L246" s="1" t="s">
        <v>74</v>
      </c>
      <c r="M246" s="1" t="s">
        <v>74</v>
      </c>
      <c r="N246" s="1" t="s">
        <v>74</v>
      </c>
      <c r="O246" s="1" t="s">
        <v>74</v>
      </c>
      <c r="P246" s="1" t="s">
        <v>74</v>
      </c>
      <c r="Q246" s="1" t="s">
        <v>74</v>
      </c>
      <c r="R246" s="1" t="s">
        <v>74</v>
      </c>
      <c r="S246" s="1" t="s">
        <v>74</v>
      </c>
      <c r="T246" s="1" t="s">
        <v>74</v>
      </c>
      <c r="U246" s="1" t="s">
        <v>74</v>
      </c>
      <c r="V246" s="1" t="s">
        <v>2401</v>
      </c>
      <c r="W246" s="1" t="s">
        <v>74</v>
      </c>
      <c r="X246" s="1" t="s">
        <v>74</v>
      </c>
      <c r="Y246" s="1" t="s">
        <v>74</v>
      </c>
      <c r="Z246" s="1" t="s">
        <v>74</v>
      </c>
      <c r="AA246" s="1" t="s">
        <v>74</v>
      </c>
      <c r="AB246" s="1" t="s">
        <v>2402</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2403</v>
      </c>
      <c r="AP246" s="1" t="s">
        <v>2404</v>
      </c>
      <c r="AQ246" s="1" t="s">
        <v>74</v>
      </c>
      <c r="AR246" s="1" t="s">
        <v>74</v>
      </c>
      <c r="AS246" s="1" t="s">
        <v>74</v>
      </c>
      <c r="AT246" s="1" t="s">
        <v>2405</v>
      </c>
      <c r="AU246" s="1">
        <v>2016.0</v>
      </c>
      <c r="AV246" s="1">
        <v>44.0</v>
      </c>
      <c r="AW246" s="1">
        <v>2.0</v>
      </c>
      <c r="AX246" s="1" t="s">
        <v>74</v>
      </c>
      <c r="AY246" s="1" t="s">
        <v>74</v>
      </c>
      <c r="AZ246" s="1" t="s">
        <v>74</v>
      </c>
      <c r="BA246" s="1" t="s">
        <v>74</v>
      </c>
      <c r="BB246" s="1">
        <v>106.0</v>
      </c>
      <c r="BC246" s="1">
        <v>112.0</v>
      </c>
      <c r="BD246" s="1" t="s">
        <v>74</v>
      </c>
      <c r="BE246" s="1" t="s">
        <v>2406</v>
      </c>
      <c r="BF246" s="2" t="str">
        <f>HYPERLINK("http://dx.doi.org/10.1016/j.aller.2015.01.011","http://dx.doi.org/10.1016/j.aller.2015.01.011")</f>
        <v>http://dx.doi.org/10.1016/j.aller.2015.01.011</v>
      </c>
      <c r="BG246" s="1" t="s">
        <v>74</v>
      </c>
      <c r="BH246" s="1" t="s">
        <v>74</v>
      </c>
      <c r="BI246" s="1" t="s">
        <v>74</v>
      </c>
      <c r="BJ246" s="1" t="s">
        <v>74</v>
      </c>
      <c r="BK246" s="1" t="s">
        <v>74</v>
      </c>
      <c r="BL246" s="1" t="s">
        <v>74</v>
      </c>
      <c r="BM246" s="1" t="s">
        <v>74</v>
      </c>
      <c r="BN246" s="1">
        <v>2.6001339E7</v>
      </c>
      <c r="BO246" s="1" t="s">
        <v>74</v>
      </c>
      <c r="BP246" s="1" t="s">
        <v>74</v>
      </c>
      <c r="BQ246" s="1" t="s">
        <v>74</v>
      </c>
      <c r="BR246" s="1" t="s">
        <v>74</v>
      </c>
      <c r="BS246" s="1" t="s">
        <v>2407</v>
      </c>
      <c r="BT246" s="1" t="str">
        <f>HYPERLINK("https%3A%2F%2Fwww.webofscience.com%2Fwos%2Fwoscc%2Ffull-record%2FWOS:000372478700003","View Full Record in Web of Science")</f>
        <v>View Full Record in Web of Science</v>
      </c>
    </row>
    <row r="247" ht="12.75" customHeight="1">
      <c r="A247" s="1" t="s">
        <v>241</v>
      </c>
      <c r="B247" s="1" t="s">
        <v>2408</v>
      </c>
      <c r="C247" s="1" t="s">
        <v>2409</v>
      </c>
      <c r="D247" s="1" t="s">
        <v>74</v>
      </c>
      <c r="E247" s="1" t="s">
        <v>74</v>
      </c>
      <c r="F247" s="1" t="s">
        <v>2410</v>
      </c>
      <c r="G247" s="1" t="s">
        <v>2409</v>
      </c>
      <c r="H247" s="1" t="s">
        <v>74</v>
      </c>
      <c r="I247" s="1" t="s">
        <v>2411</v>
      </c>
      <c r="J247" s="1" t="s">
        <v>2412</v>
      </c>
      <c r="K247" s="1" t="s">
        <v>2413</v>
      </c>
      <c r="L247" s="1" t="s">
        <v>74</v>
      </c>
      <c r="M247" s="1" t="s">
        <v>74</v>
      </c>
      <c r="N247" s="1" t="s">
        <v>74</v>
      </c>
      <c r="O247" s="1" t="s">
        <v>2414</v>
      </c>
      <c r="P247" s="1" t="s">
        <v>2415</v>
      </c>
      <c r="Q247" s="1" t="s">
        <v>2416</v>
      </c>
      <c r="R247" s="1" t="s">
        <v>74</v>
      </c>
      <c r="S247" s="1" t="s">
        <v>74</v>
      </c>
      <c r="T247" s="1" t="s">
        <v>74</v>
      </c>
      <c r="U247" s="1" t="s">
        <v>74</v>
      </c>
      <c r="V247" s="1" t="s">
        <v>2417</v>
      </c>
      <c r="W247" s="1" t="s">
        <v>74</v>
      </c>
      <c r="X247" s="1" t="s">
        <v>74</v>
      </c>
      <c r="Y247" s="1" t="s">
        <v>74</v>
      </c>
      <c r="Z247" s="1" t="s">
        <v>74</v>
      </c>
      <c r="AA247" s="1" t="s">
        <v>2418</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2419</v>
      </c>
      <c r="AP247" s="1" t="s">
        <v>74</v>
      </c>
      <c r="AQ247" s="1" t="s">
        <v>74</v>
      </c>
      <c r="AR247" s="1" t="s">
        <v>74</v>
      </c>
      <c r="AS247" s="1" t="s">
        <v>74</v>
      </c>
      <c r="AT247" s="1" t="s">
        <v>74</v>
      </c>
      <c r="AU247" s="1">
        <v>2015.0</v>
      </c>
      <c r="AV247" s="1">
        <v>8.0</v>
      </c>
      <c r="AW247" s="1" t="s">
        <v>74</v>
      </c>
      <c r="AX247" s="1" t="s">
        <v>74</v>
      </c>
      <c r="AY247" s="1" t="s">
        <v>74</v>
      </c>
      <c r="AZ247" s="1" t="s">
        <v>74</v>
      </c>
      <c r="BA247" s="1" t="s">
        <v>74</v>
      </c>
      <c r="BB247" s="1">
        <v>434.0</v>
      </c>
      <c r="BC247" s="1">
        <v>441.0</v>
      </c>
      <c r="BD247" s="1" t="s">
        <v>74</v>
      </c>
      <c r="BE247" s="1" t="s">
        <v>2420</v>
      </c>
      <c r="BF247" s="2" t="str">
        <f>HYPERLINK("http://dx.doi.org/10.1016/j.mspro.2015.04.094","http://dx.doi.org/10.1016/j.mspro.2015.04.094")</f>
        <v>http://dx.doi.org/10.1016/j.mspro.2015.04.094</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2421</v>
      </c>
      <c r="BT247" s="1" t="str">
        <f>HYPERLINK("https%3A%2F%2Fwww.webofscience.com%2Fwos%2Fwoscc%2Ffull-record%2FWOS:000380505600053","View Full Record in Web of Science")</f>
        <v>View Full Record in Web of Science</v>
      </c>
    </row>
    <row r="248" ht="12.75" customHeight="1">
      <c r="A248" s="1" t="s">
        <v>72</v>
      </c>
      <c r="B248" s="1" t="s">
        <v>2422</v>
      </c>
      <c r="C248" s="1" t="s">
        <v>74</v>
      </c>
      <c r="D248" s="1" t="s">
        <v>74</v>
      </c>
      <c r="E248" s="1" t="s">
        <v>74</v>
      </c>
      <c r="F248" s="1" t="s">
        <v>2423</v>
      </c>
      <c r="G248" s="1" t="s">
        <v>74</v>
      </c>
      <c r="H248" s="1" t="s">
        <v>74</v>
      </c>
      <c r="I248" s="1" t="s">
        <v>2424</v>
      </c>
      <c r="J248" s="1" t="s">
        <v>828</v>
      </c>
      <c r="K248" s="1" t="s">
        <v>74</v>
      </c>
      <c r="L248" s="1" t="s">
        <v>74</v>
      </c>
      <c r="M248" s="1" t="s">
        <v>74</v>
      </c>
      <c r="N248" s="1" t="s">
        <v>74</v>
      </c>
      <c r="O248" s="1" t="s">
        <v>74</v>
      </c>
      <c r="P248" s="1" t="s">
        <v>74</v>
      </c>
      <c r="Q248" s="1" t="s">
        <v>74</v>
      </c>
      <c r="R248" s="1" t="s">
        <v>74</v>
      </c>
      <c r="S248" s="1" t="s">
        <v>74</v>
      </c>
      <c r="T248" s="1" t="s">
        <v>74</v>
      </c>
      <c r="U248" s="1" t="s">
        <v>74</v>
      </c>
      <c r="V248" s="1" t="s">
        <v>2425</v>
      </c>
      <c r="W248" s="1" t="s">
        <v>74</v>
      </c>
      <c r="X248" s="1" t="s">
        <v>74</v>
      </c>
      <c r="Y248" s="1" t="s">
        <v>74</v>
      </c>
      <c r="Z248" s="1" t="s">
        <v>74</v>
      </c>
      <c r="AA248" s="1" t="s">
        <v>74</v>
      </c>
      <c r="AB248" s="1" t="s">
        <v>74</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832</v>
      </c>
      <c r="AP248" s="1" t="s">
        <v>74</v>
      </c>
      <c r="AQ248" s="1" t="s">
        <v>74</v>
      </c>
      <c r="AR248" s="1" t="s">
        <v>74</v>
      </c>
      <c r="AS248" s="1" t="s">
        <v>74</v>
      </c>
      <c r="AT248" s="1" t="s">
        <v>501</v>
      </c>
      <c r="AU248" s="1">
        <v>2012.0</v>
      </c>
      <c r="AV248" s="1">
        <v>11.0</v>
      </c>
      <c r="AW248" s="1">
        <v>6.0</v>
      </c>
      <c r="AX248" s="1" t="s">
        <v>74</v>
      </c>
      <c r="AY248" s="1" t="s">
        <v>74</v>
      </c>
      <c r="AZ248" s="1" t="s">
        <v>74</v>
      </c>
      <c r="BA248" s="1" t="s">
        <v>74</v>
      </c>
      <c r="BB248" s="1">
        <v>549.0</v>
      </c>
      <c r="BC248" s="1">
        <v>555.0</v>
      </c>
      <c r="BD248" s="1" t="s">
        <v>74</v>
      </c>
      <c r="BE248" s="1" t="s">
        <v>74</v>
      </c>
      <c r="BF248" s="1" t="s">
        <v>74</v>
      </c>
      <c r="BG248" s="1" t="s">
        <v>74</v>
      </c>
      <c r="BH248" s="1" t="s">
        <v>74</v>
      </c>
      <c r="BI248" s="1" t="s">
        <v>74</v>
      </c>
      <c r="BJ248" s="1" t="s">
        <v>74</v>
      </c>
      <c r="BK248" s="1" t="s">
        <v>74</v>
      </c>
      <c r="BL248" s="1" t="s">
        <v>74</v>
      </c>
      <c r="BM248" s="1" t="s">
        <v>74</v>
      </c>
      <c r="BN248" s="1" t="s">
        <v>74</v>
      </c>
      <c r="BO248" s="1" t="s">
        <v>74</v>
      </c>
      <c r="BP248" s="1" t="s">
        <v>74</v>
      </c>
      <c r="BQ248" s="1" t="s">
        <v>74</v>
      </c>
      <c r="BR248" s="1" t="s">
        <v>74</v>
      </c>
      <c r="BS248" s="1" t="s">
        <v>2426</v>
      </c>
      <c r="BT248" s="1" t="str">
        <f>HYPERLINK("https%3A%2F%2Fwww.webofscience.com%2Fwos%2Fwoscc%2Ffull-record%2FWOS:000311421500007","View Full Record in Web of Science")</f>
        <v>View Full Record in Web of Science</v>
      </c>
    </row>
    <row r="249" ht="12.75" customHeight="1">
      <c r="A249" s="1" t="s">
        <v>72</v>
      </c>
      <c r="B249" s="1" t="s">
        <v>2427</v>
      </c>
      <c r="C249" s="1" t="s">
        <v>74</v>
      </c>
      <c r="D249" s="1" t="s">
        <v>74</v>
      </c>
      <c r="E249" s="1" t="s">
        <v>74</v>
      </c>
      <c r="F249" s="1" t="s">
        <v>2427</v>
      </c>
      <c r="G249" s="1" t="s">
        <v>74</v>
      </c>
      <c r="H249" s="1" t="s">
        <v>74</v>
      </c>
      <c r="I249" s="1" t="s">
        <v>2428</v>
      </c>
      <c r="J249" s="1" t="s">
        <v>280</v>
      </c>
      <c r="K249" s="1" t="s">
        <v>74</v>
      </c>
      <c r="L249" s="1" t="s">
        <v>74</v>
      </c>
      <c r="M249" s="1" t="s">
        <v>74</v>
      </c>
      <c r="N249" s="1" t="s">
        <v>74</v>
      </c>
      <c r="O249" s="1" t="s">
        <v>74</v>
      </c>
      <c r="P249" s="1" t="s">
        <v>74</v>
      </c>
      <c r="Q249" s="1" t="s">
        <v>74</v>
      </c>
      <c r="R249" s="1" t="s">
        <v>74</v>
      </c>
      <c r="S249" s="1" t="s">
        <v>74</v>
      </c>
      <c r="T249" s="1" t="s">
        <v>74</v>
      </c>
      <c r="U249" s="1" t="s">
        <v>74</v>
      </c>
      <c r="V249" s="1" t="s">
        <v>2429</v>
      </c>
      <c r="W249" s="1" t="s">
        <v>74</v>
      </c>
      <c r="X249" s="1" t="s">
        <v>74</v>
      </c>
      <c r="Y249" s="1" t="s">
        <v>74</v>
      </c>
      <c r="Z249" s="1" t="s">
        <v>74</v>
      </c>
      <c r="AA249" s="1" t="s">
        <v>508</v>
      </c>
      <c r="AB249" s="1" t="s">
        <v>74</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533</v>
      </c>
      <c r="AP249" s="1" t="s">
        <v>74</v>
      </c>
      <c r="AQ249" s="1" t="s">
        <v>74</v>
      </c>
      <c r="AR249" s="1" t="s">
        <v>74</v>
      </c>
      <c r="AS249" s="1" t="s">
        <v>74</v>
      </c>
      <c r="AT249" s="1" t="s">
        <v>106</v>
      </c>
      <c r="AU249" s="1">
        <v>2003.0</v>
      </c>
      <c r="AV249" s="1">
        <v>48.0</v>
      </c>
      <c r="AW249" s="1">
        <v>3.0</v>
      </c>
      <c r="AX249" s="1" t="s">
        <v>74</v>
      </c>
      <c r="AY249" s="1" t="s">
        <v>74</v>
      </c>
      <c r="AZ249" s="1" t="s">
        <v>74</v>
      </c>
      <c r="BA249" s="1" t="s">
        <v>74</v>
      </c>
      <c r="BB249" s="1">
        <v>45.0</v>
      </c>
      <c r="BC249" s="1">
        <v>50.0</v>
      </c>
      <c r="BD249" s="1" t="s">
        <v>74</v>
      </c>
      <c r="BE249" s="1" t="s">
        <v>74</v>
      </c>
      <c r="BF249" s="1" t="s">
        <v>74</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2430</v>
      </c>
      <c r="BT249" s="1" t="str">
        <f>HYPERLINK("https%3A%2F%2Fwww.webofscience.com%2Fwos%2Fwoscc%2Ffull-record%2FWOS:000185071000009","View Full Record in Web of Science")</f>
        <v>View Full Record in Web of Science</v>
      </c>
    </row>
    <row r="250" ht="12.75" customHeight="1">
      <c r="A250" s="1" t="s">
        <v>72</v>
      </c>
      <c r="B250" s="1" t="s">
        <v>2431</v>
      </c>
      <c r="C250" s="1" t="s">
        <v>74</v>
      </c>
      <c r="D250" s="1" t="s">
        <v>74</v>
      </c>
      <c r="E250" s="1" t="s">
        <v>74</v>
      </c>
      <c r="F250" s="1" t="s">
        <v>2431</v>
      </c>
      <c r="G250" s="1" t="s">
        <v>74</v>
      </c>
      <c r="H250" s="1" t="s">
        <v>74</v>
      </c>
      <c r="I250" s="1" t="s">
        <v>2432</v>
      </c>
      <c r="J250" s="1" t="s">
        <v>2433</v>
      </c>
      <c r="K250" s="1" t="s">
        <v>74</v>
      </c>
      <c r="L250" s="1" t="s">
        <v>74</v>
      </c>
      <c r="M250" s="1" t="s">
        <v>74</v>
      </c>
      <c r="N250" s="1" t="s">
        <v>74</v>
      </c>
      <c r="O250" s="1" t="s">
        <v>74</v>
      </c>
      <c r="P250" s="1" t="s">
        <v>74</v>
      </c>
      <c r="Q250" s="1" t="s">
        <v>74</v>
      </c>
      <c r="R250" s="1" t="s">
        <v>74</v>
      </c>
      <c r="S250" s="1" t="s">
        <v>74</v>
      </c>
      <c r="T250" s="1" t="s">
        <v>74</v>
      </c>
      <c r="U250" s="1" t="s">
        <v>74</v>
      </c>
      <c r="V250" s="1" t="s">
        <v>2434</v>
      </c>
      <c r="W250" s="1" t="s">
        <v>74</v>
      </c>
      <c r="X250" s="1" t="s">
        <v>74</v>
      </c>
      <c r="Y250" s="1" t="s">
        <v>74</v>
      </c>
      <c r="Z250" s="1" t="s">
        <v>74</v>
      </c>
      <c r="AA250" s="1" t="s">
        <v>2435</v>
      </c>
      <c r="AB250" s="1" t="s">
        <v>2436</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2437</v>
      </c>
      <c r="AP250" s="1" t="s">
        <v>74</v>
      </c>
      <c r="AQ250" s="1" t="s">
        <v>74</v>
      </c>
      <c r="AR250" s="1" t="s">
        <v>74</v>
      </c>
      <c r="AS250" s="1" t="s">
        <v>74</v>
      </c>
      <c r="AT250" s="1" t="s">
        <v>848</v>
      </c>
      <c r="AU250" s="1">
        <v>2001.0</v>
      </c>
      <c r="AV250" s="1">
        <v>47.0</v>
      </c>
      <c r="AW250" s="1">
        <v>4.0</v>
      </c>
      <c r="AX250" s="1" t="s">
        <v>74</v>
      </c>
      <c r="AY250" s="1" t="s">
        <v>74</v>
      </c>
      <c r="AZ250" s="1" t="s">
        <v>74</v>
      </c>
      <c r="BA250" s="1" t="s">
        <v>74</v>
      </c>
      <c r="BB250" s="1">
        <v>559.0</v>
      </c>
      <c r="BC250" s="1">
        <v>566.0</v>
      </c>
      <c r="BD250" s="1" t="s">
        <v>74</v>
      </c>
      <c r="BE250" s="1" t="s">
        <v>2438</v>
      </c>
      <c r="BF250" s="2" t="str">
        <f>HYPERLINK("http://dx.doi.org/10.1016/S0013-4686(01)00780-0","http://dx.doi.org/10.1016/S0013-4686(01)00780-0")</f>
        <v>http://dx.doi.org/10.1016/S0013-4686(01)00780-0</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2439</v>
      </c>
      <c r="BT250" s="1" t="str">
        <f>HYPERLINK("https%3A%2F%2Fwww.webofscience.com%2Fwos%2Fwoscc%2Ffull-record%2FWOS:000172385400004","View Full Record in Web of Science")</f>
        <v>View Full Record in Web of Science</v>
      </c>
    </row>
    <row r="251" ht="12.75" customHeight="1">
      <c r="A251" s="1" t="s">
        <v>72</v>
      </c>
      <c r="B251" s="1" t="s">
        <v>1750</v>
      </c>
      <c r="C251" s="1" t="s">
        <v>74</v>
      </c>
      <c r="D251" s="1" t="s">
        <v>74</v>
      </c>
      <c r="E251" s="1" t="s">
        <v>74</v>
      </c>
      <c r="F251" s="1" t="s">
        <v>1750</v>
      </c>
      <c r="G251" s="1" t="s">
        <v>74</v>
      </c>
      <c r="H251" s="1" t="s">
        <v>74</v>
      </c>
      <c r="I251" s="1" t="s">
        <v>2440</v>
      </c>
      <c r="J251" s="1" t="s">
        <v>2441</v>
      </c>
      <c r="K251" s="1" t="s">
        <v>74</v>
      </c>
      <c r="L251" s="1" t="s">
        <v>74</v>
      </c>
      <c r="M251" s="1" t="s">
        <v>74</v>
      </c>
      <c r="N251" s="1" t="s">
        <v>74</v>
      </c>
      <c r="O251" s="1" t="s">
        <v>74</v>
      </c>
      <c r="P251" s="1" t="s">
        <v>74</v>
      </c>
      <c r="Q251" s="1" t="s">
        <v>74</v>
      </c>
      <c r="R251" s="1" t="s">
        <v>74</v>
      </c>
      <c r="S251" s="1" t="s">
        <v>74</v>
      </c>
      <c r="T251" s="1" t="s">
        <v>74</v>
      </c>
      <c r="U251" s="1" t="s">
        <v>74</v>
      </c>
      <c r="V251" s="1" t="s">
        <v>2442</v>
      </c>
      <c r="W251" s="1" t="s">
        <v>74</v>
      </c>
      <c r="X251" s="1" t="s">
        <v>74</v>
      </c>
      <c r="Y251" s="1" t="s">
        <v>74</v>
      </c>
      <c r="Z251" s="1" t="s">
        <v>74</v>
      </c>
      <c r="AA251" s="1" t="s">
        <v>171</v>
      </c>
      <c r="AB251" s="1" t="s">
        <v>2443</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2444</v>
      </c>
      <c r="AP251" s="1" t="s">
        <v>74</v>
      </c>
      <c r="AQ251" s="1" t="s">
        <v>74</v>
      </c>
      <c r="AR251" s="1" t="s">
        <v>74</v>
      </c>
      <c r="AS251" s="1" t="s">
        <v>74</v>
      </c>
      <c r="AT251" s="1" t="s">
        <v>106</v>
      </c>
      <c r="AU251" s="1">
        <v>2001.0</v>
      </c>
      <c r="AV251" s="1">
        <v>42.0</v>
      </c>
      <c r="AW251" s="1">
        <v>9.0</v>
      </c>
      <c r="AX251" s="1" t="s">
        <v>74</v>
      </c>
      <c r="AY251" s="1" t="s">
        <v>74</v>
      </c>
      <c r="AZ251" s="1" t="s">
        <v>74</v>
      </c>
      <c r="BA251" s="1" t="s">
        <v>74</v>
      </c>
      <c r="BB251" s="1">
        <v>4383.0</v>
      </c>
      <c r="BC251" s="1">
        <v>4390.0</v>
      </c>
      <c r="BD251" s="1" t="s">
        <v>74</v>
      </c>
      <c r="BE251" s="1" t="s">
        <v>2445</v>
      </c>
      <c r="BF251" s="2" t="str">
        <f>HYPERLINK("http://dx.doi.org/10.1063/1.1389088","http://dx.doi.org/10.1063/1.1389088")</f>
        <v>http://dx.doi.org/10.1063/1.1389088</v>
      </c>
      <c r="BG251" s="1" t="s">
        <v>74</v>
      </c>
      <c r="BH251" s="1" t="s">
        <v>74</v>
      </c>
      <c r="BI251" s="1" t="s">
        <v>74</v>
      </c>
      <c r="BJ251" s="1" t="s">
        <v>74</v>
      </c>
      <c r="BK251" s="1" t="s">
        <v>74</v>
      </c>
      <c r="BL251" s="1" t="s">
        <v>74</v>
      </c>
      <c r="BM251" s="1" t="s">
        <v>74</v>
      </c>
      <c r="BN251" s="1" t="s">
        <v>74</v>
      </c>
      <c r="BO251" s="1" t="s">
        <v>74</v>
      </c>
      <c r="BP251" s="1" t="s">
        <v>74</v>
      </c>
      <c r="BQ251" s="1" t="s">
        <v>74</v>
      </c>
      <c r="BR251" s="1" t="s">
        <v>74</v>
      </c>
      <c r="BS251" s="1" t="s">
        <v>2446</v>
      </c>
      <c r="BT251" s="1" t="str">
        <f>HYPERLINK("https%3A%2F%2Fwww.webofscience.com%2Fwos%2Fwoscc%2Ffull-record%2FWOS:000170590300021","View Full Record in Web of Science")</f>
        <v>View Full Record in Web of Science</v>
      </c>
    </row>
    <row r="252" ht="12.75" customHeight="1">
      <c r="A252" s="1" t="s">
        <v>72</v>
      </c>
      <c r="B252" s="1" t="s">
        <v>2447</v>
      </c>
      <c r="C252" s="1" t="s">
        <v>74</v>
      </c>
      <c r="D252" s="1" t="s">
        <v>74</v>
      </c>
      <c r="E252" s="1" t="s">
        <v>74</v>
      </c>
      <c r="F252" s="1" t="s">
        <v>2448</v>
      </c>
      <c r="G252" s="1" t="s">
        <v>74</v>
      </c>
      <c r="H252" s="1" t="s">
        <v>74</v>
      </c>
      <c r="I252" s="1" t="s">
        <v>2449</v>
      </c>
      <c r="J252" s="1" t="s">
        <v>2450</v>
      </c>
      <c r="K252" s="1" t="s">
        <v>74</v>
      </c>
      <c r="L252" s="1" t="s">
        <v>74</v>
      </c>
      <c r="M252" s="1" t="s">
        <v>74</v>
      </c>
      <c r="N252" s="1" t="s">
        <v>74</v>
      </c>
      <c r="O252" s="1" t="s">
        <v>74</v>
      </c>
      <c r="P252" s="1" t="s">
        <v>74</v>
      </c>
      <c r="Q252" s="1" t="s">
        <v>74</v>
      </c>
      <c r="R252" s="1" t="s">
        <v>74</v>
      </c>
      <c r="S252" s="1" t="s">
        <v>74</v>
      </c>
      <c r="T252" s="1" t="s">
        <v>74</v>
      </c>
      <c r="U252" s="1" t="s">
        <v>74</v>
      </c>
      <c r="V252" s="1" t="s">
        <v>2451</v>
      </c>
      <c r="W252" s="1" t="s">
        <v>74</v>
      </c>
      <c r="X252" s="1" t="s">
        <v>74</v>
      </c>
      <c r="Y252" s="1" t="s">
        <v>74</v>
      </c>
      <c r="Z252" s="1" t="s">
        <v>74</v>
      </c>
      <c r="AA252" s="1" t="s">
        <v>2452</v>
      </c>
      <c r="AB252" s="1" t="s">
        <v>2453</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2454</v>
      </c>
      <c r="AP252" s="1" t="s">
        <v>2455</v>
      </c>
      <c r="AQ252" s="1" t="s">
        <v>74</v>
      </c>
      <c r="AR252" s="1" t="s">
        <v>74</v>
      </c>
      <c r="AS252" s="1" t="s">
        <v>74</v>
      </c>
      <c r="AT252" s="1" t="s">
        <v>2456</v>
      </c>
      <c r="AU252" s="1">
        <v>2025.0</v>
      </c>
      <c r="AV252" s="1">
        <v>62.0</v>
      </c>
      <c r="AW252" s="1">
        <v>3.0</v>
      </c>
      <c r="AX252" s="1" t="s">
        <v>74</v>
      </c>
      <c r="AY252" s="1" t="s">
        <v>74</v>
      </c>
      <c r="AZ252" s="1" t="s">
        <v>74</v>
      </c>
      <c r="BA252" s="1" t="s">
        <v>74</v>
      </c>
      <c r="BB252" s="1">
        <v>508.0</v>
      </c>
      <c r="BC252" s="1">
        <v>514.0</v>
      </c>
      <c r="BD252" s="1" t="s">
        <v>74</v>
      </c>
      <c r="BE252" s="1" t="s">
        <v>2457</v>
      </c>
      <c r="BF252" s="2" t="str">
        <f>HYPERLINK("http://dx.doi.org/10.1080/02770903.2024.2411702","http://dx.doi.org/10.1080/02770903.2024.2411702")</f>
        <v>http://dx.doi.org/10.1080/02770903.2024.2411702</v>
      </c>
      <c r="BG252" s="1" t="s">
        <v>74</v>
      </c>
      <c r="BH252" s="1" t="s">
        <v>1443</v>
      </c>
      <c r="BI252" s="1" t="s">
        <v>74</v>
      </c>
      <c r="BJ252" s="1" t="s">
        <v>74</v>
      </c>
      <c r="BK252" s="1" t="s">
        <v>74</v>
      </c>
      <c r="BL252" s="1" t="s">
        <v>74</v>
      </c>
      <c r="BM252" s="1" t="s">
        <v>74</v>
      </c>
      <c r="BN252" s="1">
        <v>3.9365078E7</v>
      </c>
      <c r="BO252" s="1" t="s">
        <v>74</v>
      </c>
      <c r="BP252" s="1" t="s">
        <v>74</v>
      </c>
      <c r="BQ252" s="1" t="s">
        <v>74</v>
      </c>
      <c r="BR252" s="1" t="s">
        <v>74</v>
      </c>
      <c r="BS252" s="1" t="s">
        <v>2458</v>
      </c>
      <c r="BT252" s="1" t="str">
        <f>HYPERLINK("https%3A%2F%2Fwww.webofscience.com%2Fwos%2Fwoscc%2Ffull-record%2FWOS:001330447700001","View Full Record in Web of Science")</f>
        <v>View Full Record in Web of Science</v>
      </c>
    </row>
    <row r="253" ht="12.75" customHeight="1">
      <c r="A253" s="1" t="s">
        <v>241</v>
      </c>
      <c r="B253" s="1" t="s">
        <v>2459</v>
      </c>
      <c r="C253" s="1" t="s">
        <v>74</v>
      </c>
      <c r="D253" s="1" t="s">
        <v>74</v>
      </c>
      <c r="E253" s="1" t="s">
        <v>74</v>
      </c>
      <c r="F253" s="1" t="s">
        <v>2460</v>
      </c>
      <c r="G253" s="1" t="s">
        <v>74</v>
      </c>
      <c r="H253" s="1" t="s">
        <v>74</v>
      </c>
      <c r="I253" s="1" t="s">
        <v>2461</v>
      </c>
      <c r="J253" s="1" t="s">
        <v>2462</v>
      </c>
      <c r="K253" s="1" t="s">
        <v>74</v>
      </c>
      <c r="L253" s="1" t="s">
        <v>74</v>
      </c>
      <c r="M253" s="1" t="s">
        <v>74</v>
      </c>
      <c r="N253" s="1" t="s">
        <v>74</v>
      </c>
      <c r="O253" s="1" t="s">
        <v>2463</v>
      </c>
      <c r="P253" s="1" t="s">
        <v>2464</v>
      </c>
      <c r="Q253" s="1" t="s">
        <v>2465</v>
      </c>
      <c r="R253" s="1" t="s">
        <v>74</v>
      </c>
      <c r="S253" s="1" t="s">
        <v>74</v>
      </c>
      <c r="T253" s="1" t="s">
        <v>74</v>
      </c>
      <c r="U253" s="1" t="s">
        <v>74</v>
      </c>
      <c r="V253" s="1" t="s">
        <v>2466</v>
      </c>
      <c r="W253" s="1" t="s">
        <v>74</v>
      </c>
      <c r="X253" s="1" t="s">
        <v>74</v>
      </c>
      <c r="Y253" s="1" t="s">
        <v>74</v>
      </c>
      <c r="Z253" s="1" t="s">
        <v>74</v>
      </c>
      <c r="AA253" s="1" t="s">
        <v>2467</v>
      </c>
      <c r="AB253" s="1" t="s">
        <v>485</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2468</v>
      </c>
      <c r="AP253" s="1" t="s">
        <v>74</v>
      </c>
      <c r="AQ253" s="1" t="s">
        <v>74</v>
      </c>
      <c r="AR253" s="1" t="s">
        <v>74</v>
      </c>
      <c r="AS253" s="1" t="s">
        <v>74</v>
      </c>
      <c r="AT253" s="1" t="s">
        <v>74</v>
      </c>
      <c r="AU253" s="1">
        <v>2023.0</v>
      </c>
      <c r="AV253" s="1">
        <v>56.0</v>
      </c>
      <c r="AW253" s="1">
        <v>2.0</v>
      </c>
      <c r="AX253" s="1" t="s">
        <v>74</v>
      </c>
      <c r="AY253" s="1" t="s">
        <v>74</v>
      </c>
      <c r="AZ253" s="1" t="s">
        <v>74</v>
      </c>
      <c r="BA253" s="1" t="s">
        <v>74</v>
      </c>
      <c r="BB253" s="1">
        <v>6988.0</v>
      </c>
      <c r="BC253" s="1">
        <v>6993.0</v>
      </c>
      <c r="BD253" s="1" t="s">
        <v>74</v>
      </c>
      <c r="BE253" s="1" t="s">
        <v>2469</v>
      </c>
      <c r="BF253" s="2" t="str">
        <f>HYPERLINK("http://dx.doi.org/10.1016/j.ifacol.2023.10.536","http://dx.doi.org/10.1016/j.ifacol.2023.10.536")</f>
        <v>http://dx.doi.org/10.1016/j.ifacol.2023.10.536</v>
      </c>
      <c r="BG253" s="1" t="s">
        <v>74</v>
      </c>
      <c r="BH253" s="1" t="s">
        <v>2470</v>
      </c>
      <c r="BI253" s="1" t="s">
        <v>74</v>
      </c>
      <c r="BJ253" s="1" t="s">
        <v>74</v>
      </c>
      <c r="BK253" s="1" t="s">
        <v>74</v>
      </c>
      <c r="BL253" s="1" t="s">
        <v>74</v>
      </c>
      <c r="BM253" s="1" t="s">
        <v>74</v>
      </c>
      <c r="BN253" s="1" t="s">
        <v>74</v>
      </c>
      <c r="BO253" s="1" t="s">
        <v>74</v>
      </c>
      <c r="BP253" s="1" t="s">
        <v>74</v>
      </c>
      <c r="BQ253" s="1" t="s">
        <v>74</v>
      </c>
      <c r="BR253" s="1" t="s">
        <v>74</v>
      </c>
      <c r="BS253" s="1" t="s">
        <v>2471</v>
      </c>
      <c r="BT253" s="1" t="str">
        <f>HYPERLINK("https%3A%2F%2Fwww.webofscience.com%2Fwos%2Fwoscc%2Ffull-record%2FWOS:001122557300117","View Full Record in Web of Science")</f>
        <v>View Full Record in Web of Science</v>
      </c>
    </row>
    <row r="254" ht="12.75" customHeight="1">
      <c r="A254" s="1" t="s">
        <v>72</v>
      </c>
      <c r="B254" s="1" t="s">
        <v>2472</v>
      </c>
      <c r="C254" s="1" t="s">
        <v>74</v>
      </c>
      <c r="D254" s="1" t="s">
        <v>74</v>
      </c>
      <c r="E254" s="1" t="s">
        <v>74</v>
      </c>
      <c r="F254" s="1" t="s">
        <v>2473</v>
      </c>
      <c r="G254" s="1" t="s">
        <v>74</v>
      </c>
      <c r="H254" s="1" t="s">
        <v>74</v>
      </c>
      <c r="I254" s="1" t="s">
        <v>2474</v>
      </c>
      <c r="J254" s="1" t="s">
        <v>2475</v>
      </c>
      <c r="K254" s="1" t="s">
        <v>74</v>
      </c>
      <c r="L254" s="1" t="s">
        <v>74</v>
      </c>
      <c r="M254" s="1" t="s">
        <v>74</v>
      </c>
      <c r="N254" s="1" t="s">
        <v>74</v>
      </c>
      <c r="O254" s="1" t="s">
        <v>74</v>
      </c>
      <c r="P254" s="1" t="s">
        <v>74</v>
      </c>
      <c r="Q254" s="1" t="s">
        <v>74</v>
      </c>
      <c r="R254" s="1" t="s">
        <v>74</v>
      </c>
      <c r="S254" s="1" t="s">
        <v>74</v>
      </c>
      <c r="T254" s="1" t="s">
        <v>74</v>
      </c>
      <c r="U254" s="1" t="s">
        <v>74</v>
      </c>
      <c r="V254" s="1" t="s">
        <v>2476</v>
      </c>
      <c r="W254" s="1" t="s">
        <v>74</v>
      </c>
      <c r="X254" s="1" t="s">
        <v>74</v>
      </c>
      <c r="Y254" s="1" t="s">
        <v>74</v>
      </c>
      <c r="Z254" s="1" t="s">
        <v>74</v>
      </c>
      <c r="AA254" s="1" t="s">
        <v>2477</v>
      </c>
      <c r="AB254" s="1" t="s">
        <v>74</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74</v>
      </c>
      <c r="AP254" s="1" t="s">
        <v>2478</v>
      </c>
      <c r="AQ254" s="1" t="s">
        <v>74</v>
      </c>
      <c r="AR254" s="1" t="s">
        <v>74</v>
      </c>
      <c r="AS254" s="1" t="s">
        <v>74</v>
      </c>
      <c r="AT254" s="1" t="s">
        <v>2308</v>
      </c>
      <c r="AU254" s="1">
        <v>2023.0</v>
      </c>
      <c r="AV254" s="1">
        <v>34.0</v>
      </c>
      <c r="AW254" s="1">
        <v>5.0</v>
      </c>
      <c r="AX254" s="1" t="s">
        <v>74</v>
      </c>
      <c r="AY254" s="1" t="s">
        <v>74</v>
      </c>
      <c r="AZ254" s="1" t="s">
        <v>74</v>
      </c>
      <c r="BA254" s="1" t="s">
        <v>74</v>
      </c>
      <c r="BB254" s="1">
        <v>383.0</v>
      </c>
      <c r="BC254" s="1">
        <v>388.0</v>
      </c>
      <c r="BD254" s="1" t="s">
        <v>74</v>
      </c>
      <c r="BE254" s="1" t="s">
        <v>2479</v>
      </c>
      <c r="BF254" s="2" t="str">
        <f>HYPERLINK("http://dx.doi.org/10.1016/j.rmclc.2023.08.004","http://dx.doi.org/10.1016/j.rmclc.2023.08.004")</f>
        <v>http://dx.doi.org/10.1016/j.rmclc.2023.08.004</v>
      </c>
      <c r="BG254" s="1" t="s">
        <v>74</v>
      </c>
      <c r="BH254" s="1" t="s">
        <v>1121</v>
      </c>
      <c r="BI254" s="1" t="s">
        <v>74</v>
      </c>
      <c r="BJ254" s="1" t="s">
        <v>74</v>
      </c>
      <c r="BK254" s="1" t="s">
        <v>74</v>
      </c>
      <c r="BL254" s="1" t="s">
        <v>74</v>
      </c>
      <c r="BM254" s="1" t="s">
        <v>74</v>
      </c>
      <c r="BN254" s="1" t="s">
        <v>74</v>
      </c>
      <c r="BO254" s="1" t="s">
        <v>74</v>
      </c>
      <c r="BP254" s="1" t="s">
        <v>74</v>
      </c>
      <c r="BQ254" s="1" t="s">
        <v>74</v>
      </c>
      <c r="BR254" s="1" t="s">
        <v>74</v>
      </c>
      <c r="BS254" s="1" t="s">
        <v>2480</v>
      </c>
      <c r="BT254" s="1" t="str">
        <f>HYPERLINK("https%3A%2F%2Fwww.webofscience.com%2Fwos%2Fwoscc%2Ffull-record%2FWOS:001084083400001","View Full Record in Web of Science")</f>
        <v>View Full Record in Web of Science</v>
      </c>
    </row>
    <row r="255" ht="12.75" customHeight="1">
      <c r="A255" s="1" t="s">
        <v>72</v>
      </c>
      <c r="B255" s="1" t="s">
        <v>2481</v>
      </c>
      <c r="C255" s="1" t="s">
        <v>74</v>
      </c>
      <c r="D255" s="1" t="s">
        <v>74</v>
      </c>
      <c r="E255" s="1" t="s">
        <v>74</v>
      </c>
      <c r="F255" s="1" t="s">
        <v>2482</v>
      </c>
      <c r="G255" s="1" t="s">
        <v>74</v>
      </c>
      <c r="H255" s="1" t="s">
        <v>74</v>
      </c>
      <c r="I255" s="1" t="s">
        <v>2483</v>
      </c>
      <c r="J255" s="1" t="s">
        <v>1667</v>
      </c>
      <c r="K255" s="1" t="s">
        <v>74</v>
      </c>
      <c r="L255" s="1" t="s">
        <v>74</v>
      </c>
      <c r="M255" s="1" t="s">
        <v>74</v>
      </c>
      <c r="N255" s="1" t="s">
        <v>74</v>
      </c>
      <c r="O255" s="1" t="s">
        <v>74</v>
      </c>
      <c r="P255" s="1" t="s">
        <v>74</v>
      </c>
      <c r="Q255" s="1" t="s">
        <v>74</v>
      </c>
      <c r="R255" s="1" t="s">
        <v>74</v>
      </c>
      <c r="S255" s="1" t="s">
        <v>74</v>
      </c>
      <c r="T255" s="1" t="s">
        <v>74</v>
      </c>
      <c r="U255" s="1" t="s">
        <v>74</v>
      </c>
      <c r="V255" s="1" t="s">
        <v>2484</v>
      </c>
      <c r="W255" s="1" t="s">
        <v>74</v>
      </c>
      <c r="X255" s="1" t="s">
        <v>74</v>
      </c>
      <c r="Y255" s="1" t="s">
        <v>74</v>
      </c>
      <c r="Z255" s="1" t="s">
        <v>74</v>
      </c>
      <c r="AA255" s="1" t="s">
        <v>2485</v>
      </c>
      <c r="AB255" s="1" t="s">
        <v>2486</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1671</v>
      </c>
      <c r="AP255" s="1" t="s">
        <v>74</v>
      </c>
      <c r="AQ255" s="1" t="s">
        <v>74</v>
      </c>
      <c r="AR255" s="1" t="s">
        <v>74</v>
      </c>
      <c r="AS255" s="1" t="s">
        <v>74</v>
      </c>
      <c r="AT255" s="1" t="s">
        <v>2487</v>
      </c>
      <c r="AU255" s="1">
        <v>2022.0</v>
      </c>
      <c r="AV255" s="1">
        <v>7.0</v>
      </c>
      <c r="AW255" s="1">
        <v>46.0</v>
      </c>
      <c r="AX255" s="1" t="s">
        <v>74</v>
      </c>
      <c r="AY255" s="1" t="s">
        <v>74</v>
      </c>
      <c r="AZ255" s="1" t="s">
        <v>74</v>
      </c>
      <c r="BA255" s="1" t="s">
        <v>74</v>
      </c>
      <c r="BB255" s="1">
        <v>42446.0</v>
      </c>
      <c r="BC255" s="1">
        <v>42455.0</v>
      </c>
      <c r="BD255" s="1" t="s">
        <v>74</v>
      </c>
      <c r="BE255" s="1" t="s">
        <v>2488</v>
      </c>
      <c r="BF255" s="2" t="str">
        <f>HYPERLINK("http://dx.doi.org/10.1021/acsomega.2c05670","http://dx.doi.org/10.1021/acsomega.2c05670")</f>
        <v>http://dx.doi.org/10.1021/acsomega.2c05670</v>
      </c>
      <c r="BG255" s="1" t="s">
        <v>74</v>
      </c>
      <c r="BH255" s="1" t="s">
        <v>2489</v>
      </c>
      <c r="BI255" s="1" t="s">
        <v>74</v>
      </c>
      <c r="BJ255" s="1" t="s">
        <v>74</v>
      </c>
      <c r="BK255" s="1" t="s">
        <v>74</v>
      </c>
      <c r="BL255" s="1" t="s">
        <v>74</v>
      </c>
      <c r="BM255" s="1" t="s">
        <v>74</v>
      </c>
      <c r="BN255" s="1">
        <v>3.6440175E7</v>
      </c>
      <c r="BO255" s="1" t="s">
        <v>74</v>
      </c>
      <c r="BP255" s="1" t="s">
        <v>74</v>
      </c>
      <c r="BQ255" s="1" t="s">
        <v>74</v>
      </c>
      <c r="BR255" s="1" t="s">
        <v>74</v>
      </c>
      <c r="BS255" s="1" t="s">
        <v>2490</v>
      </c>
      <c r="BT255" s="1" t="str">
        <f>HYPERLINK("https%3A%2F%2Fwww.webofscience.com%2Fwos%2Fwoscc%2Ffull-record%2FWOS:000884426100001","View Full Record in Web of Science")</f>
        <v>View Full Record in Web of Science</v>
      </c>
    </row>
    <row r="256" ht="12.75" customHeight="1">
      <c r="A256" s="1" t="s">
        <v>72</v>
      </c>
      <c r="B256" s="1" t="s">
        <v>2491</v>
      </c>
      <c r="C256" s="1" t="s">
        <v>74</v>
      </c>
      <c r="D256" s="1" t="s">
        <v>74</v>
      </c>
      <c r="E256" s="1" t="s">
        <v>74</v>
      </c>
      <c r="F256" s="1" t="s">
        <v>2492</v>
      </c>
      <c r="G256" s="1" t="s">
        <v>74</v>
      </c>
      <c r="H256" s="1" t="s">
        <v>74</v>
      </c>
      <c r="I256" s="1" t="s">
        <v>2493</v>
      </c>
      <c r="J256" s="1" t="s">
        <v>1884</v>
      </c>
      <c r="K256" s="1" t="s">
        <v>74</v>
      </c>
      <c r="L256" s="1" t="s">
        <v>74</v>
      </c>
      <c r="M256" s="1" t="s">
        <v>74</v>
      </c>
      <c r="N256" s="1" t="s">
        <v>74</v>
      </c>
      <c r="O256" s="1" t="s">
        <v>74</v>
      </c>
      <c r="P256" s="1" t="s">
        <v>74</v>
      </c>
      <c r="Q256" s="1" t="s">
        <v>74</v>
      </c>
      <c r="R256" s="1" t="s">
        <v>74</v>
      </c>
      <c r="S256" s="1" t="s">
        <v>74</v>
      </c>
      <c r="T256" s="1" t="s">
        <v>74</v>
      </c>
      <c r="U256" s="1" t="s">
        <v>74</v>
      </c>
      <c r="V256" s="1" t="s">
        <v>2494</v>
      </c>
      <c r="W256" s="1" t="s">
        <v>74</v>
      </c>
      <c r="X256" s="1" t="s">
        <v>74</v>
      </c>
      <c r="Y256" s="1" t="s">
        <v>74</v>
      </c>
      <c r="Z256" s="1" t="s">
        <v>74</v>
      </c>
      <c r="AA256" s="1" t="s">
        <v>2495</v>
      </c>
      <c r="AB256" s="1" t="s">
        <v>2496</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1887</v>
      </c>
      <c r="AP256" s="1" t="s">
        <v>2497</v>
      </c>
      <c r="AQ256" s="1" t="s">
        <v>74</v>
      </c>
      <c r="AR256" s="1" t="s">
        <v>74</v>
      </c>
      <c r="AS256" s="1" t="s">
        <v>74</v>
      </c>
      <c r="AT256" s="1" t="s">
        <v>183</v>
      </c>
      <c r="AU256" s="1">
        <v>2022.0</v>
      </c>
      <c r="AV256" s="1">
        <v>153.0</v>
      </c>
      <c r="AW256" s="1" t="s">
        <v>74</v>
      </c>
      <c r="AX256" s="1" t="s">
        <v>74</v>
      </c>
      <c r="AY256" s="1" t="s">
        <v>74</v>
      </c>
      <c r="AZ256" s="1" t="s">
        <v>74</v>
      </c>
      <c r="BA256" s="1" t="s">
        <v>74</v>
      </c>
      <c r="BB256" s="1" t="s">
        <v>74</v>
      </c>
      <c r="BC256" s="1" t="s">
        <v>74</v>
      </c>
      <c r="BD256" s="1">
        <v>105081.0</v>
      </c>
      <c r="BE256" s="1" t="s">
        <v>2498</v>
      </c>
      <c r="BF256" s="2" t="str">
        <f>HYPERLINK("http://dx.doi.org/10.1016/j.ijrmms.2022.105081","http://dx.doi.org/10.1016/j.ijrmms.2022.105081")</f>
        <v>http://dx.doi.org/10.1016/j.ijrmms.2022.105081</v>
      </c>
      <c r="BG256" s="1" t="s">
        <v>74</v>
      </c>
      <c r="BH256" s="1" t="s">
        <v>2499</v>
      </c>
      <c r="BI256" s="1" t="s">
        <v>74</v>
      </c>
      <c r="BJ256" s="1" t="s">
        <v>74</v>
      </c>
      <c r="BK256" s="1" t="s">
        <v>74</v>
      </c>
      <c r="BL256" s="1" t="s">
        <v>74</v>
      </c>
      <c r="BM256" s="1" t="s">
        <v>74</v>
      </c>
      <c r="BN256" s="1" t="s">
        <v>74</v>
      </c>
      <c r="BO256" s="1" t="s">
        <v>74</v>
      </c>
      <c r="BP256" s="1" t="s">
        <v>74</v>
      </c>
      <c r="BQ256" s="1" t="s">
        <v>74</v>
      </c>
      <c r="BR256" s="1" t="s">
        <v>74</v>
      </c>
      <c r="BS256" s="1" t="s">
        <v>2500</v>
      </c>
      <c r="BT256" s="1" t="str">
        <f>HYPERLINK("https%3A%2F%2Fwww.webofscience.com%2Fwos%2Fwoscc%2Ffull-record%2FWOS:000793263000001","View Full Record in Web of Science")</f>
        <v>View Full Record in Web of Science</v>
      </c>
    </row>
    <row r="257" ht="12.75" customHeight="1">
      <c r="A257" s="1" t="s">
        <v>72</v>
      </c>
      <c r="B257" s="1" t="s">
        <v>2501</v>
      </c>
      <c r="C257" s="1" t="s">
        <v>74</v>
      </c>
      <c r="D257" s="1" t="s">
        <v>74</v>
      </c>
      <c r="E257" s="1" t="s">
        <v>74</v>
      </c>
      <c r="F257" s="1" t="s">
        <v>2502</v>
      </c>
      <c r="G257" s="1" t="s">
        <v>74</v>
      </c>
      <c r="H257" s="1" t="s">
        <v>74</v>
      </c>
      <c r="I257" s="1" t="s">
        <v>2503</v>
      </c>
      <c r="J257" s="1" t="s">
        <v>2504</v>
      </c>
      <c r="K257" s="1" t="s">
        <v>74</v>
      </c>
      <c r="L257" s="1" t="s">
        <v>74</v>
      </c>
      <c r="M257" s="1" t="s">
        <v>74</v>
      </c>
      <c r="N257" s="1" t="s">
        <v>74</v>
      </c>
      <c r="O257" s="1" t="s">
        <v>74</v>
      </c>
      <c r="P257" s="1" t="s">
        <v>74</v>
      </c>
      <c r="Q257" s="1" t="s">
        <v>74</v>
      </c>
      <c r="R257" s="1" t="s">
        <v>74</v>
      </c>
      <c r="S257" s="1" t="s">
        <v>74</v>
      </c>
      <c r="T257" s="1" t="s">
        <v>74</v>
      </c>
      <c r="U257" s="1" t="s">
        <v>74</v>
      </c>
      <c r="V257" s="1" t="s">
        <v>2505</v>
      </c>
      <c r="W257" s="1" t="s">
        <v>74</v>
      </c>
      <c r="X257" s="1" t="s">
        <v>74</v>
      </c>
      <c r="Y257" s="1" t="s">
        <v>74</v>
      </c>
      <c r="Z257" s="1" t="s">
        <v>74</v>
      </c>
      <c r="AA257" s="1" t="s">
        <v>2506</v>
      </c>
      <c r="AB257" s="1" t="s">
        <v>2507</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2508</v>
      </c>
      <c r="AP257" s="1" t="s">
        <v>74</v>
      </c>
      <c r="AQ257" s="1" t="s">
        <v>74</v>
      </c>
      <c r="AR257" s="1" t="s">
        <v>74</v>
      </c>
      <c r="AS257" s="1" t="s">
        <v>74</v>
      </c>
      <c r="AT257" s="1" t="s">
        <v>82</v>
      </c>
      <c r="AU257" s="1">
        <v>2022.0</v>
      </c>
      <c r="AV257" s="1">
        <v>47.0</v>
      </c>
      <c r="AW257" s="1" t="s">
        <v>74</v>
      </c>
      <c r="AX257" s="1" t="s">
        <v>74</v>
      </c>
      <c r="AY257" s="1" t="s">
        <v>74</v>
      </c>
      <c r="AZ257" s="1" t="s">
        <v>74</v>
      </c>
      <c r="BA257" s="1" t="s">
        <v>74</v>
      </c>
      <c r="BB257" s="1" t="s">
        <v>74</v>
      </c>
      <c r="BC257" s="1" t="s">
        <v>74</v>
      </c>
      <c r="BD257" s="1">
        <v>102642.0</v>
      </c>
      <c r="BE257" s="1" t="s">
        <v>2509</v>
      </c>
      <c r="BF257" s="2" t="str">
        <f>HYPERLINK("http://dx.doi.org/10.1016/j.jwpe.2022.102642","http://dx.doi.org/10.1016/j.jwpe.2022.102642")</f>
        <v>http://dx.doi.org/10.1016/j.jwpe.2022.102642</v>
      </c>
      <c r="BG257" s="1" t="s">
        <v>74</v>
      </c>
      <c r="BH257" s="1" t="s">
        <v>1335</v>
      </c>
      <c r="BI257" s="1" t="s">
        <v>74</v>
      </c>
      <c r="BJ257" s="1" t="s">
        <v>74</v>
      </c>
      <c r="BK257" s="1" t="s">
        <v>74</v>
      </c>
      <c r="BL257" s="1" t="s">
        <v>74</v>
      </c>
      <c r="BM257" s="1" t="s">
        <v>74</v>
      </c>
      <c r="BN257" s="1" t="s">
        <v>74</v>
      </c>
      <c r="BO257" s="1" t="s">
        <v>74</v>
      </c>
      <c r="BP257" s="1" t="s">
        <v>74</v>
      </c>
      <c r="BQ257" s="1" t="s">
        <v>74</v>
      </c>
      <c r="BR257" s="1" t="s">
        <v>74</v>
      </c>
      <c r="BS257" s="1" t="s">
        <v>2510</v>
      </c>
      <c r="BT257" s="1" t="str">
        <f>HYPERLINK("https%3A%2F%2Fwww.webofscience.com%2Fwos%2Fwoscc%2Ffull-record%2FWOS:000819961200002","View Full Record in Web of Science")</f>
        <v>View Full Record in Web of Science</v>
      </c>
    </row>
    <row r="258" ht="12.75" customHeight="1">
      <c r="A258" s="1" t="s">
        <v>241</v>
      </c>
      <c r="B258" s="1" t="s">
        <v>2511</v>
      </c>
      <c r="C258" s="1" t="s">
        <v>74</v>
      </c>
      <c r="D258" s="1" t="s">
        <v>1322</v>
      </c>
      <c r="E258" s="1" t="s">
        <v>74</v>
      </c>
      <c r="F258" s="1" t="s">
        <v>2512</v>
      </c>
      <c r="G258" s="1" t="s">
        <v>74</v>
      </c>
      <c r="H258" s="1" t="s">
        <v>74</v>
      </c>
      <c r="I258" s="1" t="s">
        <v>2513</v>
      </c>
      <c r="J258" s="1" t="s">
        <v>1325</v>
      </c>
      <c r="K258" s="1" t="s">
        <v>1326</v>
      </c>
      <c r="L258" s="1" t="s">
        <v>74</v>
      </c>
      <c r="M258" s="1" t="s">
        <v>74</v>
      </c>
      <c r="N258" s="1" t="s">
        <v>74</v>
      </c>
      <c r="O258" s="1" t="s">
        <v>1327</v>
      </c>
      <c r="P258" s="1" t="s">
        <v>1328</v>
      </c>
      <c r="Q258" s="1" t="s">
        <v>1329</v>
      </c>
      <c r="R258" s="1" t="s">
        <v>74</v>
      </c>
      <c r="S258" s="1" t="s">
        <v>74</v>
      </c>
      <c r="T258" s="1" t="s">
        <v>74</v>
      </c>
      <c r="U258" s="1" t="s">
        <v>74</v>
      </c>
      <c r="V258" s="1" t="s">
        <v>2514</v>
      </c>
      <c r="W258" s="1" t="s">
        <v>74</v>
      </c>
      <c r="X258" s="1" t="s">
        <v>74</v>
      </c>
      <c r="Y258" s="1" t="s">
        <v>74</v>
      </c>
      <c r="Z258" s="1" t="s">
        <v>74</v>
      </c>
      <c r="AA258" s="1" t="s">
        <v>2515</v>
      </c>
      <c r="AB258" s="1" t="s">
        <v>2516</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1333</v>
      </c>
      <c r="AP258" s="1" t="s">
        <v>74</v>
      </c>
      <c r="AQ258" s="1" t="s">
        <v>74</v>
      </c>
      <c r="AR258" s="1" t="s">
        <v>74</v>
      </c>
      <c r="AS258" s="1" t="s">
        <v>74</v>
      </c>
      <c r="AT258" s="1" t="s">
        <v>74</v>
      </c>
      <c r="AU258" s="1">
        <v>2022.0</v>
      </c>
      <c r="AV258" s="1">
        <v>199.0</v>
      </c>
      <c r="AW258" s="1" t="s">
        <v>74</v>
      </c>
      <c r="AX258" s="1" t="s">
        <v>74</v>
      </c>
      <c r="AY258" s="1" t="s">
        <v>74</v>
      </c>
      <c r="AZ258" s="1" t="s">
        <v>74</v>
      </c>
      <c r="BA258" s="1" t="s">
        <v>74</v>
      </c>
      <c r="BB258" s="1">
        <v>1393.0</v>
      </c>
      <c r="BC258" s="1">
        <v>1400.0</v>
      </c>
      <c r="BD258" s="1" t="s">
        <v>74</v>
      </c>
      <c r="BE258" s="1" t="s">
        <v>2517</v>
      </c>
      <c r="BF258" s="2" t="str">
        <f>HYPERLINK("http://dx.doi.org/10.1016/j.procs.2022.01.176","http://dx.doi.org/10.1016/j.procs.2022.01.176")</f>
        <v>http://dx.doi.org/10.1016/j.procs.2022.01.176</v>
      </c>
      <c r="BG258" s="1" t="s">
        <v>74</v>
      </c>
      <c r="BH258" s="1" t="s">
        <v>1335</v>
      </c>
      <c r="BI258" s="1" t="s">
        <v>74</v>
      </c>
      <c r="BJ258" s="1" t="s">
        <v>74</v>
      </c>
      <c r="BK258" s="1" t="s">
        <v>74</v>
      </c>
      <c r="BL258" s="1" t="s">
        <v>74</v>
      </c>
      <c r="BM258" s="1" t="s">
        <v>74</v>
      </c>
      <c r="BN258" s="1" t="s">
        <v>74</v>
      </c>
      <c r="BO258" s="1" t="s">
        <v>74</v>
      </c>
      <c r="BP258" s="1" t="s">
        <v>74</v>
      </c>
      <c r="BQ258" s="1" t="s">
        <v>74</v>
      </c>
      <c r="BR258" s="1" t="s">
        <v>74</v>
      </c>
      <c r="BS258" s="1" t="s">
        <v>2518</v>
      </c>
      <c r="BT258" s="1" t="str">
        <f>HYPERLINK("https%3A%2F%2Fwww.webofscience.com%2Fwos%2Fwoscc%2Ffull-record%2FWOS:000765802100179","View Full Record in Web of Science")</f>
        <v>View Full Record in Web of Science</v>
      </c>
    </row>
    <row r="259" ht="12.75" customHeight="1">
      <c r="A259" s="1" t="s">
        <v>72</v>
      </c>
      <c r="B259" s="1" t="s">
        <v>2519</v>
      </c>
      <c r="C259" s="1" t="s">
        <v>74</v>
      </c>
      <c r="D259" s="1" t="s">
        <v>74</v>
      </c>
      <c r="E259" s="1" t="s">
        <v>74</v>
      </c>
      <c r="F259" s="1" t="s">
        <v>2520</v>
      </c>
      <c r="G259" s="1" t="s">
        <v>74</v>
      </c>
      <c r="H259" s="1" t="s">
        <v>74</v>
      </c>
      <c r="I259" s="1" t="s">
        <v>2521</v>
      </c>
      <c r="J259" s="1" t="s">
        <v>2522</v>
      </c>
      <c r="K259" s="1" t="s">
        <v>74</v>
      </c>
      <c r="L259" s="1" t="s">
        <v>74</v>
      </c>
      <c r="M259" s="1" t="s">
        <v>74</v>
      </c>
      <c r="N259" s="1" t="s">
        <v>74</v>
      </c>
      <c r="O259" s="1" t="s">
        <v>74</v>
      </c>
      <c r="P259" s="1" t="s">
        <v>74</v>
      </c>
      <c r="Q259" s="1" t="s">
        <v>74</v>
      </c>
      <c r="R259" s="1" t="s">
        <v>74</v>
      </c>
      <c r="S259" s="1" t="s">
        <v>74</v>
      </c>
      <c r="T259" s="1" t="s">
        <v>74</v>
      </c>
      <c r="U259" s="1" t="s">
        <v>74</v>
      </c>
      <c r="V259" s="1" t="s">
        <v>2523</v>
      </c>
      <c r="W259" s="1" t="s">
        <v>74</v>
      </c>
      <c r="X259" s="1" t="s">
        <v>74</v>
      </c>
      <c r="Y259" s="1" t="s">
        <v>74</v>
      </c>
      <c r="Z259" s="1" t="s">
        <v>74</v>
      </c>
      <c r="AA259" s="1" t="s">
        <v>74</v>
      </c>
      <c r="AB259" s="1" t="s">
        <v>74</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2524</v>
      </c>
      <c r="AP259" s="1" t="s">
        <v>2525</v>
      </c>
      <c r="AQ259" s="1" t="s">
        <v>74</v>
      </c>
      <c r="AR259" s="1" t="s">
        <v>74</v>
      </c>
      <c r="AS259" s="1" t="s">
        <v>74</v>
      </c>
      <c r="AT259" s="1" t="s">
        <v>74</v>
      </c>
      <c r="AU259" s="1">
        <v>2021.0</v>
      </c>
      <c r="AV259" s="1">
        <v>39.0</v>
      </c>
      <c r="AW259" s="1">
        <v>1.0</v>
      </c>
      <c r="AX259" s="1" t="s">
        <v>74</v>
      </c>
      <c r="AY259" s="1" t="s">
        <v>74</v>
      </c>
      <c r="AZ259" s="1" t="s">
        <v>74</v>
      </c>
      <c r="BA259" s="1" t="s">
        <v>74</v>
      </c>
      <c r="BB259" s="1">
        <v>113.0</v>
      </c>
      <c r="BC259" s="1">
        <v>131.0</v>
      </c>
      <c r="BD259" s="1" t="s">
        <v>74</v>
      </c>
      <c r="BE259" s="1" t="s">
        <v>2526</v>
      </c>
      <c r="BF259" s="2" t="str">
        <f>HYPERLINK("http://dx.doi.org/10.5209/crla.76228","http://dx.doi.org/10.5209/crla.76228")</f>
        <v>http://dx.doi.org/10.5209/crla.76228</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2527</v>
      </c>
      <c r="BT259" s="1" t="str">
        <f>HYPERLINK("https%3A%2F%2Fwww.webofscience.com%2Fwos%2Fwoscc%2Ffull-record%2FWOS:000661884100007","View Full Record in Web of Science")</f>
        <v>View Full Record in Web of Science</v>
      </c>
    </row>
    <row r="260" ht="12.75" customHeight="1">
      <c r="A260" s="1" t="s">
        <v>72</v>
      </c>
      <c r="B260" s="1" t="s">
        <v>2528</v>
      </c>
      <c r="C260" s="1" t="s">
        <v>74</v>
      </c>
      <c r="D260" s="1" t="s">
        <v>74</v>
      </c>
      <c r="E260" s="1" t="s">
        <v>74</v>
      </c>
      <c r="F260" s="1" t="s">
        <v>2529</v>
      </c>
      <c r="G260" s="1" t="s">
        <v>74</v>
      </c>
      <c r="H260" s="1" t="s">
        <v>74</v>
      </c>
      <c r="I260" s="1" t="s">
        <v>2530</v>
      </c>
      <c r="J260" s="1" t="s">
        <v>2531</v>
      </c>
      <c r="K260" s="1" t="s">
        <v>74</v>
      </c>
      <c r="L260" s="1" t="s">
        <v>74</v>
      </c>
      <c r="M260" s="1" t="s">
        <v>74</v>
      </c>
      <c r="N260" s="1" t="s">
        <v>74</v>
      </c>
      <c r="O260" s="1" t="s">
        <v>74</v>
      </c>
      <c r="P260" s="1" t="s">
        <v>74</v>
      </c>
      <c r="Q260" s="1" t="s">
        <v>74</v>
      </c>
      <c r="R260" s="1" t="s">
        <v>74</v>
      </c>
      <c r="S260" s="1" t="s">
        <v>74</v>
      </c>
      <c r="T260" s="1" t="s">
        <v>74</v>
      </c>
      <c r="U260" s="1" t="s">
        <v>74</v>
      </c>
      <c r="V260" s="1" t="s">
        <v>2532</v>
      </c>
      <c r="W260" s="1" t="s">
        <v>74</v>
      </c>
      <c r="X260" s="1" t="s">
        <v>74</v>
      </c>
      <c r="Y260" s="1" t="s">
        <v>74</v>
      </c>
      <c r="Z260" s="1" t="s">
        <v>74</v>
      </c>
      <c r="AA260" s="1" t="s">
        <v>2533</v>
      </c>
      <c r="AB260" s="1" t="s">
        <v>2534</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74</v>
      </c>
      <c r="AP260" s="1" t="s">
        <v>2535</v>
      </c>
      <c r="AQ260" s="1" t="s">
        <v>74</v>
      </c>
      <c r="AR260" s="1" t="s">
        <v>74</v>
      </c>
      <c r="AS260" s="1" t="s">
        <v>74</v>
      </c>
      <c r="AT260" s="1" t="s">
        <v>106</v>
      </c>
      <c r="AU260" s="1">
        <v>2020.0</v>
      </c>
      <c r="AV260" s="1">
        <v>9.0</v>
      </c>
      <c r="AW260" s="1">
        <v>9.0</v>
      </c>
      <c r="AX260" s="1" t="s">
        <v>74</v>
      </c>
      <c r="AY260" s="1" t="s">
        <v>74</v>
      </c>
      <c r="AZ260" s="1" t="s">
        <v>74</v>
      </c>
      <c r="BA260" s="1" t="s">
        <v>74</v>
      </c>
      <c r="BB260" s="1" t="s">
        <v>74</v>
      </c>
      <c r="BC260" s="1" t="s">
        <v>74</v>
      </c>
      <c r="BD260" s="1">
        <v>1224.0</v>
      </c>
      <c r="BE260" s="1" t="s">
        <v>2536</v>
      </c>
      <c r="BF260" s="2" t="str">
        <f>HYPERLINK("http://dx.doi.org/10.3390/foods9091224","http://dx.doi.org/10.3390/foods9091224")</f>
        <v>http://dx.doi.org/10.3390/foods9091224</v>
      </c>
      <c r="BG260" s="1" t="s">
        <v>74</v>
      </c>
      <c r="BH260" s="1" t="s">
        <v>74</v>
      </c>
      <c r="BI260" s="1" t="s">
        <v>74</v>
      </c>
      <c r="BJ260" s="1" t="s">
        <v>74</v>
      </c>
      <c r="BK260" s="1" t="s">
        <v>74</v>
      </c>
      <c r="BL260" s="1" t="s">
        <v>74</v>
      </c>
      <c r="BM260" s="1" t="s">
        <v>74</v>
      </c>
      <c r="BN260" s="1">
        <v>3.2887455E7</v>
      </c>
      <c r="BO260" s="1" t="s">
        <v>74</v>
      </c>
      <c r="BP260" s="1" t="s">
        <v>74</v>
      </c>
      <c r="BQ260" s="1" t="s">
        <v>74</v>
      </c>
      <c r="BR260" s="1" t="s">
        <v>74</v>
      </c>
      <c r="BS260" s="1" t="s">
        <v>2537</v>
      </c>
      <c r="BT260" s="1" t="str">
        <f>HYPERLINK("https%3A%2F%2Fwww.webofscience.com%2Fwos%2Fwoscc%2Ffull-record%2FWOS:000580129800001","View Full Record in Web of Science")</f>
        <v>View Full Record in Web of Science</v>
      </c>
    </row>
    <row r="261" ht="12.75" customHeight="1">
      <c r="A261" s="1" t="s">
        <v>241</v>
      </c>
      <c r="B261" s="1" t="s">
        <v>2538</v>
      </c>
      <c r="C261" s="1" t="s">
        <v>74</v>
      </c>
      <c r="D261" s="1" t="s">
        <v>74</v>
      </c>
      <c r="E261" s="1" t="s">
        <v>427</v>
      </c>
      <c r="F261" s="1" t="s">
        <v>2539</v>
      </c>
      <c r="G261" s="1" t="s">
        <v>74</v>
      </c>
      <c r="H261" s="1" t="s">
        <v>74</v>
      </c>
      <c r="I261" s="1" t="s">
        <v>2540</v>
      </c>
      <c r="J261" s="1" t="s">
        <v>2541</v>
      </c>
      <c r="K261" s="1" t="s">
        <v>74</v>
      </c>
      <c r="L261" s="1" t="s">
        <v>74</v>
      </c>
      <c r="M261" s="1" t="s">
        <v>74</v>
      </c>
      <c r="N261" s="1" t="s">
        <v>74</v>
      </c>
      <c r="O261" s="1" t="s">
        <v>2542</v>
      </c>
      <c r="P261" s="1" t="s">
        <v>2543</v>
      </c>
      <c r="Q261" s="1" t="s">
        <v>2544</v>
      </c>
      <c r="R261" s="1" t="s">
        <v>427</v>
      </c>
      <c r="S261" s="1" t="s">
        <v>2545</v>
      </c>
      <c r="T261" s="1" t="s">
        <v>74</v>
      </c>
      <c r="U261" s="1" t="s">
        <v>74</v>
      </c>
      <c r="V261" s="1" t="s">
        <v>2546</v>
      </c>
      <c r="W261" s="1" t="s">
        <v>74</v>
      </c>
      <c r="X261" s="1" t="s">
        <v>74</v>
      </c>
      <c r="Y261" s="1" t="s">
        <v>74</v>
      </c>
      <c r="Z261" s="1" t="s">
        <v>74</v>
      </c>
      <c r="AA261" s="1" t="s">
        <v>2547</v>
      </c>
      <c r="AB261" s="1" t="s">
        <v>74</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74</v>
      </c>
      <c r="AP261" s="1" t="s">
        <v>74</v>
      </c>
      <c r="AQ261" s="1" t="s">
        <v>2548</v>
      </c>
      <c r="AR261" s="1" t="s">
        <v>74</v>
      </c>
      <c r="AS261" s="1" t="s">
        <v>74</v>
      </c>
      <c r="AT261" s="1" t="s">
        <v>74</v>
      </c>
      <c r="AU261" s="1">
        <v>2016.0</v>
      </c>
      <c r="AV261" s="1" t="s">
        <v>74</v>
      </c>
      <c r="AW261" s="1" t="s">
        <v>74</v>
      </c>
      <c r="AX261" s="1" t="s">
        <v>74</v>
      </c>
      <c r="AY261" s="1" t="s">
        <v>74</v>
      </c>
      <c r="AZ261" s="1" t="s">
        <v>74</v>
      </c>
      <c r="BA261" s="1" t="s">
        <v>74</v>
      </c>
      <c r="BB261" s="1" t="s">
        <v>74</v>
      </c>
      <c r="BC261" s="1" t="s">
        <v>74</v>
      </c>
      <c r="BD261" s="1" t="s">
        <v>74</v>
      </c>
      <c r="BE261" s="1" t="s">
        <v>74</v>
      </c>
      <c r="BF261" s="1" t="s">
        <v>74</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2549</v>
      </c>
      <c r="BT261" s="1" t="str">
        <f>HYPERLINK("https%3A%2F%2Fwww.webofscience.com%2Fwos%2Fwoscc%2Ffull-record%2FWOS:000390556300107","View Full Record in Web of Science")</f>
        <v>View Full Record in Web of Science</v>
      </c>
    </row>
    <row r="262" ht="12.75" customHeight="1">
      <c r="A262" s="1" t="s">
        <v>72</v>
      </c>
      <c r="B262" s="1" t="s">
        <v>2550</v>
      </c>
      <c r="C262" s="1" t="s">
        <v>74</v>
      </c>
      <c r="D262" s="1" t="s">
        <v>74</v>
      </c>
      <c r="E262" s="1" t="s">
        <v>74</v>
      </c>
      <c r="F262" s="1" t="s">
        <v>2551</v>
      </c>
      <c r="G262" s="1" t="s">
        <v>74</v>
      </c>
      <c r="H262" s="1" t="s">
        <v>74</v>
      </c>
      <c r="I262" s="1" t="s">
        <v>2552</v>
      </c>
      <c r="J262" s="1" t="s">
        <v>2553</v>
      </c>
      <c r="K262" s="1" t="s">
        <v>74</v>
      </c>
      <c r="L262" s="1" t="s">
        <v>74</v>
      </c>
      <c r="M262" s="1" t="s">
        <v>74</v>
      </c>
      <c r="N262" s="1" t="s">
        <v>74</v>
      </c>
      <c r="O262" s="1" t="s">
        <v>74</v>
      </c>
      <c r="P262" s="1" t="s">
        <v>74</v>
      </c>
      <c r="Q262" s="1" t="s">
        <v>74</v>
      </c>
      <c r="R262" s="1" t="s">
        <v>74</v>
      </c>
      <c r="S262" s="1" t="s">
        <v>74</v>
      </c>
      <c r="T262" s="1" t="s">
        <v>74</v>
      </c>
      <c r="U262" s="1" t="s">
        <v>74</v>
      </c>
      <c r="V262" s="1" t="s">
        <v>2554</v>
      </c>
      <c r="W262" s="1" t="s">
        <v>74</v>
      </c>
      <c r="X262" s="1" t="s">
        <v>74</v>
      </c>
      <c r="Y262" s="1" t="s">
        <v>74</v>
      </c>
      <c r="Z262" s="1" t="s">
        <v>74</v>
      </c>
      <c r="AA262" s="1" t="s">
        <v>74</v>
      </c>
      <c r="AB262" s="1" t="s">
        <v>74</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2555</v>
      </c>
      <c r="AP262" s="1" t="s">
        <v>2556</v>
      </c>
      <c r="AQ262" s="1" t="s">
        <v>74</v>
      </c>
      <c r="AR262" s="1" t="s">
        <v>74</v>
      </c>
      <c r="AS262" s="1" t="s">
        <v>74</v>
      </c>
      <c r="AT262" s="1" t="s">
        <v>638</v>
      </c>
      <c r="AU262" s="1">
        <v>2014.0</v>
      </c>
      <c r="AV262" s="1">
        <v>24.0</v>
      </c>
      <c r="AW262" s="1">
        <v>6.0</v>
      </c>
      <c r="AX262" s="1" t="s">
        <v>74</v>
      </c>
      <c r="AY262" s="1" t="s">
        <v>74</v>
      </c>
      <c r="AZ262" s="1" t="s">
        <v>74</v>
      </c>
      <c r="BA262" s="1" t="s">
        <v>74</v>
      </c>
      <c r="BB262" s="1">
        <v>537.0</v>
      </c>
      <c r="BC262" s="1">
        <v>542.0</v>
      </c>
      <c r="BD262" s="1" t="s">
        <v>74</v>
      </c>
      <c r="BE262" s="1" t="s">
        <v>2557</v>
      </c>
      <c r="BF262" s="2" t="str">
        <f>HYPERLINK("http://dx.doi.org/10.1111/jon.12141","http://dx.doi.org/10.1111/jon.12141")</f>
        <v>http://dx.doi.org/10.1111/jon.12141</v>
      </c>
      <c r="BG262" s="1" t="s">
        <v>74</v>
      </c>
      <c r="BH262" s="1" t="s">
        <v>74</v>
      </c>
      <c r="BI262" s="1" t="s">
        <v>74</v>
      </c>
      <c r="BJ262" s="1" t="s">
        <v>74</v>
      </c>
      <c r="BK262" s="1" t="s">
        <v>74</v>
      </c>
      <c r="BL262" s="1" t="s">
        <v>74</v>
      </c>
      <c r="BM262" s="1" t="s">
        <v>74</v>
      </c>
      <c r="BN262" s="1">
        <v>2.5040232E7</v>
      </c>
      <c r="BO262" s="1" t="s">
        <v>74</v>
      </c>
      <c r="BP262" s="1" t="s">
        <v>74</v>
      </c>
      <c r="BQ262" s="1" t="s">
        <v>74</v>
      </c>
      <c r="BR262" s="1" t="s">
        <v>74</v>
      </c>
      <c r="BS262" s="1" t="s">
        <v>2558</v>
      </c>
      <c r="BT262" s="1" t="str">
        <f>HYPERLINK("https%3A%2F%2Fwww.webofscience.com%2Fwos%2Fwoscc%2Ffull-record%2FWOS:000344354600001","View Full Record in Web of Science")</f>
        <v>View Full Record in Web of Science</v>
      </c>
    </row>
    <row r="263" ht="12.75" customHeight="1">
      <c r="A263" s="1" t="s">
        <v>72</v>
      </c>
      <c r="B263" s="1" t="s">
        <v>2559</v>
      </c>
      <c r="C263" s="1" t="s">
        <v>74</v>
      </c>
      <c r="D263" s="1" t="s">
        <v>74</v>
      </c>
      <c r="E263" s="1" t="s">
        <v>74</v>
      </c>
      <c r="F263" s="1" t="s">
        <v>2560</v>
      </c>
      <c r="G263" s="1" t="s">
        <v>74</v>
      </c>
      <c r="H263" s="1" t="s">
        <v>74</v>
      </c>
      <c r="I263" s="1" t="s">
        <v>2561</v>
      </c>
      <c r="J263" s="1" t="s">
        <v>2562</v>
      </c>
      <c r="K263" s="1" t="s">
        <v>74</v>
      </c>
      <c r="L263" s="1" t="s">
        <v>74</v>
      </c>
      <c r="M263" s="1" t="s">
        <v>74</v>
      </c>
      <c r="N263" s="1" t="s">
        <v>74</v>
      </c>
      <c r="O263" s="1" t="s">
        <v>74</v>
      </c>
      <c r="P263" s="1" t="s">
        <v>74</v>
      </c>
      <c r="Q263" s="1" t="s">
        <v>74</v>
      </c>
      <c r="R263" s="1" t="s">
        <v>74</v>
      </c>
      <c r="S263" s="1" t="s">
        <v>74</v>
      </c>
      <c r="T263" s="1" t="s">
        <v>74</v>
      </c>
      <c r="U263" s="1" t="s">
        <v>74</v>
      </c>
      <c r="V263" s="1" t="s">
        <v>2563</v>
      </c>
      <c r="W263" s="1" t="s">
        <v>74</v>
      </c>
      <c r="X263" s="1" t="s">
        <v>74</v>
      </c>
      <c r="Y263" s="1" t="s">
        <v>74</v>
      </c>
      <c r="Z263" s="1" t="s">
        <v>74</v>
      </c>
      <c r="AA263" s="1" t="s">
        <v>2564</v>
      </c>
      <c r="AB263" s="1" t="s">
        <v>2565</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2566</v>
      </c>
      <c r="AP263" s="1" t="s">
        <v>74</v>
      </c>
      <c r="AQ263" s="1" t="s">
        <v>74</v>
      </c>
      <c r="AR263" s="1" t="s">
        <v>74</v>
      </c>
      <c r="AS263" s="1" t="s">
        <v>74</v>
      </c>
      <c r="AT263" s="1" t="s">
        <v>2567</v>
      </c>
      <c r="AU263" s="1">
        <v>2010.0</v>
      </c>
      <c r="AV263" s="1">
        <v>141.0</v>
      </c>
      <c r="AW263" s="1" t="s">
        <v>1569</v>
      </c>
      <c r="AX263" s="1" t="s">
        <v>74</v>
      </c>
      <c r="AY263" s="1" t="s">
        <v>74</v>
      </c>
      <c r="AZ263" s="1" t="s">
        <v>74</v>
      </c>
      <c r="BA263" s="1" t="s">
        <v>74</v>
      </c>
      <c r="BB263" s="1">
        <v>53.0</v>
      </c>
      <c r="BC263" s="1">
        <v>58.0</v>
      </c>
      <c r="BD263" s="1" t="s">
        <v>74</v>
      </c>
      <c r="BE263" s="1" t="s">
        <v>2568</v>
      </c>
      <c r="BF263" s="2" t="str">
        <f>HYPERLINK("http://dx.doi.org/10.1016/j.vetmic.2009.09.005","http://dx.doi.org/10.1016/j.vetmic.2009.09.005")</f>
        <v>http://dx.doi.org/10.1016/j.vetmic.2009.09.005</v>
      </c>
      <c r="BG263" s="1" t="s">
        <v>74</v>
      </c>
      <c r="BH263" s="1" t="s">
        <v>74</v>
      </c>
      <c r="BI263" s="1" t="s">
        <v>74</v>
      </c>
      <c r="BJ263" s="1" t="s">
        <v>74</v>
      </c>
      <c r="BK263" s="1" t="s">
        <v>74</v>
      </c>
      <c r="BL263" s="1" t="s">
        <v>74</v>
      </c>
      <c r="BM263" s="1" t="s">
        <v>74</v>
      </c>
      <c r="BN263" s="1">
        <v>1.9818567E7</v>
      </c>
      <c r="BO263" s="1" t="s">
        <v>74</v>
      </c>
      <c r="BP263" s="1" t="s">
        <v>74</v>
      </c>
      <c r="BQ263" s="1" t="s">
        <v>74</v>
      </c>
      <c r="BR263" s="1" t="s">
        <v>74</v>
      </c>
      <c r="BS263" s="1" t="s">
        <v>2569</v>
      </c>
      <c r="BT263" s="1" t="str">
        <f>HYPERLINK("https%3A%2F%2Fwww.webofscience.com%2Fwos%2Fwoscc%2Ffull-record%2FWOS:000275610200008","View Full Record in Web of Science")</f>
        <v>View Full Record in Web of Science</v>
      </c>
    </row>
    <row r="264" ht="12.75" customHeight="1">
      <c r="A264" s="1" t="s">
        <v>241</v>
      </c>
      <c r="B264" s="1" t="s">
        <v>1881</v>
      </c>
      <c r="C264" s="1" t="s">
        <v>74</v>
      </c>
      <c r="D264" s="1" t="s">
        <v>2570</v>
      </c>
      <c r="E264" s="1" t="s">
        <v>74</v>
      </c>
      <c r="F264" s="1" t="s">
        <v>2571</v>
      </c>
      <c r="G264" s="1" t="s">
        <v>74</v>
      </c>
      <c r="H264" s="1" t="s">
        <v>74</v>
      </c>
      <c r="I264" s="1" t="s">
        <v>2572</v>
      </c>
      <c r="J264" s="1" t="s">
        <v>2573</v>
      </c>
      <c r="K264" s="1" t="s">
        <v>2574</v>
      </c>
      <c r="L264" s="1" t="s">
        <v>74</v>
      </c>
      <c r="M264" s="1" t="s">
        <v>74</v>
      </c>
      <c r="N264" s="1" t="s">
        <v>74</v>
      </c>
      <c r="O264" s="1" t="s">
        <v>2575</v>
      </c>
      <c r="P264" s="1" t="s">
        <v>2576</v>
      </c>
      <c r="Q264" s="1" t="s">
        <v>2577</v>
      </c>
      <c r="R264" s="1" t="s">
        <v>2578</v>
      </c>
      <c r="S264" s="1" t="s">
        <v>74</v>
      </c>
      <c r="T264" s="1" t="s">
        <v>74</v>
      </c>
      <c r="U264" s="1" t="s">
        <v>74</v>
      </c>
      <c r="V264" s="1" t="s">
        <v>2579</v>
      </c>
      <c r="W264" s="1" t="s">
        <v>74</v>
      </c>
      <c r="X264" s="1" t="s">
        <v>74</v>
      </c>
      <c r="Y264" s="1" t="s">
        <v>74</v>
      </c>
      <c r="Z264" s="1" t="s">
        <v>74</v>
      </c>
      <c r="AA264" s="1" t="s">
        <v>2079</v>
      </c>
      <c r="AB264" s="1" t="s">
        <v>1876</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2580</v>
      </c>
      <c r="AP264" s="1" t="s">
        <v>74</v>
      </c>
      <c r="AQ264" s="1" t="s">
        <v>2581</v>
      </c>
      <c r="AR264" s="1" t="s">
        <v>74</v>
      </c>
      <c r="AS264" s="1" t="s">
        <v>74</v>
      </c>
      <c r="AT264" s="1" t="s">
        <v>74</v>
      </c>
      <c r="AU264" s="1">
        <v>2009.0</v>
      </c>
      <c r="AV264" s="1">
        <v>1145.0</v>
      </c>
      <c r="AW264" s="1" t="s">
        <v>74</v>
      </c>
      <c r="AX264" s="1" t="s">
        <v>74</v>
      </c>
      <c r="AY264" s="1" t="s">
        <v>74</v>
      </c>
      <c r="AZ264" s="1" t="s">
        <v>74</v>
      </c>
      <c r="BA264" s="1" t="s">
        <v>74</v>
      </c>
      <c r="BB264" s="1">
        <v>25.0</v>
      </c>
      <c r="BC264" s="1" t="s">
        <v>1748</v>
      </c>
      <c r="BD264" s="1" t="s">
        <v>74</v>
      </c>
      <c r="BE264" s="1" t="s">
        <v>74</v>
      </c>
      <c r="BF264" s="1" t="s">
        <v>74</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2582</v>
      </c>
      <c r="BT264" s="1" t="str">
        <f>HYPERLINK("https%3A%2F%2Fwww.webofscience.com%2Fwos%2Fwoscc%2Ffull-record%2FWOS:000270602900004","View Full Record in Web of Science")</f>
        <v>View Full Record in Web of Science</v>
      </c>
    </row>
    <row r="265" ht="12.75" customHeight="1">
      <c r="A265" s="1" t="s">
        <v>72</v>
      </c>
      <c r="B265" s="1" t="s">
        <v>2583</v>
      </c>
      <c r="C265" s="1" t="s">
        <v>74</v>
      </c>
      <c r="D265" s="1" t="s">
        <v>74</v>
      </c>
      <c r="E265" s="1" t="s">
        <v>74</v>
      </c>
      <c r="F265" s="1" t="s">
        <v>2584</v>
      </c>
      <c r="G265" s="1" t="s">
        <v>74</v>
      </c>
      <c r="H265" s="1" t="s">
        <v>74</v>
      </c>
      <c r="I265" s="1" t="s">
        <v>2585</v>
      </c>
      <c r="J265" s="1" t="s">
        <v>2586</v>
      </c>
      <c r="K265" s="1" t="s">
        <v>74</v>
      </c>
      <c r="L265" s="1" t="s">
        <v>74</v>
      </c>
      <c r="M265" s="1" t="s">
        <v>74</v>
      </c>
      <c r="N265" s="1" t="s">
        <v>74</v>
      </c>
      <c r="O265" s="1" t="s">
        <v>74</v>
      </c>
      <c r="P265" s="1" t="s">
        <v>74</v>
      </c>
      <c r="Q265" s="1" t="s">
        <v>74</v>
      </c>
      <c r="R265" s="1" t="s">
        <v>74</v>
      </c>
      <c r="S265" s="1" t="s">
        <v>74</v>
      </c>
      <c r="T265" s="1" t="s">
        <v>74</v>
      </c>
      <c r="U265" s="1" t="s">
        <v>74</v>
      </c>
      <c r="V265" s="1" t="s">
        <v>74</v>
      </c>
      <c r="W265" s="1" t="s">
        <v>74</v>
      </c>
      <c r="X265" s="1" t="s">
        <v>74</v>
      </c>
      <c r="Y265" s="1" t="s">
        <v>74</v>
      </c>
      <c r="Z265" s="1" t="s">
        <v>74</v>
      </c>
      <c r="AA265" s="1" t="s">
        <v>74</v>
      </c>
      <c r="AB265" s="1" t="s">
        <v>2587</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2588</v>
      </c>
      <c r="AP265" s="1" t="s">
        <v>2589</v>
      </c>
      <c r="AQ265" s="1" t="s">
        <v>74</v>
      </c>
      <c r="AR265" s="1" t="s">
        <v>74</v>
      </c>
      <c r="AS265" s="1" t="s">
        <v>74</v>
      </c>
      <c r="AT265" s="1" t="s">
        <v>501</v>
      </c>
      <c r="AU265" s="1">
        <v>2007.0</v>
      </c>
      <c r="AV265" s="1">
        <v>35.0</v>
      </c>
      <c r="AW265" s="1">
        <v>11.0</v>
      </c>
      <c r="AX265" s="1" t="s">
        <v>74</v>
      </c>
      <c r="AY265" s="1" t="s">
        <v>74</v>
      </c>
      <c r="AZ265" s="1" t="s">
        <v>74</v>
      </c>
      <c r="BA265" s="1" t="s">
        <v>74</v>
      </c>
      <c r="BB265" s="1">
        <v>794.0</v>
      </c>
      <c r="BC265" s="1">
        <v>796.0</v>
      </c>
      <c r="BD265" s="1" t="s">
        <v>74</v>
      </c>
      <c r="BE265" s="1" t="s">
        <v>2590</v>
      </c>
      <c r="BF265" s="2" t="str">
        <f>HYPERLINK("http://dx.doi.org/10.1016/j.bse.2007.03.020","http://dx.doi.org/10.1016/j.bse.2007.03.020")</f>
        <v>http://dx.doi.org/10.1016/j.bse.2007.03.020</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2591</v>
      </c>
      <c r="BT265" s="1" t="str">
        <f>HYPERLINK("https%3A%2F%2Fwww.webofscience.com%2Fwos%2Fwoscc%2Ffull-record%2FWOS:000250615000012","View Full Record in Web of Science")</f>
        <v>View Full Record in Web of Science</v>
      </c>
    </row>
    <row r="266" ht="12.75" customHeight="1">
      <c r="A266" s="1" t="s">
        <v>72</v>
      </c>
      <c r="B266" s="1" t="s">
        <v>2592</v>
      </c>
      <c r="C266" s="1" t="s">
        <v>74</v>
      </c>
      <c r="D266" s="1" t="s">
        <v>74</v>
      </c>
      <c r="E266" s="1" t="s">
        <v>74</v>
      </c>
      <c r="F266" s="1" t="s">
        <v>2593</v>
      </c>
      <c r="G266" s="1" t="s">
        <v>74</v>
      </c>
      <c r="H266" s="1" t="s">
        <v>74</v>
      </c>
      <c r="I266" s="1" t="s">
        <v>2594</v>
      </c>
      <c r="J266" s="1" t="s">
        <v>2595</v>
      </c>
      <c r="K266" s="1" t="s">
        <v>74</v>
      </c>
      <c r="L266" s="1" t="s">
        <v>74</v>
      </c>
      <c r="M266" s="1" t="s">
        <v>74</v>
      </c>
      <c r="N266" s="1" t="s">
        <v>74</v>
      </c>
      <c r="O266" s="1" t="s">
        <v>74</v>
      </c>
      <c r="P266" s="1" t="s">
        <v>74</v>
      </c>
      <c r="Q266" s="1" t="s">
        <v>74</v>
      </c>
      <c r="R266" s="1" t="s">
        <v>74</v>
      </c>
      <c r="S266" s="1" t="s">
        <v>74</v>
      </c>
      <c r="T266" s="1" t="s">
        <v>74</v>
      </c>
      <c r="U266" s="1" t="s">
        <v>74</v>
      </c>
      <c r="V266" s="1" t="s">
        <v>2596</v>
      </c>
      <c r="W266" s="1" t="s">
        <v>74</v>
      </c>
      <c r="X266" s="1" t="s">
        <v>74</v>
      </c>
      <c r="Y266" s="1" t="s">
        <v>74</v>
      </c>
      <c r="Z266" s="1" t="s">
        <v>74</v>
      </c>
      <c r="AA266" s="1" t="s">
        <v>74</v>
      </c>
      <c r="AB266" s="1" t="s">
        <v>74</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2597</v>
      </c>
      <c r="AP266" s="1" t="s">
        <v>74</v>
      </c>
      <c r="AQ266" s="1" t="s">
        <v>74</v>
      </c>
      <c r="AR266" s="1" t="s">
        <v>74</v>
      </c>
      <c r="AS266" s="1" t="s">
        <v>74</v>
      </c>
      <c r="AT266" s="1" t="s">
        <v>501</v>
      </c>
      <c r="AU266" s="1">
        <v>2006.0</v>
      </c>
      <c r="AV266" s="1">
        <v>20.0</v>
      </c>
      <c r="AW266" s="1">
        <v>11.0</v>
      </c>
      <c r="AX266" s="1" t="s">
        <v>74</v>
      </c>
      <c r="AY266" s="1" t="s">
        <v>74</v>
      </c>
      <c r="AZ266" s="1" t="s">
        <v>74</v>
      </c>
      <c r="BA266" s="1" t="s">
        <v>74</v>
      </c>
      <c r="BB266" s="1">
        <v>899.0</v>
      </c>
      <c r="BC266" s="1">
        <v>903.0</v>
      </c>
      <c r="BD266" s="1" t="s">
        <v>74</v>
      </c>
      <c r="BE266" s="1" t="s">
        <v>2598</v>
      </c>
      <c r="BF266" s="2" t="str">
        <f>HYPERLINK("http://dx.doi.org/10.1089/end.2006.20.899","http://dx.doi.org/10.1089/end.2006.20.899")</f>
        <v>http://dx.doi.org/10.1089/end.2006.20.899</v>
      </c>
      <c r="BG266" s="1" t="s">
        <v>74</v>
      </c>
      <c r="BH266" s="1" t="s">
        <v>74</v>
      </c>
      <c r="BI266" s="1" t="s">
        <v>74</v>
      </c>
      <c r="BJ266" s="1" t="s">
        <v>74</v>
      </c>
      <c r="BK266" s="1" t="s">
        <v>74</v>
      </c>
      <c r="BL266" s="1" t="s">
        <v>74</v>
      </c>
      <c r="BM266" s="1" t="s">
        <v>74</v>
      </c>
      <c r="BN266" s="1">
        <v>1.7144859E7</v>
      </c>
      <c r="BO266" s="1" t="s">
        <v>74</v>
      </c>
      <c r="BP266" s="1" t="s">
        <v>74</v>
      </c>
      <c r="BQ266" s="1" t="s">
        <v>74</v>
      </c>
      <c r="BR266" s="1" t="s">
        <v>74</v>
      </c>
      <c r="BS266" s="1" t="s">
        <v>2599</v>
      </c>
      <c r="BT266" s="1" t="str">
        <f>HYPERLINK("https%3A%2F%2Fwww.webofscience.com%2Fwos%2Fwoscc%2Ffull-record%2FWOS:000242637100011","View Full Record in Web of Science")</f>
        <v>View Full Record in Web of Science</v>
      </c>
    </row>
    <row r="267" ht="12.75" customHeight="1">
      <c r="A267" s="1" t="s">
        <v>72</v>
      </c>
      <c r="B267" s="1" t="s">
        <v>2600</v>
      </c>
      <c r="C267" s="1" t="s">
        <v>74</v>
      </c>
      <c r="D267" s="1" t="s">
        <v>74</v>
      </c>
      <c r="E267" s="1" t="s">
        <v>74</v>
      </c>
      <c r="F267" s="1" t="s">
        <v>2600</v>
      </c>
      <c r="G267" s="1" t="s">
        <v>74</v>
      </c>
      <c r="H267" s="1" t="s">
        <v>74</v>
      </c>
      <c r="I267" s="1" t="s">
        <v>2601</v>
      </c>
      <c r="J267" s="1" t="s">
        <v>2602</v>
      </c>
      <c r="K267" s="1" t="s">
        <v>74</v>
      </c>
      <c r="L267" s="1" t="s">
        <v>74</v>
      </c>
      <c r="M267" s="1" t="s">
        <v>74</v>
      </c>
      <c r="N267" s="1" t="s">
        <v>74</v>
      </c>
      <c r="O267" s="1" t="s">
        <v>74</v>
      </c>
      <c r="P267" s="1" t="s">
        <v>74</v>
      </c>
      <c r="Q267" s="1" t="s">
        <v>74</v>
      </c>
      <c r="R267" s="1" t="s">
        <v>74</v>
      </c>
      <c r="S267" s="1" t="s">
        <v>74</v>
      </c>
      <c r="T267" s="1" t="s">
        <v>74</v>
      </c>
      <c r="U267" s="1" t="s">
        <v>74</v>
      </c>
      <c r="V267" s="1" t="s">
        <v>2603</v>
      </c>
      <c r="W267" s="1" t="s">
        <v>74</v>
      </c>
      <c r="X267" s="1" t="s">
        <v>74</v>
      </c>
      <c r="Y267" s="1" t="s">
        <v>74</v>
      </c>
      <c r="Z267" s="1" t="s">
        <v>74</v>
      </c>
      <c r="AA267" s="1" t="s">
        <v>157</v>
      </c>
      <c r="AB267" s="1" t="s">
        <v>158</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2604</v>
      </c>
      <c r="AP267" s="1" t="s">
        <v>2605</v>
      </c>
      <c r="AQ267" s="1" t="s">
        <v>74</v>
      </c>
      <c r="AR267" s="1" t="s">
        <v>74</v>
      </c>
      <c r="AS267" s="1" t="s">
        <v>74</v>
      </c>
      <c r="AT267" s="1" t="s">
        <v>160</v>
      </c>
      <c r="AU267" s="1">
        <v>2004.0</v>
      </c>
      <c r="AV267" s="1">
        <v>82.0</v>
      </c>
      <c r="AW267" s="1">
        <v>12.0</v>
      </c>
      <c r="AX267" s="1" t="s">
        <v>74</v>
      </c>
      <c r="AY267" s="1" t="s">
        <v>74</v>
      </c>
      <c r="AZ267" s="1" t="s">
        <v>74</v>
      </c>
      <c r="BA267" s="1" t="s">
        <v>74</v>
      </c>
      <c r="BB267" s="1">
        <v>1668.0</v>
      </c>
      <c r="BC267" s="1">
        <v>1673.0</v>
      </c>
      <c r="BD267" s="1" t="s">
        <v>74</v>
      </c>
      <c r="BE267" s="1" t="s">
        <v>2606</v>
      </c>
      <c r="BF267" s="2" t="str">
        <f>HYPERLINK("http://dx.doi.org/10.1139/V04-151","http://dx.doi.org/10.1139/V04-151")</f>
        <v>http://dx.doi.org/10.1139/V04-151</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2607</v>
      </c>
      <c r="BT267" s="1" t="str">
        <f>HYPERLINK("https%3A%2F%2Fwww.webofscience.com%2Fwos%2Fwoscc%2Ffull-record%2FWOS:000227072600002","View Full Record in Web of Science")</f>
        <v>View Full Record in Web of Science</v>
      </c>
    </row>
    <row r="268" ht="12.75" customHeight="1">
      <c r="A268" s="1" t="s">
        <v>72</v>
      </c>
      <c r="B268" s="1" t="s">
        <v>2608</v>
      </c>
      <c r="C268" s="1" t="s">
        <v>74</v>
      </c>
      <c r="D268" s="1" t="s">
        <v>74</v>
      </c>
      <c r="E268" s="1" t="s">
        <v>74</v>
      </c>
      <c r="F268" s="1" t="s">
        <v>2608</v>
      </c>
      <c r="G268" s="1" t="s">
        <v>74</v>
      </c>
      <c r="H268" s="1" t="s">
        <v>74</v>
      </c>
      <c r="I268" s="1" t="s">
        <v>2609</v>
      </c>
      <c r="J268" s="1" t="s">
        <v>2610</v>
      </c>
      <c r="K268" s="1" t="s">
        <v>74</v>
      </c>
      <c r="L268" s="1" t="s">
        <v>74</v>
      </c>
      <c r="M268" s="1" t="s">
        <v>74</v>
      </c>
      <c r="N268" s="1" t="s">
        <v>74</v>
      </c>
      <c r="O268" s="1" t="s">
        <v>74</v>
      </c>
      <c r="P268" s="1" t="s">
        <v>74</v>
      </c>
      <c r="Q268" s="1" t="s">
        <v>74</v>
      </c>
      <c r="R268" s="1" t="s">
        <v>74</v>
      </c>
      <c r="S268" s="1" t="s">
        <v>74</v>
      </c>
      <c r="T268" s="1" t="s">
        <v>74</v>
      </c>
      <c r="U268" s="1" t="s">
        <v>74</v>
      </c>
      <c r="V268" s="1" t="s">
        <v>2611</v>
      </c>
      <c r="W268" s="1" t="s">
        <v>74</v>
      </c>
      <c r="X268" s="1" t="s">
        <v>74</v>
      </c>
      <c r="Y268" s="1" t="s">
        <v>74</v>
      </c>
      <c r="Z268" s="1" t="s">
        <v>74</v>
      </c>
      <c r="AA268" s="1" t="s">
        <v>663</v>
      </c>
      <c r="AB268" s="1" t="s">
        <v>74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2612</v>
      </c>
      <c r="AP268" s="1" t="s">
        <v>2613</v>
      </c>
      <c r="AQ268" s="1" t="s">
        <v>74</v>
      </c>
      <c r="AR268" s="1" t="s">
        <v>74</v>
      </c>
      <c r="AS268" s="1" t="s">
        <v>74</v>
      </c>
      <c r="AT268" s="1" t="s">
        <v>74</v>
      </c>
      <c r="AU268" s="1">
        <v>2004.0</v>
      </c>
      <c r="AV268" s="1">
        <v>87.0</v>
      </c>
      <c r="AW268" s="1">
        <v>4.0</v>
      </c>
      <c r="AX268" s="1" t="s">
        <v>74</v>
      </c>
      <c r="AY268" s="1" t="s">
        <v>74</v>
      </c>
      <c r="AZ268" s="1" t="s">
        <v>74</v>
      </c>
      <c r="BA268" s="1" t="s">
        <v>74</v>
      </c>
      <c r="BB268" s="1">
        <v>940.0</v>
      </c>
      <c r="BC268" s="1">
        <v>948.0</v>
      </c>
      <c r="BD268" s="1" t="s">
        <v>74</v>
      </c>
      <c r="BE268" s="1" t="s">
        <v>2614</v>
      </c>
      <c r="BF268" s="2" t="str">
        <f>HYPERLINK("http://dx.doi.org/10.1002/hlca.200490087","http://dx.doi.org/10.1002/hlca.200490087")</f>
        <v>http://dx.doi.org/10.1002/hlca.200490087</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2615</v>
      </c>
      <c r="BT268" s="1" t="str">
        <f>HYPERLINK("https%3A%2F%2Fwww.webofscience.com%2Fwos%2Fwoscc%2Ffull-record%2FWOS:000221292600013","View Full Record in Web of Science")</f>
        <v>View Full Record in Web of Science</v>
      </c>
    </row>
    <row r="269" ht="12.75" customHeight="1">
      <c r="A269" s="1" t="s">
        <v>72</v>
      </c>
      <c r="B269" s="1" t="s">
        <v>2616</v>
      </c>
      <c r="C269" s="1" t="s">
        <v>74</v>
      </c>
      <c r="D269" s="1" t="s">
        <v>74</v>
      </c>
      <c r="E269" s="1" t="s">
        <v>74</v>
      </c>
      <c r="F269" s="1" t="s">
        <v>2616</v>
      </c>
      <c r="G269" s="1" t="s">
        <v>74</v>
      </c>
      <c r="H269" s="1" t="s">
        <v>74</v>
      </c>
      <c r="I269" s="1" t="s">
        <v>2617</v>
      </c>
      <c r="J269" s="1" t="s">
        <v>669</v>
      </c>
      <c r="K269" s="1" t="s">
        <v>74</v>
      </c>
      <c r="L269" s="1" t="s">
        <v>74</v>
      </c>
      <c r="M269" s="1" t="s">
        <v>74</v>
      </c>
      <c r="N269" s="1" t="s">
        <v>74</v>
      </c>
      <c r="O269" s="1" t="s">
        <v>74</v>
      </c>
      <c r="P269" s="1" t="s">
        <v>74</v>
      </c>
      <c r="Q269" s="1" t="s">
        <v>74</v>
      </c>
      <c r="R269" s="1" t="s">
        <v>74</v>
      </c>
      <c r="S269" s="1" t="s">
        <v>74</v>
      </c>
      <c r="T269" s="1" t="s">
        <v>74</v>
      </c>
      <c r="U269" s="1" t="s">
        <v>74</v>
      </c>
      <c r="V269" s="1" t="s">
        <v>2618</v>
      </c>
      <c r="W269" s="1" t="s">
        <v>74</v>
      </c>
      <c r="X269" s="1" t="s">
        <v>74</v>
      </c>
      <c r="Y269" s="1" t="s">
        <v>74</v>
      </c>
      <c r="Z269" s="1" t="s">
        <v>74</v>
      </c>
      <c r="AA269" s="1" t="s">
        <v>508</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670</v>
      </c>
      <c r="AP269" s="1" t="s">
        <v>74</v>
      </c>
      <c r="AQ269" s="1" t="s">
        <v>74</v>
      </c>
      <c r="AR269" s="1" t="s">
        <v>74</v>
      </c>
      <c r="AS269" s="1" t="s">
        <v>74</v>
      </c>
      <c r="AT269" s="1" t="s">
        <v>2619</v>
      </c>
      <c r="AU269" s="1">
        <v>2003.0</v>
      </c>
      <c r="AV269" s="1">
        <v>258.0</v>
      </c>
      <c r="AW269" s="1">
        <v>2.0</v>
      </c>
      <c r="AX269" s="1" t="s">
        <v>74</v>
      </c>
      <c r="AY269" s="1" t="s">
        <v>74</v>
      </c>
      <c r="AZ269" s="1" t="s">
        <v>74</v>
      </c>
      <c r="BA269" s="1" t="s">
        <v>74</v>
      </c>
      <c r="BB269" s="1">
        <v>363.0</v>
      </c>
      <c r="BC269" s="1">
        <v>366.0</v>
      </c>
      <c r="BD269" s="1" t="s">
        <v>74</v>
      </c>
      <c r="BE269" s="1" t="s">
        <v>2620</v>
      </c>
      <c r="BF269" s="2" t="str">
        <f>HYPERLINK("http://dx.doi.org/10.1016/S0021-9797(02)00102-9","http://dx.doi.org/10.1016/S0021-9797(02)00102-9")</f>
        <v>http://dx.doi.org/10.1016/S0021-9797(02)00102-9</v>
      </c>
      <c r="BG269" s="1" t="s">
        <v>74</v>
      </c>
      <c r="BH269" s="1" t="s">
        <v>74</v>
      </c>
      <c r="BI269" s="1" t="s">
        <v>74</v>
      </c>
      <c r="BJ269" s="1" t="s">
        <v>74</v>
      </c>
      <c r="BK269" s="1" t="s">
        <v>74</v>
      </c>
      <c r="BL269" s="1" t="s">
        <v>74</v>
      </c>
      <c r="BM269" s="1" t="s">
        <v>74</v>
      </c>
      <c r="BN269" s="1">
        <v>1.2618106E7</v>
      </c>
      <c r="BO269" s="1" t="s">
        <v>74</v>
      </c>
      <c r="BP269" s="1" t="s">
        <v>74</v>
      </c>
      <c r="BQ269" s="1" t="s">
        <v>74</v>
      </c>
      <c r="BR269" s="1" t="s">
        <v>74</v>
      </c>
      <c r="BS269" s="1" t="s">
        <v>2621</v>
      </c>
      <c r="BT269" s="1" t="str">
        <f>HYPERLINK("https%3A%2F%2Fwww.webofscience.com%2Fwos%2Fwoscc%2Ffull-record%2FWOS:000181558900018","View Full Record in Web of Science")</f>
        <v>View Full Record in Web of Science</v>
      </c>
    </row>
    <row r="270" ht="12.75" customHeight="1">
      <c r="A270" s="1" t="s">
        <v>72</v>
      </c>
      <c r="B270" s="1" t="s">
        <v>2622</v>
      </c>
      <c r="C270" s="1" t="s">
        <v>74</v>
      </c>
      <c r="D270" s="1" t="s">
        <v>74</v>
      </c>
      <c r="E270" s="1" t="s">
        <v>74</v>
      </c>
      <c r="F270" s="1" t="s">
        <v>2622</v>
      </c>
      <c r="G270" s="1" t="s">
        <v>74</v>
      </c>
      <c r="H270" s="1" t="s">
        <v>74</v>
      </c>
      <c r="I270" s="1" t="s">
        <v>2623</v>
      </c>
      <c r="J270" s="1" t="s">
        <v>1042</v>
      </c>
      <c r="K270" s="1" t="s">
        <v>74</v>
      </c>
      <c r="L270" s="1" t="s">
        <v>74</v>
      </c>
      <c r="M270" s="1" t="s">
        <v>74</v>
      </c>
      <c r="N270" s="1" t="s">
        <v>74</v>
      </c>
      <c r="O270" s="1" t="s">
        <v>74</v>
      </c>
      <c r="P270" s="1" t="s">
        <v>74</v>
      </c>
      <c r="Q270" s="1" t="s">
        <v>74</v>
      </c>
      <c r="R270" s="1" t="s">
        <v>74</v>
      </c>
      <c r="S270" s="1" t="s">
        <v>74</v>
      </c>
      <c r="T270" s="1" t="s">
        <v>74</v>
      </c>
      <c r="U270" s="1" t="s">
        <v>74</v>
      </c>
      <c r="V270" s="1" t="s">
        <v>2624</v>
      </c>
      <c r="W270" s="1" t="s">
        <v>74</v>
      </c>
      <c r="X270" s="1" t="s">
        <v>74</v>
      </c>
      <c r="Y270" s="1" t="s">
        <v>74</v>
      </c>
      <c r="Z270" s="1" t="s">
        <v>74</v>
      </c>
      <c r="AA270" s="1" t="s">
        <v>74</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1043</v>
      </c>
      <c r="AP270" s="1" t="s">
        <v>74</v>
      </c>
      <c r="AQ270" s="1" t="s">
        <v>74</v>
      </c>
      <c r="AR270" s="1" t="s">
        <v>74</v>
      </c>
      <c r="AS270" s="1" t="s">
        <v>74</v>
      </c>
      <c r="AT270" s="1" t="s">
        <v>82</v>
      </c>
      <c r="AU270" s="1">
        <v>2002.0</v>
      </c>
      <c r="AV270" s="1">
        <v>47.0</v>
      </c>
      <c r="AW270" s="1">
        <v>2.0</v>
      </c>
      <c r="AX270" s="1" t="s">
        <v>74</v>
      </c>
      <c r="AY270" s="1" t="s">
        <v>74</v>
      </c>
      <c r="AZ270" s="1" t="s">
        <v>74</v>
      </c>
      <c r="BA270" s="1" t="s">
        <v>74</v>
      </c>
      <c r="BB270" s="1">
        <v>145.0</v>
      </c>
      <c r="BC270" s="1">
        <v>149.0</v>
      </c>
      <c r="BD270" s="1" t="s">
        <v>74</v>
      </c>
      <c r="BE270" s="1" t="s">
        <v>74</v>
      </c>
      <c r="BF270" s="1" t="s">
        <v>74</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2625</v>
      </c>
      <c r="BT270" s="1" t="str">
        <f>HYPERLINK("https%3A%2F%2Fwww.webofscience.com%2Fwos%2Fwoscc%2Ffull-record%2FWOS:000176814300009","View Full Record in Web of Science")</f>
        <v>View Full Record in Web of Science</v>
      </c>
    </row>
    <row r="271" ht="12.75" customHeight="1">
      <c r="A271" s="1" t="s">
        <v>72</v>
      </c>
      <c r="B271" s="1" t="s">
        <v>2626</v>
      </c>
      <c r="C271" s="1" t="s">
        <v>74</v>
      </c>
      <c r="D271" s="1" t="s">
        <v>74</v>
      </c>
      <c r="E271" s="1" t="s">
        <v>74</v>
      </c>
      <c r="F271" s="1" t="s">
        <v>2626</v>
      </c>
      <c r="G271" s="1" t="s">
        <v>74</v>
      </c>
      <c r="H271" s="1" t="s">
        <v>74</v>
      </c>
      <c r="I271" s="1" t="s">
        <v>2627</v>
      </c>
      <c r="J271" s="1" t="s">
        <v>2628</v>
      </c>
      <c r="K271" s="1" t="s">
        <v>74</v>
      </c>
      <c r="L271" s="1" t="s">
        <v>74</v>
      </c>
      <c r="M271" s="1" t="s">
        <v>74</v>
      </c>
      <c r="N271" s="1" t="s">
        <v>74</v>
      </c>
      <c r="O271" s="1" t="s">
        <v>74</v>
      </c>
      <c r="P271" s="1" t="s">
        <v>74</v>
      </c>
      <c r="Q271" s="1" t="s">
        <v>74</v>
      </c>
      <c r="R271" s="1" t="s">
        <v>74</v>
      </c>
      <c r="S271" s="1" t="s">
        <v>74</v>
      </c>
      <c r="T271" s="1" t="s">
        <v>74</v>
      </c>
      <c r="U271" s="1" t="s">
        <v>74</v>
      </c>
      <c r="V271" s="1" t="s">
        <v>2629</v>
      </c>
      <c r="W271" s="1" t="s">
        <v>74</v>
      </c>
      <c r="X271" s="1" t="s">
        <v>74</v>
      </c>
      <c r="Y271" s="1" t="s">
        <v>74</v>
      </c>
      <c r="Z271" s="1" t="s">
        <v>74</v>
      </c>
      <c r="AA271" s="1" t="s">
        <v>2630</v>
      </c>
      <c r="AB271" s="1" t="s">
        <v>2631</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2632</v>
      </c>
      <c r="AP271" s="1" t="s">
        <v>74</v>
      </c>
      <c r="AQ271" s="1" t="s">
        <v>74</v>
      </c>
      <c r="AR271" s="1" t="s">
        <v>74</v>
      </c>
      <c r="AS271" s="1" t="s">
        <v>74</v>
      </c>
      <c r="AT271" s="1" t="s">
        <v>106</v>
      </c>
      <c r="AU271" s="1">
        <v>1999.0</v>
      </c>
      <c r="AV271" s="1">
        <v>1.0</v>
      </c>
      <c r="AW271" s="1">
        <v>9.0</v>
      </c>
      <c r="AX271" s="1" t="s">
        <v>74</v>
      </c>
      <c r="AY271" s="1" t="s">
        <v>74</v>
      </c>
      <c r="AZ271" s="1" t="s">
        <v>74</v>
      </c>
      <c r="BA271" s="1" t="s">
        <v>74</v>
      </c>
      <c r="BB271" s="1">
        <v>389.0</v>
      </c>
      <c r="BC271" s="1">
        <v>393.0</v>
      </c>
      <c r="BD271" s="1" t="s">
        <v>74</v>
      </c>
      <c r="BE271" s="1" t="s">
        <v>2633</v>
      </c>
      <c r="BF271" s="2" t="str">
        <f>HYPERLINK("http://dx.doi.org/10.1016/S1388-2481(99)00076-4","http://dx.doi.org/10.1016/S1388-2481(99)00076-4")</f>
        <v>http://dx.doi.org/10.1016/S1388-2481(99)00076-4</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2634</v>
      </c>
      <c r="BT271" s="1" t="str">
        <f>HYPERLINK("https%3A%2F%2Fwww.webofscience.com%2Fwos%2Fwoscc%2Ffull-record%2FWOS:000083064200006","View Full Record in Web of Science")</f>
        <v>View Full Record in Web of Science</v>
      </c>
    </row>
    <row r="272" ht="12.75" customHeight="1">
      <c r="A272" s="1" t="s">
        <v>72</v>
      </c>
      <c r="B272" s="1" t="s">
        <v>2635</v>
      </c>
      <c r="C272" s="1" t="s">
        <v>74</v>
      </c>
      <c r="D272" s="1" t="s">
        <v>74</v>
      </c>
      <c r="E272" s="1" t="s">
        <v>74</v>
      </c>
      <c r="F272" s="1" t="s">
        <v>2636</v>
      </c>
      <c r="G272" s="1" t="s">
        <v>74</v>
      </c>
      <c r="H272" s="1" t="s">
        <v>74</v>
      </c>
      <c r="I272" s="1" t="s">
        <v>2637</v>
      </c>
      <c r="J272" s="1" t="s">
        <v>2638</v>
      </c>
      <c r="K272" s="1" t="s">
        <v>74</v>
      </c>
      <c r="L272" s="1" t="s">
        <v>74</v>
      </c>
      <c r="M272" s="1" t="s">
        <v>74</v>
      </c>
      <c r="N272" s="1" t="s">
        <v>74</v>
      </c>
      <c r="O272" s="1" t="s">
        <v>74</v>
      </c>
      <c r="P272" s="1" t="s">
        <v>74</v>
      </c>
      <c r="Q272" s="1" t="s">
        <v>74</v>
      </c>
      <c r="R272" s="1" t="s">
        <v>74</v>
      </c>
      <c r="S272" s="1" t="s">
        <v>74</v>
      </c>
      <c r="T272" s="1" t="s">
        <v>74</v>
      </c>
      <c r="U272" s="1" t="s">
        <v>74</v>
      </c>
      <c r="V272" s="1" t="s">
        <v>2639</v>
      </c>
      <c r="W272" s="1" t="s">
        <v>74</v>
      </c>
      <c r="X272" s="1" t="s">
        <v>74</v>
      </c>
      <c r="Y272" s="1" t="s">
        <v>74</v>
      </c>
      <c r="Z272" s="1" t="s">
        <v>74</v>
      </c>
      <c r="AA272" s="1" t="s">
        <v>983</v>
      </c>
      <c r="AB272" s="1" t="s">
        <v>2640</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2641</v>
      </c>
      <c r="AP272" s="1" t="s">
        <v>2642</v>
      </c>
      <c r="AQ272" s="1" t="s">
        <v>74</v>
      </c>
      <c r="AR272" s="1" t="s">
        <v>74</v>
      </c>
      <c r="AS272" s="1" t="s">
        <v>74</v>
      </c>
      <c r="AT272" s="1" t="s">
        <v>343</v>
      </c>
      <c r="AU272" s="1">
        <v>2024.0</v>
      </c>
      <c r="AV272" s="1">
        <v>143.0</v>
      </c>
      <c r="AW272" s="1" t="s">
        <v>74</v>
      </c>
      <c r="AX272" s="1" t="s">
        <v>74</v>
      </c>
      <c r="AY272" s="1" t="s">
        <v>74</v>
      </c>
      <c r="AZ272" s="1" t="s">
        <v>74</v>
      </c>
      <c r="BA272" s="1" t="s">
        <v>74</v>
      </c>
      <c r="BB272" s="1">
        <v>323.0</v>
      </c>
      <c r="BC272" s="1">
        <v>336.0</v>
      </c>
      <c r="BD272" s="1" t="s">
        <v>74</v>
      </c>
      <c r="BE272" s="1" t="s">
        <v>2643</v>
      </c>
      <c r="BF272" s="2" t="str">
        <f>HYPERLINK("http://dx.doi.org/10.1016/j.procbio.2024.04.035","http://dx.doi.org/10.1016/j.procbio.2024.04.035")</f>
        <v>http://dx.doi.org/10.1016/j.procbio.2024.04.035</v>
      </c>
      <c r="BG272" s="1" t="s">
        <v>74</v>
      </c>
      <c r="BH272" s="1" t="s">
        <v>2644</v>
      </c>
      <c r="BI272" s="1" t="s">
        <v>74</v>
      </c>
      <c r="BJ272" s="1" t="s">
        <v>74</v>
      </c>
      <c r="BK272" s="1" t="s">
        <v>74</v>
      </c>
      <c r="BL272" s="1" t="s">
        <v>74</v>
      </c>
      <c r="BM272" s="1" t="s">
        <v>74</v>
      </c>
      <c r="BN272" s="1" t="s">
        <v>74</v>
      </c>
      <c r="BO272" s="1" t="s">
        <v>74</v>
      </c>
      <c r="BP272" s="1" t="s">
        <v>74</v>
      </c>
      <c r="BQ272" s="1" t="s">
        <v>74</v>
      </c>
      <c r="BR272" s="1" t="s">
        <v>74</v>
      </c>
      <c r="BS272" s="1" t="s">
        <v>2645</v>
      </c>
      <c r="BT272" s="1" t="str">
        <f>HYPERLINK("https%3A%2F%2Fwww.webofscience.com%2Fwos%2Fwoscc%2Ffull-record%2FWOS:001325384400001","View Full Record in Web of Science")</f>
        <v>View Full Record in Web of Science</v>
      </c>
    </row>
    <row r="273" ht="12.75" customHeight="1">
      <c r="A273" s="1" t="s">
        <v>72</v>
      </c>
      <c r="B273" s="1" t="s">
        <v>2646</v>
      </c>
      <c r="C273" s="1" t="s">
        <v>74</v>
      </c>
      <c r="D273" s="1" t="s">
        <v>74</v>
      </c>
      <c r="E273" s="1" t="s">
        <v>74</v>
      </c>
      <c r="F273" s="1" t="s">
        <v>2647</v>
      </c>
      <c r="G273" s="1" t="s">
        <v>74</v>
      </c>
      <c r="H273" s="1" t="s">
        <v>74</v>
      </c>
      <c r="I273" s="1" t="s">
        <v>2648</v>
      </c>
      <c r="J273" s="1" t="s">
        <v>2649</v>
      </c>
      <c r="K273" s="1" t="s">
        <v>74</v>
      </c>
      <c r="L273" s="1" t="s">
        <v>74</v>
      </c>
      <c r="M273" s="1" t="s">
        <v>74</v>
      </c>
      <c r="N273" s="1" t="s">
        <v>74</v>
      </c>
      <c r="O273" s="1" t="s">
        <v>74</v>
      </c>
      <c r="P273" s="1" t="s">
        <v>74</v>
      </c>
      <c r="Q273" s="1" t="s">
        <v>74</v>
      </c>
      <c r="R273" s="1" t="s">
        <v>74</v>
      </c>
      <c r="S273" s="1" t="s">
        <v>74</v>
      </c>
      <c r="T273" s="1" t="s">
        <v>74</v>
      </c>
      <c r="U273" s="1" t="s">
        <v>74</v>
      </c>
      <c r="V273" s="1" t="s">
        <v>2650</v>
      </c>
      <c r="W273" s="1" t="s">
        <v>74</v>
      </c>
      <c r="X273" s="1" t="s">
        <v>74</v>
      </c>
      <c r="Y273" s="1" t="s">
        <v>74</v>
      </c>
      <c r="Z273" s="1" t="s">
        <v>74</v>
      </c>
      <c r="AA273" s="1" t="s">
        <v>2651</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2652</v>
      </c>
      <c r="AP273" s="1" t="s">
        <v>2653</v>
      </c>
      <c r="AQ273" s="1" t="s">
        <v>74</v>
      </c>
      <c r="AR273" s="1" t="s">
        <v>74</v>
      </c>
      <c r="AS273" s="1" t="s">
        <v>74</v>
      </c>
      <c r="AT273" s="1" t="s">
        <v>174</v>
      </c>
      <c r="AU273" s="1">
        <v>2024.0</v>
      </c>
      <c r="AV273" s="1">
        <v>201.0</v>
      </c>
      <c r="AW273" s="1" t="s">
        <v>74</v>
      </c>
      <c r="AX273" s="1" t="s">
        <v>74</v>
      </c>
      <c r="AY273" s="1" t="s">
        <v>74</v>
      </c>
      <c r="AZ273" s="1" t="s">
        <v>74</v>
      </c>
      <c r="BA273" s="1" t="s">
        <v>74</v>
      </c>
      <c r="BB273" s="1" t="s">
        <v>74</v>
      </c>
      <c r="BC273" s="1" t="s">
        <v>74</v>
      </c>
      <c r="BD273" s="1">
        <v>107207.0</v>
      </c>
      <c r="BE273" s="1" t="s">
        <v>2654</v>
      </c>
      <c r="BF273" s="2" t="str">
        <f>HYPERLINK("http://dx.doi.org/10.1016/j.ecoleng.2024.107207","http://dx.doi.org/10.1016/j.ecoleng.2024.107207")</f>
        <v>http://dx.doi.org/10.1016/j.ecoleng.2024.107207</v>
      </c>
      <c r="BG273" s="1" t="s">
        <v>74</v>
      </c>
      <c r="BH273" s="1" t="s">
        <v>2655</v>
      </c>
      <c r="BI273" s="1" t="s">
        <v>74</v>
      </c>
      <c r="BJ273" s="1" t="s">
        <v>74</v>
      </c>
      <c r="BK273" s="1" t="s">
        <v>74</v>
      </c>
      <c r="BL273" s="1" t="s">
        <v>74</v>
      </c>
      <c r="BM273" s="1" t="s">
        <v>74</v>
      </c>
      <c r="BN273" s="1" t="s">
        <v>74</v>
      </c>
      <c r="BO273" s="1" t="s">
        <v>74</v>
      </c>
      <c r="BP273" s="1" t="s">
        <v>74</v>
      </c>
      <c r="BQ273" s="1" t="s">
        <v>74</v>
      </c>
      <c r="BR273" s="1" t="s">
        <v>74</v>
      </c>
      <c r="BS273" s="1" t="s">
        <v>2656</v>
      </c>
      <c r="BT273" s="1" t="str">
        <f>HYPERLINK("https%3A%2F%2Fwww.webofscience.com%2Fwos%2Fwoscc%2Ffull-record%2FWOS:001186919000001","View Full Record in Web of Science")</f>
        <v>View Full Record in Web of Science</v>
      </c>
    </row>
    <row r="274" ht="12.75" customHeight="1">
      <c r="A274" s="1" t="s">
        <v>72</v>
      </c>
      <c r="B274" s="1" t="s">
        <v>2657</v>
      </c>
      <c r="C274" s="1" t="s">
        <v>74</v>
      </c>
      <c r="D274" s="1" t="s">
        <v>74</v>
      </c>
      <c r="E274" s="1" t="s">
        <v>74</v>
      </c>
      <c r="F274" s="1" t="s">
        <v>2658</v>
      </c>
      <c r="G274" s="1" t="s">
        <v>74</v>
      </c>
      <c r="H274" s="1" t="s">
        <v>74</v>
      </c>
      <c r="I274" s="1" t="s">
        <v>2659</v>
      </c>
      <c r="J274" s="1" t="s">
        <v>2660</v>
      </c>
      <c r="K274" s="1" t="s">
        <v>74</v>
      </c>
      <c r="L274" s="1" t="s">
        <v>74</v>
      </c>
      <c r="M274" s="1" t="s">
        <v>74</v>
      </c>
      <c r="N274" s="1" t="s">
        <v>74</v>
      </c>
      <c r="O274" s="1" t="s">
        <v>74</v>
      </c>
      <c r="P274" s="1" t="s">
        <v>74</v>
      </c>
      <c r="Q274" s="1" t="s">
        <v>74</v>
      </c>
      <c r="R274" s="1" t="s">
        <v>74</v>
      </c>
      <c r="S274" s="1" t="s">
        <v>74</v>
      </c>
      <c r="T274" s="1" t="s">
        <v>74</v>
      </c>
      <c r="U274" s="1" t="s">
        <v>74</v>
      </c>
      <c r="V274" s="1" t="s">
        <v>2661</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2662</v>
      </c>
      <c r="AP274" s="1" t="s">
        <v>74</v>
      </c>
      <c r="AQ274" s="1" t="s">
        <v>74</v>
      </c>
      <c r="AR274" s="1" t="s">
        <v>74</v>
      </c>
      <c r="AS274" s="1" t="s">
        <v>74</v>
      </c>
      <c r="AT274" s="1" t="s">
        <v>2663</v>
      </c>
      <c r="AU274" s="1">
        <v>2022.0</v>
      </c>
      <c r="AV274" s="1">
        <v>14.0</v>
      </c>
      <c r="AW274" s="1">
        <v>45.0</v>
      </c>
      <c r="AX274" s="1" t="s">
        <v>74</v>
      </c>
      <c r="AY274" s="1" t="s">
        <v>74</v>
      </c>
      <c r="AZ274" s="1" t="s">
        <v>74</v>
      </c>
      <c r="BA274" s="1" t="s">
        <v>74</v>
      </c>
      <c r="BB274" s="1">
        <v>20.0</v>
      </c>
      <c r="BC274" s="1">
        <v>42.0</v>
      </c>
      <c r="BD274" s="1" t="s">
        <v>74</v>
      </c>
      <c r="BE274" s="1" t="s">
        <v>2664</v>
      </c>
      <c r="BF274" s="2" t="str">
        <f>HYPERLINK("http://dx.doi.org/10.35588/gpt.v14i45.5898","http://dx.doi.org/10.35588/gpt.v14i45.5898")</f>
        <v>http://dx.doi.org/10.35588/gpt.v14i45.5898</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2665</v>
      </c>
      <c r="BT274" s="1" t="str">
        <f>HYPERLINK("https%3A%2F%2Fwww.webofscience.com%2Fwos%2Fwoscc%2Ffull-record%2FWOS:000893256200001","View Full Record in Web of Science")</f>
        <v>View Full Record in Web of Science</v>
      </c>
    </row>
    <row r="275" ht="12.75" customHeight="1">
      <c r="A275" s="1" t="s">
        <v>72</v>
      </c>
      <c r="B275" s="1" t="s">
        <v>2666</v>
      </c>
      <c r="C275" s="1" t="s">
        <v>74</v>
      </c>
      <c r="D275" s="1" t="s">
        <v>74</v>
      </c>
      <c r="E275" s="1" t="s">
        <v>74</v>
      </c>
      <c r="F275" s="1" t="s">
        <v>2667</v>
      </c>
      <c r="G275" s="1" t="s">
        <v>74</v>
      </c>
      <c r="H275" s="1" t="s">
        <v>74</v>
      </c>
      <c r="I275" s="1" t="s">
        <v>2668</v>
      </c>
      <c r="J275" s="1" t="s">
        <v>2669</v>
      </c>
      <c r="K275" s="1" t="s">
        <v>74</v>
      </c>
      <c r="L275" s="1" t="s">
        <v>74</v>
      </c>
      <c r="M275" s="1" t="s">
        <v>74</v>
      </c>
      <c r="N275" s="1" t="s">
        <v>74</v>
      </c>
      <c r="O275" s="1" t="s">
        <v>74</v>
      </c>
      <c r="P275" s="1" t="s">
        <v>74</v>
      </c>
      <c r="Q275" s="1" t="s">
        <v>74</v>
      </c>
      <c r="R275" s="1" t="s">
        <v>74</v>
      </c>
      <c r="S275" s="1" t="s">
        <v>74</v>
      </c>
      <c r="T275" s="1" t="s">
        <v>74</v>
      </c>
      <c r="U275" s="1" t="s">
        <v>74</v>
      </c>
      <c r="V275" s="1" t="s">
        <v>74</v>
      </c>
      <c r="W275" s="1" t="s">
        <v>74</v>
      </c>
      <c r="X275" s="1" t="s">
        <v>74</v>
      </c>
      <c r="Y275" s="1" t="s">
        <v>74</v>
      </c>
      <c r="Z275" s="1" t="s">
        <v>74</v>
      </c>
      <c r="AA275" s="1" t="s">
        <v>74</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2670</v>
      </c>
      <c r="AP275" s="1" t="s">
        <v>2671</v>
      </c>
      <c r="AQ275" s="1" t="s">
        <v>74</v>
      </c>
      <c r="AR275" s="1" t="s">
        <v>74</v>
      </c>
      <c r="AS275" s="1" t="s">
        <v>74</v>
      </c>
      <c r="AT275" s="1" t="s">
        <v>2672</v>
      </c>
      <c r="AU275" s="1">
        <v>2022.0</v>
      </c>
      <c r="AV275" s="1">
        <v>34.0</v>
      </c>
      <c r="AW275" s="1" t="s">
        <v>74</v>
      </c>
      <c r="AX275" s="1" t="s">
        <v>74</v>
      </c>
      <c r="AY275" s="1">
        <v>1.0</v>
      </c>
      <c r="AZ275" s="1" t="s">
        <v>74</v>
      </c>
      <c r="BA275" s="1" t="s">
        <v>74</v>
      </c>
      <c r="BB275" s="1">
        <v>226.0</v>
      </c>
      <c r="BC275" s="1">
        <v>226.0</v>
      </c>
      <c r="BD275" s="1" t="s">
        <v>74</v>
      </c>
      <c r="BE275" s="1" t="s">
        <v>74</v>
      </c>
      <c r="BF275" s="1" t="s">
        <v>74</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2673</v>
      </c>
      <c r="BT275" s="1" t="str">
        <f>HYPERLINK("https%3A%2F%2Fwww.webofscience.com%2Fwos%2Fwoscc%2Ffull-record%2FWOS:000783334400324","View Full Record in Web of Science")</f>
        <v>View Full Record in Web of Science</v>
      </c>
    </row>
    <row r="276" ht="12.75" customHeight="1">
      <c r="A276" s="1" t="s">
        <v>72</v>
      </c>
      <c r="B276" s="1" t="s">
        <v>2674</v>
      </c>
      <c r="C276" s="1" t="s">
        <v>74</v>
      </c>
      <c r="D276" s="1" t="s">
        <v>74</v>
      </c>
      <c r="E276" s="1" t="s">
        <v>74</v>
      </c>
      <c r="F276" s="1" t="s">
        <v>2675</v>
      </c>
      <c r="G276" s="1" t="s">
        <v>74</v>
      </c>
      <c r="H276" s="1" t="s">
        <v>74</v>
      </c>
      <c r="I276" s="1" t="s">
        <v>2676</v>
      </c>
      <c r="J276" s="1" t="s">
        <v>2677</v>
      </c>
      <c r="K276" s="1" t="s">
        <v>74</v>
      </c>
      <c r="L276" s="1" t="s">
        <v>74</v>
      </c>
      <c r="M276" s="1" t="s">
        <v>74</v>
      </c>
      <c r="N276" s="1" t="s">
        <v>74</v>
      </c>
      <c r="O276" s="1" t="s">
        <v>74</v>
      </c>
      <c r="P276" s="1" t="s">
        <v>74</v>
      </c>
      <c r="Q276" s="1" t="s">
        <v>74</v>
      </c>
      <c r="R276" s="1" t="s">
        <v>74</v>
      </c>
      <c r="S276" s="1" t="s">
        <v>74</v>
      </c>
      <c r="T276" s="1" t="s">
        <v>74</v>
      </c>
      <c r="U276" s="1" t="s">
        <v>74</v>
      </c>
      <c r="V276" s="1" t="s">
        <v>2678</v>
      </c>
      <c r="W276" s="1" t="s">
        <v>74</v>
      </c>
      <c r="X276" s="1" t="s">
        <v>74</v>
      </c>
      <c r="Y276" s="1" t="s">
        <v>74</v>
      </c>
      <c r="Z276" s="1" t="s">
        <v>74</v>
      </c>
      <c r="AA276" s="1" t="s">
        <v>2679</v>
      </c>
      <c r="AB276" s="1" t="s">
        <v>2680</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2681</v>
      </c>
      <c r="AP276" s="1" t="s">
        <v>2682</v>
      </c>
      <c r="AQ276" s="1" t="s">
        <v>74</v>
      </c>
      <c r="AR276" s="1" t="s">
        <v>74</v>
      </c>
      <c r="AS276" s="1" t="s">
        <v>74</v>
      </c>
      <c r="AT276" s="1" t="s">
        <v>2683</v>
      </c>
      <c r="AU276" s="1">
        <v>2022.0</v>
      </c>
      <c r="AV276" s="1">
        <v>105.0</v>
      </c>
      <c r="AW276" s="1">
        <v>2.0</v>
      </c>
      <c r="AX276" s="1" t="s">
        <v>74</v>
      </c>
      <c r="AY276" s="1" t="s">
        <v>74</v>
      </c>
      <c r="AZ276" s="1" t="s">
        <v>74</v>
      </c>
      <c r="BA276" s="1" t="s">
        <v>74</v>
      </c>
      <c r="BB276" s="1" t="s">
        <v>74</v>
      </c>
      <c r="BC276" s="1" t="s">
        <v>74</v>
      </c>
      <c r="BD276" s="1">
        <v>24047.0</v>
      </c>
      <c r="BE276" s="1" t="s">
        <v>2684</v>
      </c>
      <c r="BF276" s="2" t="str">
        <f>HYPERLINK("http://dx.doi.org/10.1103/PhysRevD.105.024047","http://dx.doi.org/10.1103/PhysRevD.105.024047")</f>
        <v>http://dx.doi.org/10.1103/PhysRevD.105.024047</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2685</v>
      </c>
      <c r="BT276" s="1" t="str">
        <f>HYPERLINK("https%3A%2F%2Fwww.webofscience.com%2Fwos%2Fwoscc%2Ffull-record%2FWOS:000747807800004","View Full Record in Web of Science")</f>
        <v>View Full Record in Web of Science</v>
      </c>
    </row>
    <row r="277" ht="12.75" customHeight="1">
      <c r="A277" s="1" t="s">
        <v>72</v>
      </c>
      <c r="B277" s="1" t="s">
        <v>2686</v>
      </c>
      <c r="C277" s="1" t="s">
        <v>74</v>
      </c>
      <c r="D277" s="1" t="s">
        <v>74</v>
      </c>
      <c r="E277" s="1" t="s">
        <v>74</v>
      </c>
      <c r="F277" s="1" t="s">
        <v>2687</v>
      </c>
      <c r="G277" s="1" t="s">
        <v>74</v>
      </c>
      <c r="H277" s="1" t="s">
        <v>74</v>
      </c>
      <c r="I277" s="1" t="s">
        <v>2688</v>
      </c>
      <c r="J277" s="1" t="s">
        <v>2689</v>
      </c>
      <c r="K277" s="1" t="s">
        <v>74</v>
      </c>
      <c r="L277" s="1" t="s">
        <v>74</v>
      </c>
      <c r="M277" s="1" t="s">
        <v>74</v>
      </c>
      <c r="N277" s="1" t="s">
        <v>74</v>
      </c>
      <c r="O277" s="1" t="s">
        <v>74</v>
      </c>
      <c r="P277" s="1" t="s">
        <v>74</v>
      </c>
      <c r="Q277" s="1" t="s">
        <v>74</v>
      </c>
      <c r="R277" s="1" t="s">
        <v>74</v>
      </c>
      <c r="S277" s="1" t="s">
        <v>74</v>
      </c>
      <c r="T277" s="1" t="s">
        <v>74</v>
      </c>
      <c r="U277" s="1" t="s">
        <v>74</v>
      </c>
      <c r="V277" s="1" t="s">
        <v>2690</v>
      </c>
      <c r="W277" s="1" t="s">
        <v>74</v>
      </c>
      <c r="X277" s="1" t="s">
        <v>74</v>
      </c>
      <c r="Y277" s="1" t="s">
        <v>74</v>
      </c>
      <c r="Z277" s="1" t="s">
        <v>74</v>
      </c>
      <c r="AA277" s="1" t="s">
        <v>2691</v>
      </c>
      <c r="AB277" s="1" t="s">
        <v>2692</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74</v>
      </c>
      <c r="AP277" s="1" t="s">
        <v>2693</v>
      </c>
      <c r="AQ277" s="1" t="s">
        <v>74</v>
      </c>
      <c r="AR277" s="1" t="s">
        <v>74</v>
      </c>
      <c r="AS277" s="1" t="s">
        <v>74</v>
      </c>
      <c r="AT277" s="1" t="s">
        <v>2694</v>
      </c>
      <c r="AU277" s="1">
        <v>2020.0</v>
      </c>
      <c r="AV277" s="1">
        <v>11.0</v>
      </c>
      <c r="AW277" s="1" t="s">
        <v>74</v>
      </c>
      <c r="AX277" s="1" t="s">
        <v>74</v>
      </c>
      <c r="AY277" s="1" t="s">
        <v>74</v>
      </c>
      <c r="AZ277" s="1" t="s">
        <v>74</v>
      </c>
      <c r="BA277" s="1" t="s">
        <v>74</v>
      </c>
      <c r="BB277" s="1" t="s">
        <v>74</v>
      </c>
      <c r="BC277" s="1" t="s">
        <v>74</v>
      </c>
      <c r="BD277" s="1">
        <v>589350.0</v>
      </c>
      <c r="BE277" s="1" t="s">
        <v>2695</v>
      </c>
      <c r="BF277" s="2" t="str">
        <f>HYPERLINK("http://dx.doi.org/10.3389/fgene.2020.589350","http://dx.doi.org/10.3389/fgene.2020.589350")</f>
        <v>http://dx.doi.org/10.3389/fgene.2020.589350</v>
      </c>
      <c r="BG277" s="1" t="s">
        <v>74</v>
      </c>
      <c r="BH277" s="1" t="s">
        <v>74</v>
      </c>
      <c r="BI277" s="1" t="s">
        <v>74</v>
      </c>
      <c r="BJ277" s="1" t="s">
        <v>74</v>
      </c>
      <c r="BK277" s="1" t="s">
        <v>74</v>
      </c>
      <c r="BL277" s="1" t="s">
        <v>74</v>
      </c>
      <c r="BM277" s="1" t="s">
        <v>74</v>
      </c>
      <c r="BN277" s="1">
        <v>3.3240332E7</v>
      </c>
      <c r="BO277" s="1" t="s">
        <v>74</v>
      </c>
      <c r="BP277" s="1" t="s">
        <v>74</v>
      </c>
      <c r="BQ277" s="1" t="s">
        <v>74</v>
      </c>
      <c r="BR277" s="1" t="s">
        <v>74</v>
      </c>
      <c r="BS277" s="1" t="s">
        <v>2696</v>
      </c>
      <c r="BT277" s="1" t="str">
        <f>HYPERLINK("https%3A%2F%2Fwww.webofscience.com%2Fwos%2Fwoscc%2Ffull-record%2FWOS:000589334700001","View Full Record in Web of Science")</f>
        <v>View Full Record in Web of Science</v>
      </c>
    </row>
    <row r="278" ht="12.75" customHeight="1">
      <c r="A278" s="1" t="s">
        <v>72</v>
      </c>
      <c r="B278" s="1" t="s">
        <v>2697</v>
      </c>
      <c r="C278" s="1" t="s">
        <v>74</v>
      </c>
      <c r="D278" s="1" t="s">
        <v>74</v>
      </c>
      <c r="E278" s="1" t="s">
        <v>74</v>
      </c>
      <c r="F278" s="1" t="s">
        <v>2698</v>
      </c>
      <c r="G278" s="1" t="s">
        <v>74</v>
      </c>
      <c r="H278" s="1" t="s">
        <v>74</v>
      </c>
      <c r="I278" s="1" t="s">
        <v>2699</v>
      </c>
      <c r="J278" s="1" t="s">
        <v>2700</v>
      </c>
      <c r="K278" s="1" t="s">
        <v>74</v>
      </c>
      <c r="L278" s="1" t="s">
        <v>74</v>
      </c>
      <c r="M278" s="1" t="s">
        <v>74</v>
      </c>
      <c r="N278" s="1" t="s">
        <v>74</v>
      </c>
      <c r="O278" s="1" t="s">
        <v>74</v>
      </c>
      <c r="P278" s="1" t="s">
        <v>74</v>
      </c>
      <c r="Q278" s="1" t="s">
        <v>74</v>
      </c>
      <c r="R278" s="1" t="s">
        <v>74</v>
      </c>
      <c r="S278" s="1" t="s">
        <v>74</v>
      </c>
      <c r="T278" s="1" t="s">
        <v>74</v>
      </c>
      <c r="U278" s="1" t="s">
        <v>74</v>
      </c>
      <c r="V278" s="1" t="s">
        <v>2701</v>
      </c>
      <c r="W278" s="1" t="s">
        <v>74</v>
      </c>
      <c r="X278" s="1" t="s">
        <v>74</v>
      </c>
      <c r="Y278" s="1" t="s">
        <v>74</v>
      </c>
      <c r="Z278" s="1" t="s">
        <v>74</v>
      </c>
      <c r="AA278" s="1" t="s">
        <v>2702</v>
      </c>
      <c r="AB278" s="1" t="s">
        <v>2703</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2704</v>
      </c>
      <c r="AP278" s="1" t="s">
        <v>2705</v>
      </c>
      <c r="AQ278" s="1" t="s">
        <v>74</v>
      </c>
      <c r="AR278" s="1" t="s">
        <v>74</v>
      </c>
      <c r="AS278" s="1" t="s">
        <v>74</v>
      </c>
      <c r="AT278" s="1" t="s">
        <v>319</v>
      </c>
      <c r="AU278" s="1">
        <v>2020.0</v>
      </c>
      <c r="AV278" s="1">
        <v>136.0</v>
      </c>
      <c r="AW278" s="1" t="s">
        <v>74</v>
      </c>
      <c r="AX278" s="1" t="s">
        <v>74</v>
      </c>
      <c r="AY278" s="1" t="s">
        <v>74</v>
      </c>
      <c r="AZ278" s="1" t="s">
        <v>74</v>
      </c>
      <c r="BA278" s="1" t="s">
        <v>74</v>
      </c>
      <c r="BB278" s="1" t="s">
        <v>74</v>
      </c>
      <c r="BC278" s="1" t="s">
        <v>74</v>
      </c>
      <c r="BD278" s="1">
        <v>105335.0</v>
      </c>
      <c r="BE278" s="1" t="s">
        <v>2706</v>
      </c>
      <c r="BF278" s="2" t="str">
        <f>HYPERLINK("http://dx.doi.org/10.1016/j.aap.2019.105335","http://dx.doi.org/10.1016/j.aap.2019.105335")</f>
        <v>http://dx.doi.org/10.1016/j.aap.2019.105335</v>
      </c>
      <c r="BG278" s="1" t="s">
        <v>74</v>
      </c>
      <c r="BH278" s="1" t="s">
        <v>74</v>
      </c>
      <c r="BI278" s="1" t="s">
        <v>74</v>
      </c>
      <c r="BJ278" s="1" t="s">
        <v>74</v>
      </c>
      <c r="BK278" s="1" t="s">
        <v>74</v>
      </c>
      <c r="BL278" s="1" t="s">
        <v>74</v>
      </c>
      <c r="BM278" s="1" t="s">
        <v>74</v>
      </c>
      <c r="BN278" s="1">
        <v>3.1887459E7</v>
      </c>
      <c r="BO278" s="1" t="s">
        <v>74</v>
      </c>
      <c r="BP278" s="1" t="s">
        <v>74</v>
      </c>
      <c r="BQ278" s="1" t="s">
        <v>74</v>
      </c>
      <c r="BR278" s="1" t="s">
        <v>74</v>
      </c>
      <c r="BS278" s="1" t="s">
        <v>2707</v>
      </c>
      <c r="BT278" s="1" t="str">
        <f>HYPERLINK("https%3A%2F%2Fwww.webofscience.com%2Fwos%2Fwoscc%2Ffull-record%2FWOS:000514253000018","View Full Record in Web of Science")</f>
        <v>View Full Record in Web of Science</v>
      </c>
    </row>
    <row r="279" ht="12.75" customHeight="1">
      <c r="A279" s="1" t="s">
        <v>442</v>
      </c>
      <c r="B279" s="1" t="s">
        <v>2708</v>
      </c>
      <c r="C279" s="1" t="s">
        <v>74</v>
      </c>
      <c r="D279" s="1" t="s">
        <v>2709</v>
      </c>
      <c r="E279" s="1" t="s">
        <v>74</v>
      </c>
      <c r="F279" s="1" t="s">
        <v>2710</v>
      </c>
      <c r="G279" s="1" t="s">
        <v>74</v>
      </c>
      <c r="H279" s="1" t="s">
        <v>74</v>
      </c>
      <c r="I279" s="1" t="s">
        <v>2711</v>
      </c>
      <c r="J279" s="1" t="s">
        <v>2712</v>
      </c>
      <c r="K279" s="1" t="s">
        <v>2713</v>
      </c>
      <c r="L279" s="1" t="s">
        <v>74</v>
      </c>
      <c r="M279" s="1" t="s">
        <v>74</v>
      </c>
      <c r="N279" s="1" t="s">
        <v>74</v>
      </c>
      <c r="O279" s="1" t="s">
        <v>74</v>
      </c>
      <c r="P279" s="1" t="s">
        <v>74</v>
      </c>
      <c r="Q279" s="1" t="s">
        <v>74</v>
      </c>
      <c r="R279" s="1" t="s">
        <v>74</v>
      </c>
      <c r="S279" s="1" t="s">
        <v>74</v>
      </c>
      <c r="T279" s="1" t="s">
        <v>74</v>
      </c>
      <c r="U279" s="1" t="s">
        <v>74</v>
      </c>
      <c r="V279" s="1" t="s">
        <v>74</v>
      </c>
      <c r="W279" s="1" t="s">
        <v>74</v>
      </c>
      <c r="X279" s="1" t="s">
        <v>74</v>
      </c>
      <c r="Y279" s="1" t="s">
        <v>74</v>
      </c>
      <c r="Z279" s="1" t="s">
        <v>74</v>
      </c>
      <c r="AA279" s="1" t="s">
        <v>74</v>
      </c>
      <c r="AB279" s="1" t="s">
        <v>74</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74</v>
      </c>
      <c r="AP279" s="1" t="s">
        <v>74</v>
      </c>
      <c r="AQ279" s="1" t="s">
        <v>2714</v>
      </c>
      <c r="AR279" s="1" t="s">
        <v>74</v>
      </c>
      <c r="AS279" s="1" t="s">
        <v>74</v>
      </c>
      <c r="AT279" s="1" t="s">
        <v>74</v>
      </c>
      <c r="AU279" s="1">
        <v>2020.0</v>
      </c>
      <c r="AV279" s="1" t="s">
        <v>74</v>
      </c>
      <c r="AW279" s="1" t="s">
        <v>74</v>
      </c>
      <c r="AX279" s="1" t="s">
        <v>74</v>
      </c>
      <c r="AY279" s="1" t="s">
        <v>74</v>
      </c>
      <c r="AZ279" s="1" t="s">
        <v>74</v>
      </c>
      <c r="BA279" s="1" t="s">
        <v>74</v>
      </c>
      <c r="BB279" s="1">
        <v>169.0</v>
      </c>
      <c r="BC279" s="1">
        <v>191.0</v>
      </c>
      <c r="BD279" s="1" t="s">
        <v>74</v>
      </c>
      <c r="BE279" s="1" t="s">
        <v>2715</v>
      </c>
      <c r="BF279" s="2" t="str">
        <f>HYPERLINK("http://dx.doi.org/10.1007/978-3-030-35614-9_7","http://dx.doi.org/10.1007/978-3-030-35614-9_7")</f>
        <v>http://dx.doi.org/10.1007/978-3-030-35614-9_7</v>
      </c>
      <c r="BG279" s="1" t="s">
        <v>2716</v>
      </c>
      <c r="BH279" s="1" t="s">
        <v>74</v>
      </c>
      <c r="BI279" s="1" t="s">
        <v>74</v>
      </c>
      <c r="BJ279" s="1" t="s">
        <v>74</v>
      </c>
      <c r="BK279" s="1" t="s">
        <v>74</v>
      </c>
      <c r="BL279" s="1" t="s">
        <v>74</v>
      </c>
      <c r="BM279" s="1" t="s">
        <v>74</v>
      </c>
      <c r="BN279" s="1" t="s">
        <v>74</v>
      </c>
      <c r="BO279" s="1" t="s">
        <v>74</v>
      </c>
      <c r="BP279" s="1" t="s">
        <v>74</v>
      </c>
      <c r="BQ279" s="1" t="s">
        <v>74</v>
      </c>
      <c r="BR279" s="1" t="s">
        <v>74</v>
      </c>
      <c r="BS279" s="1" t="s">
        <v>2717</v>
      </c>
      <c r="BT279" s="1" t="str">
        <f>HYPERLINK("https%3A%2F%2Fwww.webofscience.com%2Fwos%2Fwoscc%2Ffull-record%2FWOS:000668693500007","View Full Record in Web of Science")</f>
        <v>View Full Record in Web of Science</v>
      </c>
    </row>
    <row r="280" ht="12.75" customHeight="1">
      <c r="A280" s="1" t="s">
        <v>72</v>
      </c>
      <c r="B280" s="1" t="s">
        <v>2718</v>
      </c>
      <c r="C280" s="1" t="s">
        <v>74</v>
      </c>
      <c r="D280" s="1" t="s">
        <v>74</v>
      </c>
      <c r="E280" s="1" t="s">
        <v>74</v>
      </c>
      <c r="F280" s="1" t="s">
        <v>2719</v>
      </c>
      <c r="G280" s="1" t="s">
        <v>74</v>
      </c>
      <c r="H280" s="1" t="s">
        <v>74</v>
      </c>
      <c r="I280" s="1" t="s">
        <v>2720</v>
      </c>
      <c r="J280" s="1" t="s">
        <v>2721</v>
      </c>
      <c r="K280" s="1" t="s">
        <v>74</v>
      </c>
      <c r="L280" s="1" t="s">
        <v>74</v>
      </c>
      <c r="M280" s="1" t="s">
        <v>74</v>
      </c>
      <c r="N280" s="1" t="s">
        <v>74</v>
      </c>
      <c r="O280" s="1" t="s">
        <v>74</v>
      </c>
      <c r="P280" s="1" t="s">
        <v>74</v>
      </c>
      <c r="Q280" s="1" t="s">
        <v>74</v>
      </c>
      <c r="R280" s="1" t="s">
        <v>74</v>
      </c>
      <c r="S280" s="1" t="s">
        <v>74</v>
      </c>
      <c r="T280" s="1" t="s">
        <v>74</v>
      </c>
      <c r="U280" s="1" t="s">
        <v>74</v>
      </c>
      <c r="V280" s="1" t="s">
        <v>2722</v>
      </c>
      <c r="W280" s="1" t="s">
        <v>74</v>
      </c>
      <c r="X280" s="1" t="s">
        <v>74</v>
      </c>
      <c r="Y280" s="1" t="s">
        <v>74</v>
      </c>
      <c r="Z280" s="1" t="s">
        <v>74</v>
      </c>
      <c r="AA280" s="1" t="s">
        <v>74</v>
      </c>
      <c r="AB280" s="1" t="s">
        <v>74</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2723</v>
      </c>
      <c r="AP280" s="1" t="s">
        <v>2724</v>
      </c>
      <c r="AQ280" s="1" t="s">
        <v>74</v>
      </c>
      <c r="AR280" s="1" t="s">
        <v>74</v>
      </c>
      <c r="AS280" s="1" t="s">
        <v>74</v>
      </c>
      <c r="AT280" s="1" t="s">
        <v>116</v>
      </c>
      <c r="AU280" s="1">
        <v>2019.0</v>
      </c>
      <c r="AV280" s="1">
        <v>25.0</v>
      </c>
      <c r="AW280" s="1">
        <v>4.0</v>
      </c>
      <c r="AX280" s="1" t="s">
        <v>74</v>
      </c>
      <c r="AY280" s="1" t="s">
        <v>74</v>
      </c>
      <c r="AZ280" s="1" t="s">
        <v>74</v>
      </c>
      <c r="BA280" s="1" t="s">
        <v>74</v>
      </c>
      <c r="BB280" s="1">
        <v>559.0</v>
      </c>
      <c r="BC280" s="1">
        <v>568.0</v>
      </c>
      <c r="BD280" s="1" t="s">
        <v>74</v>
      </c>
      <c r="BE280" s="1" t="s">
        <v>2725</v>
      </c>
      <c r="BF280" s="2" t="str">
        <f>HYPERLINK("http://dx.doi.org/10.1177/1354068817741286","http://dx.doi.org/10.1177/1354068817741286")</f>
        <v>http://dx.doi.org/10.1177/1354068817741286</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2726</v>
      </c>
      <c r="BT280" s="1" t="str">
        <f>HYPERLINK("https%3A%2F%2Fwww.webofscience.com%2Fwos%2Fwoscc%2Ffull-record%2FWOS:000485296100007","View Full Record in Web of Science")</f>
        <v>View Full Record in Web of Science</v>
      </c>
    </row>
    <row r="281" ht="12.75" customHeight="1">
      <c r="A281" s="1" t="s">
        <v>72</v>
      </c>
      <c r="B281" s="1" t="s">
        <v>2727</v>
      </c>
      <c r="C281" s="1" t="s">
        <v>74</v>
      </c>
      <c r="D281" s="1" t="s">
        <v>74</v>
      </c>
      <c r="E281" s="1" t="s">
        <v>74</v>
      </c>
      <c r="F281" s="1" t="s">
        <v>2728</v>
      </c>
      <c r="G281" s="1" t="s">
        <v>74</v>
      </c>
      <c r="H281" s="1" t="s">
        <v>74</v>
      </c>
      <c r="I281" s="1" t="s">
        <v>2729</v>
      </c>
      <c r="J281" s="1" t="s">
        <v>2730</v>
      </c>
      <c r="K281" s="1" t="s">
        <v>74</v>
      </c>
      <c r="L281" s="1" t="s">
        <v>74</v>
      </c>
      <c r="M281" s="1" t="s">
        <v>74</v>
      </c>
      <c r="N281" s="1" t="s">
        <v>74</v>
      </c>
      <c r="O281" s="1" t="s">
        <v>74</v>
      </c>
      <c r="P281" s="1" t="s">
        <v>74</v>
      </c>
      <c r="Q281" s="1" t="s">
        <v>74</v>
      </c>
      <c r="R281" s="1" t="s">
        <v>74</v>
      </c>
      <c r="S281" s="1" t="s">
        <v>74</v>
      </c>
      <c r="T281" s="1" t="s">
        <v>74</v>
      </c>
      <c r="U281" s="1" t="s">
        <v>74</v>
      </c>
      <c r="V281" s="1" t="s">
        <v>2731</v>
      </c>
      <c r="W281" s="1" t="s">
        <v>74</v>
      </c>
      <c r="X281" s="1" t="s">
        <v>74</v>
      </c>
      <c r="Y281" s="1" t="s">
        <v>74</v>
      </c>
      <c r="Z281" s="1" t="s">
        <v>74</v>
      </c>
      <c r="AA281" s="1" t="s">
        <v>2732</v>
      </c>
      <c r="AB281" s="1" t="s">
        <v>74</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2733</v>
      </c>
      <c r="AP281" s="1" t="s">
        <v>2734</v>
      </c>
      <c r="AQ281" s="1" t="s">
        <v>74</v>
      </c>
      <c r="AR281" s="1" t="s">
        <v>74</v>
      </c>
      <c r="AS281" s="1" t="s">
        <v>74</v>
      </c>
      <c r="AT281" s="1" t="s">
        <v>319</v>
      </c>
      <c r="AU281" s="1">
        <v>2019.0</v>
      </c>
      <c r="AV281" s="1">
        <v>19.0</v>
      </c>
      <c r="AW281" s="1">
        <v>1.0</v>
      </c>
      <c r="AX281" s="1" t="s">
        <v>74</v>
      </c>
      <c r="AY281" s="1" t="s">
        <v>74</v>
      </c>
      <c r="AZ281" s="1" t="s">
        <v>74</v>
      </c>
      <c r="BA281" s="1" t="s">
        <v>74</v>
      </c>
      <c r="BB281" s="1">
        <v>237.0</v>
      </c>
      <c r="BC281" s="1">
        <v>248.0</v>
      </c>
      <c r="BD281" s="1" t="s">
        <v>74</v>
      </c>
      <c r="BE281" s="1" t="s">
        <v>2735</v>
      </c>
      <c r="BF281" s="2" t="str">
        <f>HYPERLINK("http://dx.doi.org/10.1007/s42729-019-0009-9","http://dx.doi.org/10.1007/s42729-019-0009-9")</f>
        <v>http://dx.doi.org/10.1007/s42729-019-0009-9</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2736</v>
      </c>
      <c r="BT281" s="1" t="str">
        <f>HYPERLINK("https%3A%2F%2Fwww.webofscience.com%2Fwos%2Fwoscc%2Ffull-record%2FWOS:000471078200023","View Full Record in Web of Science")</f>
        <v>View Full Record in Web of Science</v>
      </c>
    </row>
    <row r="282" ht="12.75" customHeight="1">
      <c r="A282" s="1" t="s">
        <v>72</v>
      </c>
      <c r="B282" s="1" t="s">
        <v>2737</v>
      </c>
      <c r="C282" s="1" t="s">
        <v>74</v>
      </c>
      <c r="D282" s="1" t="s">
        <v>74</v>
      </c>
      <c r="E282" s="1" t="s">
        <v>74</v>
      </c>
      <c r="F282" s="1" t="s">
        <v>2738</v>
      </c>
      <c r="G282" s="1" t="s">
        <v>74</v>
      </c>
      <c r="H282" s="1" t="s">
        <v>74</v>
      </c>
      <c r="I282" s="1" t="s">
        <v>2739</v>
      </c>
      <c r="J282" s="1" t="s">
        <v>2740</v>
      </c>
      <c r="K282" s="1" t="s">
        <v>74</v>
      </c>
      <c r="L282" s="1" t="s">
        <v>74</v>
      </c>
      <c r="M282" s="1" t="s">
        <v>74</v>
      </c>
      <c r="N282" s="1" t="s">
        <v>74</v>
      </c>
      <c r="O282" s="1" t="s">
        <v>74</v>
      </c>
      <c r="P282" s="1" t="s">
        <v>74</v>
      </c>
      <c r="Q282" s="1" t="s">
        <v>74</v>
      </c>
      <c r="R282" s="1" t="s">
        <v>74</v>
      </c>
      <c r="S282" s="1" t="s">
        <v>74</v>
      </c>
      <c r="T282" s="1" t="s">
        <v>74</v>
      </c>
      <c r="U282" s="1" t="s">
        <v>74</v>
      </c>
      <c r="V282" s="1" t="s">
        <v>2741</v>
      </c>
      <c r="W282" s="1" t="s">
        <v>74</v>
      </c>
      <c r="X282" s="1" t="s">
        <v>74</v>
      </c>
      <c r="Y282" s="1" t="s">
        <v>74</v>
      </c>
      <c r="Z282" s="1" t="s">
        <v>74</v>
      </c>
      <c r="AA282" s="1" t="s">
        <v>74</v>
      </c>
      <c r="AB282" s="1" t="s">
        <v>2742</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2743</v>
      </c>
      <c r="AP282" s="1" t="s">
        <v>2744</v>
      </c>
      <c r="AQ282" s="1" t="s">
        <v>74</v>
      </c>
      <c r="AR282" s="1" t="s">
        <v>74</v>
      </c>
      <c r="AS282" s="1" t="s">
        <v>74</v>
      </c>
      <c r="AT282" s="1" t="s">
        <v>116</v>
      </c>
      <c r="AU282" s="1">
        <v>2018.0</v>
      </c>
      <c r="AV282" s="1">
        <v>144.0</v>
      </c>
      <c r="AW282" s="1">
        <v>1.0</v>
      </c>
      <c r="AX282" s="1" t="s">
        <v>74</v>
      </c>
      <c r="AY282" s="1" t="s">
        <v>74</v>
      </c>
      <c r="AZ282" s="1" t="s">
        <v>74</v>
      </c>
      <c r="BA282" s="1" t="s">
        <v>74</v>
      </c>
      <c r="BB282" s="1">
        <v>222.0</v>
      </c>
      <c r="BC282" s="1">
        <v>227.0</v>
      </c>
      <c r="BD282" s="1" t="s">
        <v>74</v>
      </c>
      <c r="BE282" s="1" t="s">
        <v>2745</v>
      </c>
      <c r="BF282" s="2" t="str">
        <f>HYPERLINK("http://dx.doi.org/10.1121/1.5045558","http://dx.doi.org/10.1121/1.5045558")</f>
        <v>http://dx.doi.org/10.1121/1.5045558</v>
      </c>
      <c r="BG282" s="1" t="s">
        <v>74</v>
      </c>
      <c r="BH282" s="1" t="s">
        <v>74</v>
      </c>
      <c r="BI282" s="1" t="s">
        <v>74</v>
      </c>
      <c r="BJ282" s="1" t="s">
        <v>74</v>
      </c>
      <c r="BK282" s="1" t="s">
        <v>74</v>
      </c>
      <c r="BL282" s="1" t="s">
        <v>74</v>
      </c>
      <c r="BM282" s="1" t="s">
        <v>74</v>
      </c>
      <c r="BN282" s="1">
        <v>3.0075687E7</v>
      </c>
      <c r="BO282" s="1" t="s">
        <v>74</v>
      </c>
      <c r="BP282" s="1" t="s">
        <v>74</v>
      </c>
      <c r="BQ282" s="1" t="s">
        <v>74</v>
      </c>
      <c r="BR282" s="1" t="s">
        <v>74</v>
      </c>
      <c r="BS282" s="1" t="s">
        <v>2746</v>
      </c>
      <c r="BT282" s="1" t="str">
        <f>HYPERLINK("https%3A%2F%2Fwww.webofscience.com%2Fwos%2Fwoscc%2Ffull-record%2FWOS:000440810900034","View Full Record in Web of Science")</f>
        <v>View Full Record in Web of Science</v>
      </c>
    </row>
    <row r="283" ht="12.75" customHeight="1">
      <c r="A283" s="1" t="s">
        <v>72</v>
      </c>
      <c r="B283" s="1" t="s">
        <v>834</v>
      </c>
      <c r="C283" s="1" t="s">
        <v>74</v>
      </c>
      <c r="D283" s="1" t="s">
        <v>74</v>
      </c>
      <c r="E283" s="1" t="s">
        <v>74</v>
      </c>
      <c r="F283" s="1" t="s">
        <v>835</v>
      </c>
      <c r="G283" s="1" t="s">
        <v>74</v>
      </c>
      <c r="H283" s="1" t="s">
        <v>74</v>
      </c>
      <c r="I283" s="1" t="s">
        <v>2747</v>
      </c>
      <c r="J283" s="1" t="s">
        <v>837</v>
      </c>
      <c r="K283" s="1" t="s">
        <v>74</v>
      </c>
      <c r="L283" s="1" t="s">
        <v>74</v>
      </c>
      <c r="M283" s="1" t="s">
        <v>74</v>
      </c>
      <c r="N283" s="1" t="s">
        <v>74</v>
      </c>
      <c r="O283" s="1" t="s">
        <v>74</v>
      </c>
      <c r="P283" s="1" t="s">
        <v>74</v>
      </c>
      <c r="Q283" s="1" t="s">
        <v>74</v>
      </c>
      <c r="R283" s="1" t="s">
        <v>74</v>
      </c>
      <c r="S283" s="1" t="s">
        <v>74</v>
      </c>
      <c r="T283" s="1" t="s">
        <v>74</v>
      </c>
      <c r="U283" s="1" t="s">
        <v>74</v>
      </c>
      <c r="V283" s="1" t="s">
        <v>74</v>
      </c>
      <c r="W283" s="1" t="s">
        <v>74</v>
      </c>
      <c r="X283" s="1" t="s">
        <v>74</v>
      </c>
      <c r="Y283" s="1" t="s">
        <v>74</v>
      </c>
      <c r="Z283" s="1" t="s">
        <v>74</v>
      </c>
      <c r="AA283" s="1" t="s">
        <v>74</v>
      </c>
      <c r="AB283" s="1" t="s">
        <v>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839</v>
      </c>
      <c r="AP283" s="1" t="s">
        <v>74</v>
      </c>
      <c r="AQ283" s="1" t="s">
        <v>74</v>
      </c>
      <c r="AR283" s="1" t="s">
        <v>74</v>
      </c>
      <c r="AS283" s="1" t="s">
        <v>74</v>
      </c>
      <c r="AT283" s="1" t="s">
        <v>2748</v>
      </c>
      <c r="AU283" s="1">
        <v>2018.0</v>
      </c>
      <c r="AV283" s="1">
        <v>8.0</v>
      </c>
      <c r="AW283" s="1" t="s">
        <v>74</v>
      </c>
      <c r="AX283" s="1" t="s">
        <v>74</v>
      </c>
      <c r="AY283" s="1" t="s">
        <v>74</v>
      </c>
      <c r="AZ283" s="1" t="s">
        <v>74</v>
      </c>
      <c r="BA283" s="1" t="s">
        <v>74</v>
      </c>
      <c r="BB283" s="1" t="s">
        <v>74</v>
      </c>
      <c r="BC283" s="1" t="s">
        <v>74</v>
      </c>
      <c r="BD283" s="1">
        <v>6303.0</v>
      </c>
      <c r="BE283" s="1" t="s">
        <v>2749</v>
      </c>
      <c r="BF283" s="2" t="str">
        <f>HYPERLINK("http://dx.doi.org/10.1038/s41598-018-24595-6","http://dx.doi.org/10.1038/s41598-018-24595-6")</f>
        <v>http://dx.doi.org/10.1038/s41598-018-24595-6</v>
      </c>
      <c r="BG283" s="1" t="s">
        <v>74</v>
      </c>
      <c r="BH283" s="1" t="s">
        <v>74</v>
      </c>
      <c r="BI283" s="1" t="s">
        <v>74</v>
      </c>
      <c r="BJ283" s="1" t="s">
        <v>74</v>
      </c>
      <c r="BK283" s="1" t="s">
        <v>74</v>
      </c>
      <c r="BL283" s="1" t="s">
        <v>74</v>
      </c>
      <c r="BM283" s="1" t="s">
        <v>74</v>
      </c>
      <c r="BN283" s="1">
        <v>2.9657314E7</v>
      </c>
      <c r="BO283" s="1" t="s">
        <v>74</v>
      </c>
      <c r="BP283" s="1" t="s">
        <v>74</v>
      </c>
      <c r="BQ283" s="1" t="s">
        <v>74</v>
      </c>
      <c r="BR283" s="1" t="s">
        <v>74</v>
      </c>
      <c r="BS283" s="1" t="s">
        <v>2750</v>
      </c>
      <c r="BT283" s="1" t="str">
        <f>HYPERLINK("https%3A%2F%2Fwww.webofscience.com%2Fwos%2Fwoscc%2Ffull-record%2FWOS:000430054200003","View Full Record in Web of Science")</f>
        <v>View Full Record in Web of Science</v>
      </c>
    </row>
    <row r="284" ht="12.75" customHeight="1">
      <c r="A284" s="1" t="s">
        <v>72</v>
      </c>
      <c r="B284" s="1" t="s">
        <v>2751</v>
      </c>
      <c r="C284" s="1" t="s">
        <v>74</v>
      </c>
      <c r="D284" s="1" t="s">
        <v>74</v>
      </c>
      <c r="E284" s="1" t="s">
        <v>74</v>
      </c>
      <c r="F284" s="1" t="s">
        <v>2752</v>
      </c>
      <c r="G284" s="1" t="s">
        <v>74</v>
      </c>
      <c r="H284" s="1" t="s">
        <v>74</v>
      </c>
      <c r="I284" s="1" t="s">
        <v>2753</v>
      </c>
      <c r="J284" s="1" t="s">
        <v>2754</v>
      </c>
      <c r="K284" s="1" t="s">
        <v>74</v>
      </c>
      <c r="L284" s="1" t="s">
        <v>74</v>
      </c>
      <c r="M284" s="1" t="s">
        <v>74</v>
      </c>
      <c r="N284" s="1" t="s">
        <v>74</v>
      </c>
      <c r="O284" s="1" t="s">
        <v>74</v>
      </c>
      <c r="P284" s="1" t="s">
        <v>74</v>
      </c>
      <c r="Q284" s="1" t="s">
        <v>74</v>
      </c>
      <c r="R284" s="1" t="s">
        <v>74</v>
      </c>
      <c r="S284" s="1" t="s">
        <v>74</v>
      </c>
      <c r="T284" s="1" t="s">
        <v>74</v>
      </c>
      <c r="U284" s="1" t="s">
        <v>74</v>
      </c>
      <c r="V284" s="1" t="s">
        <v>2755</v>
      </c>
      <c r="W284" s="1" t="s">
        <v>74</v>
      </c>
      <c r="X284" s="1" t="s">
        <v>74</v>
      </c>
      <c r="Y284" s="1" t="s">
        <v>74</v>
      </c>
      <c r="Z284" s="1" t="s">
        <v>74</v>
      </c>
      <c r="AA284" s="1" t="s">
        <v>2756</v>
      </c>
      <c r="AB284" s="1" t="s">
        <v>2757</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2758</v>
      </c>
      <c r="AP284" s="1" t="s">
        <v>2759</v>
      </c>
      <c r="AQ284" s="1" t="s">
        <v>74</v>
      </c>
      <c r="AR284" s="1" t="s">
        <v>74</v>
      </c>
      <c r="AS284" s="1" t="s">
        <v>74</v>
      </c>
      <c r="AT284" s="1" t="s">
        <v>74</v>
      </c>
      <c r="AU284" s="1">
        <v>2018.0</v>
      </c>
      <c r="AV284" s="1">
        <v>39.0</v>
      </c>
      <c r="AW284" s="1">
        <v>6.0</v>
      </c>
      <c r="AX284" s="1" t="s">
        <v>74</v>
      </c>
      <c r="AY284" s="1" t="s">
        <v>74</v>
      </c>
      <c r="AZ284" s="1" t="s">
        <v>74</v>
      </c>
      <c r="BA284" s="1" t="s">
        <v>74</v>
      </c>
      <c r="BB284" s="1">
        <v>704.0</v>
      </c>
      <c r="BC284" s="1">
        <v>736.0</v>
      </c>
      <c r="BD284" s="1" t="s">
        <v>74</v>
      </c>
      <c r="BE284" s="1" t="s">
        <v>2760</v>
      </c>
      <c r="BF284" s="2" t="str">
        <f>HYPERLINK("http://dx.doi.org/10.1080/01630563.2017.1414060","http://dx.doi.org/10.1080/01630563.2017.1414060")</f>
        <v>http://dx.doi.org/10.1080/01630563.2017.1414060</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2761</v>
      </c>
      <c r="BT284" s="1" t="str">
        <f>HYPERLINK("https%3A%2F%2Fwww.webofscience.com%2Fwos%2Fwoscc%2Ffull-record%2FWOS:000427950100005","View Full Record in Web of Science")</f>
        <v>View Full Record in Web of Science</v>
      </c>
    </row>
    <row r="285" ht="12.75" customHeight="1">
      <c r="A285" s="1" t="s">
        <v>72</v>
      </c>
      <c r="B285" s="1" t="s">
        <v>2762</v>
      </c>
      <c r="C285" s="1" t="s">
        <v>74</v>
      </c>
      <c r="D285" s="1" t="s">
        <v>74</v>
      </c>
      <c r="E285" s="1" t="s">
        <v>74</v>
      </c>
      <c r="F285" s="1" t="s">
        <v>2763</v>
      </c>
      <c r="G285" s="1" t="s">
        <v>74</v>
      </c>
      <c r="H285" s="1" t="s">
        <v>74</v>
      </c>
      <c r="I285" s="1" t="s">
        <v>2764</v>
      </c>
      <c r="J285" s="1" t="s">
        <v>268</v>
      </c>
      <c r="K285" s="1" t="s">
        <v>74</v>
      </c>
      <c r="L285" s="1" t="s">
        <v>74</v>
      </c>
      <c r="M285" s="1" t="s">
        <v>74</v>
      </c>
      <c r="N285" s="1" t="s">
        <v>74</v>
      </c>
      <c r="O285" s="1" t="s">
        <v>74</v>
      </c>
      <c r="P285" s="1" t="s">
        <v>74</v>
      </c>
      <c r="Q285" s="1" t="s">
        <v>74</v>
      </c>
      <c r="R285" s="1" t="s">
        <v>74</v>
      </c>
      <c r="S285" s="1" t="s">
        <v>74</v>
      </c>
      <c r="T285" s="1" t="s">
        <v>74</v>
      </c>
      <c r="U285" s="1" t="s">
        <v>74</v>
      </c>
      <c r="V285" s="1" t="s">
        <v>2765</v>
      </c>
      <c r="W285" s="1" t="s">
        <v>74</v>
      </c>
      <c r="X285" s="1" t="s">
        <v>74</v>
      </c>
      <c r="Y285" s="1" t="s">
        <v>74</v>
      </c>
      <c r="Z285" s="1" t="s">
        <v>74</v>
      </c>
      <c r="AA285" s="1" t="s">
        <v>1409</v>
      </c>
      <c r="AB285" s="1" t="s">
        <v>2766</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272</v>
      </c>
      <c r="AP285" s="1" t="s">
        <v>273</v>
      </c>
      <c r="AQ285" s="1" t="s">
        <v>74</v>
      </c>
      <c r="AR285" s="1" t="s">
        <v>74</v>
      </c>
      <c r="AS285" s="1" t="s">
        <v>74</v>
      </c>
      <c r="AT285" s="1" t="s">
        <v>848</v>
      </c>
      <c r="AU285" s="1">
        <v>2017.0</v>
      </c>
      <c r="AV285" s="1">
        <v>441.0</v>
      </c>
      <c r="AW285" s="1" t="s">
        <v>74</v>
      </c>
      <c r="AX285" s="1" t="s">
        <v>74</v>
      </c>
      <c r="AY285" s="1" t="s">
        <v>74</v>
      </c>
      <c r="AZ285" s="1" t="s">
        <v>74</v>
      </c>
      <c r="BA285" s="1" t="s">
        <v>74</v>
      </c>
      <c r="BB285" s="1">
        <v>656.0</v>
      </c>
      <c r="BC285" s="1">
        <v>659.0</v>
      </c>
      <c r="BD285" s="1" t="s">
        <v>74</v>
      </c>
      <c r="BE285" s="1" t="s">
        <v>2767</v>
      </c>
      <c r="BF285" s="2" t="str">
        <f>HYPERLINK("http://dx.doi.org/10.1016/j.jmmm.2017.06.066","http://dx.doi.org/10.1016/j.jmmm.2017.06.066")</f>
        <v>http://dx.doi.org/10.1016/j.jmmm.2017.06.066</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2768</v>
      </c>
      <c r="BT285" s="1" t="str">
        <f>HYPERLINK("https%3A%2F%2Fwww.webofscience.com%2Fwos%2Fwoscc%2Ffull-record%2FWOS:000408015500093","View Full Record in Web of Science")</f>
        <v>View Full Record in Web of Science</v>
      </c>
    </row>
    <row r="286" ht="12.75" customHeight="1">
      <c r="A286" s="1" t="s">
        <v>72</v>
      </c>
      <c r="B286" s="1" t="s">
        <v>2769</v>
      </c>
      <c r="C286" s="1" t="s">
        <v>74</v>
      </c>
      <c r="D286" s="1" t="s">
        <v>74</v>
      </c>
      <c r="E286" s="1" t="s">
        <v>74</v>
      </c>
      <c r="F286" s="1" t="s">
        <v>2770</v>
      </c>
      <c r="G286" s="1" t="s">
        <v>74</v>
      </c>
      <c r="H286" s="1" t="s">
        <v>74</v>
      </c>
      <c r="I286" s="1" t="s">
        <v>2771</v>
      </c>
      <c r="J286" s="1" t="s">
        <v>301</v>
      </c>
      <c r="K286" s="1" t="s">
        <v>74</v>
      </c>
      <c r="L286" s="1" t="s">
        <v>74</v>
      </c>
      <c r="M286" s="1" t="s">
        <v>74</v>
      </c>
      <c r="N286" s="1" t="s">
        <v>74</v>
      </c>
      <c r="O286" s="1" t="s">
        <v>74</v>
      </c>
      <c r="P286" s="1" t="s">
        <v>74</v>
      </c>
      <c r="Q286" s="1" t="s">
        <v>74</v>
      </c>
      <c r="R286" s="1" t="s">
        <v>74</v>
      </c>
      <c r="S286" s="1" t="s">
        <v>74</v>
      </c>
      <c r="T286" s="1" t="s">
        <v>74</v>
      </c>
      <c r="U286" s="1" t="s">
        <v>74</v>
      </c>
      <c r="V286" s="1" t="s">
        <v>2772</v>
      </c>
      <c r="W286" s="1" t="s">
        <v>74</v>
      </c>
      <c r="X286" s="1" t="s">
        <v>74</v>
      </c>
      <c r="Y286" s="1" t="s">
        <v>74</v>
      </c>
      <c r="Z286" s="1" t="s">
        <v>74</v>
      </c>
      <c r="AA286" s="1" t="s">
        <v>74</v>
      </c>
      <c r="AB286" s="1" t="s">
        <v>74</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305</v>
      </c>
      <c r="AP286" s="1" t="s">
        <v>306</v>
      </c>
      <c r="AQ286" s="1" t="s">
        <v>74</v>
      </c>
      <c r="AR286" s="1" t="s">
        <v>74</v>
      </c>
      <c r="AS286" s="1" t="s">
        <v>74</v>
      </c>
      <c r="AT286" s="1" t="s">
        <v>2773</v>
      </c>
      <c r="AU286" s="1">
        <v>2015.0</v>
      </c>
      <c r="AV286" s="1">
        <v>118.0</v>
      </c>
      <c r="AW286" s="1">
        <v>1.0</v>
      </c>
      <c r="AX286" s="1" t="s">
        <v>74</v>
      </c>
      <c r="AY286" s="1" t="s">
        <v>74</v>
      </c>
      <c r="AZ286" s="1" t="s">
        <v>74</v>
      </c>
      <c r="BA286" s="1" t="s">
        <v>74</v>
      </c>
      <c r="BB286" s="1" t="s">
        <v>74</v>
      </c>
      <c r="BC286" s="1" t="s">
        <v>74</v>
      </c>
      <c r="BD286" s="1">
        <v>13905.0</v>
      </c>
      <c r="BE286" s="1" t="s">
        <v>2774</v>
      </c>
      <c r="BF286" s="2" t="str">
        <f>HYPERLINK("http://dx.doi.org/10.1063/1.4926377","http://dx.doi.org/10.1063/1.4926377")</f>
        <v>http://dx.doi.org/10.1063/1.4926377</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2775</v>
      </c>
      <c r="BT286" s="1" t="str">
        <f>HYPERLINK("https%3A%2F%2Fwww.webofscience.com%2Fwos%2Fwoscc%2Ffull-record%2FWOS:000357873100013","View Full Record in Web of Science")</f>
        <v>View Full Record in Web of Science</v>
      </c>
    </row>
    <row r="287" ht="12.75" customHeight="1">
      <c r="A287" s="1" t="s">
        <v>72</v>
      </c>
      <c r="B287" s="1" t="s">
        <v>2776</v>
      </c>
      <c r="C287" s="1" t="s">
        <v>74</v>
      </c>
      <c r="D287" s="1" t="s">
        <v>74</v>
      </c>
      <c r="E287" s="1" t="s">
        <v>74</v>
      </c>
      <c r="F287" s="1" t="s">
        <v>2777</v>
      </c>
      <c r="G287" s="1" t="s">
        <v>74</v>
      </c>
      <c r="H287" s="1" t="s">
        <v>74</v>
      </c>
      <c r="I287" s="1" t="s">
        <v>2778</v>
      </c>
      <c r="J287" s="1" t="s">
        <v>2779</v>
      </c>
      <c r="K287" s="1" t="s">
        <v>74</v>
      </c>
      <c r="L287" s="1" t="s">
        <v>74</v>
      </c>
      <c r="M287" s="1" t="s">
        <v>74</v>
      </c>
      <c r="N287" s="1" t="s">
        <v>74</v>
      </c>
      <c r="O287" s="1" t="s">
        <v>74</v>
      </c>
      <c r="P287" s="1" t="s">
        <v>74</v>
      </c>
      <c r="Q287" s="1" t="s">
        <v>74</v>
      </c>
      <c r="R287" s="1" t="s">
        <v>74</v>
      </c>
      <c r="S287" s="1" t="s">
        <v>74</v>
      </c>
      <c r="T287" s="1" t="s">
        <v>74</v>
      </c>
      <c r="U287" s="1" t="s">
        <v>74</v>
      </c>
      <c r="V287" s="1" t="s">
        <v>2780</v>
      </c>
      <c r="W287" s="1" t="s">
        <v>74</v>
      </c>
      <c r="X287" s="1" t="s">
        <v>74</v>
      </c>
      <c r="Y287" s="1" t="s">
        <v>74</v>
      </c>
      <c r="Z287" s="1" t="s">
        <v>74</v>
      </c>
      <c r="AA287" s="1" t="s">
        <v>74</v>
      </c>
      <c r="AB287" s="1" t="s">
        <v>2781</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2782</v>
      </c>
      <c r="AP287" s="1" t="s">
        <v>2783</v>
      </c>
      <c r="AQ287" s="1" t="s">
        <v>74</v>
      </c>
      <c r="AR287" s="1" t="s">
        <v>74</v>
      </c>
      <c r="AS287" s="1" t="s">
        <v>74</v>
      </c>
      <c r="AT287" s="1" t="s">
        <v>94</v>
      </c>
      <c r="AU287" s="1">
        <v>2011.0</v>
      </c>
      <c r="AV287" s="1">
        <v>155.0</v>
      </c>
      <c r="AW287" s="1">
        <v>1.0</v>
      </c>
      <c r="AX287" s="1" t="s">
        <v>74</v>
      </c>
      <c r="AY287" s="1" t="s">
        <v>74</v>
      </c>
      <c r="AZ287" s="1" t="s">
        <v>74</v>
      </c>
      <c r="BA287" s="1" t="s">
        <v>74</v>
      </c>
      <c r="BB287" s="1">
        <v>10.0</v>
      </c>
      <c r="BC287" s="1">
        <v>19.0</v>
      </c>
      <c r="BD287" s="1" t="s">
        <v>74</v>
      </c>
      <c r="BE287" s="1" t="s">
        <v>2784</v>
      </c>
      <c r="BF287" s="2" t="str">
        <f>HYPERLINK("http://dx.doi.org/10.1016/j.virusres.2010.10.021","http://dx.doi.org/10.1016/j.virusres.2010.10.021")</f>
        <v>http://dx.doi.org/10.1016/j.virusres.2010.10.021</v>
      </c>
      <c r="BG287" s="1" t="s">
        <v>74</v>
      </c>
      <c r="BH287" s="1" t="s">
        <v>74</v>
      </c>
      <c r="BI287" s="1" t="s">
        <v>74</v>
      </c>
      <c r="BJ287" s="1" t="s">
        <v>74</v>
      </c>
      <c r="BK287" s="1" t="s">
        <v>74</v>
      </c>
      <c r="BL287" s="1" t="s">
        <v>74</v>
      </c>
      <c r="BM287" s="1" t="s">
        <v>74</v>
      </c>
      <c r="BN287" s="1">
        <v>2.0979983E7</v>
      </c>
      <c r="BO287" s="1" t="s">
        <v>74</v>
      </c>
      <c r="BP287" s="1" t="s">
        <v>74</v>
      </c>
      <c r="BQ287" s="1" t="s">
        <v>74</v>
      </c>
      <c r="BR287" s="1" t="s">
        <v>74</v>
      </c>
      <c r="BS287" s="1" t="s">
        <v>2785</v>
      </c>
      <c r="BT287" s="1" t="str">
        <f>HYPERLINK("https%3A%2F%2Fwww.webofscience.com%2Fwos%2Fwoscc%2Ffull-record%2FWOS:000287010300002","View Full Record in Web of Science")</f>
        <v>View Full Record in Web of Science</v>
      </c>
    </row>
    <row r="288" ht="12.75" customHeight="1">
      <c r="A288" s="1" t="s">
        <v>72</v>
      </c>
      <c r="B288" s="1" t="s">
        <v>2786</v>
      </c>
      <c r="C288" s="1" t="s">
        <v>74</v>
      </c>
      <c r="D288" s="1" t="s">
        <v>74</v>
      </c>
      <c r="E288" s="1" t="s">
        <v>74</v>
      </c>
      <c r="F288" s="1" t="s">
        <v>2787</v>
      </c>
      <c r="G288" s="1" t="s">
        <v>74</v>
      </c>
      <c r="H288" s="1" t="s">
        <v>74</v>
      </c>
      <c r="I288" s="1" t="s">
        <v>2788</v>
      </c>
      <c r="J288" s="1" t="s">
        <v>601</v>
      </c>
      <c r="K288" s="1" t="s">
        <v>74</v>
      </c>
      <c r="L288" s="1" t="s">
        <v>74</v>
      </c>
      <c r="M288" s="1" t="s">
        <v>74</v>
      </c>
      <c r="N288" s="1" t="s">
        <v>74</v>
      </c>
      <c r="O288" s="1" t="s">
        <v>74</v>
      </c>
      <c r="P288" s="1" t="s">
        <v>74</v>
      </c>
      <c r="Q288" s="1" t="s">
        <v>74</v>
      </c>
      <c r="R288" s="1" t="s">
        <v>74</v>
      </c>
      <c r="S288" s="1" t="s">
        <v>74</v>
      </c>
      <c r="T288" s="1" t="s">
        <v>74</v>
      </c>
      <c r="U288" s="1" t="s">
        <v>74</v>
      </c>
      <c r="V288" s="1" t="s">
        <v>2789</v>
      </c>
      <c r="W288" s="1" t="s">
        <v>74</v>
      </c>
      <c r="X288" s="1" t="s">
        <v>74</v>
      </c>
      <c r="Y288" s="1" t="s">
        <v>74</v>
      </c>
      <c r="Z288" s="1" t="s">
        <v>74</v>
      </c>
      <c r="AA288" s="1" t="s">
        <v>74</v>
      </c>
      <c r="AB288" s="1" t="s">
        <v>74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605</v>
      </c>
      <c r="AP288" s="1" t="s">
        <v>74</v>
      </c>
      <c r="AQ288" s="1" t="s">
        <v>74</v>
      </c>
      <c r="AR288" s="1" t="s">
        <v>74</v>
      </c>
      <c r="AS288" s="1" t="s">
        <v>74</v>
      </c>
      <c r="AT288" s="1" t="s">
        <v>82</v>
      </c>
      <c r="AU288" s="1">
        <v>2008.0</v>
      </c>
      <c r="AV288" s="1">
        <v>27.0</v>
      </c>
      <c r="AW288" s="1">
        <v>4.0</v>
      </c>
      <c r="AX288" s="1" t="s">
        <v>74</v>
      </c>
      <c r="AY288" s="1" t="s">
        <v>74</v>
      </c>
      <c r="AZ288" s="1" t="s">
        <v>74</v>
      </c>
      <c r="BA288" s="1" t="s">
        <v>74</v>
      </c>
      <c r="BB288" s="1">
        <v>247.0</v>
      </c>
      <c r="BC288" s="1">
        <v>252.0</v>
      </c>
      <c r="BD288" s="1" t="s">
        <v>74</v>
      </c>
      <c r="BE288" s="1" t="s">
        <v>2790</v>
      </c>
      <c r="BF288" s="2" t="str">
        <f>HYPERLINK("http://dx.doi.org/10.1007/s10930-008-9131-6","http://dx.doi.org/10.1007/s10930-008-9131-6")</f>
        <v>http://dx.doi.org/10.1007/s10930-008-9131-6</v>
      </c>
      <c r="BG288" s="1" t="s">
        <v>74</v>
      </c>
      <c r="BH288" s="1" t="s">
        <v>74</v>
      </c>
      <c r="BI288" s="1" t="s">
        <v>74</v>
      </c>
      <c r="BJ288" s="1" t="s">
        <v>74</v>
      </c>
      <c r="BK288" s="1" t="s">
        <v>74</v>
      </c>
      <c r="BL288" s="1" t="s">
        <v>74</v>
      </c>
      <c r="BM288" s="1" t="s">
        <v>74</v>
      </c>
      <c r="BN288" s="1">
        <v>1.8317889E7</v>
      </c>
      <c r="BO288" s="1" t="s">
        <v>74</v>
      </c>
      <c r="BP288" s="1" t="s">
        <v>74</v>
      </c>
      <c r="BQ288" s="1" t="s">
        <v>74</v>
      </c>
      <c r="BR288" s="1" t="s">
        <v>74</v>
      </c>
      <c r="BS288" s="1" t="s">
        <v>2791</v>
      </c>
      <c r="BT288" s="1" t="str">
        <f>HYPERLINK("https%3A%2F%2Fwww.webofscience.com%2Fwos%2Fwoscc%2Ffull-record%2FWOS:000255868000006","View Full Record in Web of Science")</f>
        <v>View Full Record in Web of Science</v>
      </c>
    </row>
    <row r="289" ht="12.75" customHeight="1">
      <c r="A289" s="1" t="s">
        <v>72</v>
      </c>
      <c r="B289" s="1" t="s">
        <v>2792</v>
      </c>
      <c r="C289" s="1" t="s">
        <v>74</v>
      </c>
      <c r="D289" s="1" t="s">
        <v>74</v>
      </c>
      <c r="E289" s="1" t="s">
        <v>74</v>
      </c>
      <c r="F289" s="1" t="s">
        <v>2792</v>
      </c>
      <c r="G289" s="1" t="s">
        <v>74</v>
      </c>
      <c r="H289" s="1" t="s">
        <v>74</v>
      </c>
      <c r="I289" s="1" t="s">
        <v>2793</v>
      </c>
      <c r="J289" s="1" t="s">
        <v>669</v>
      </c>
      <c r="K289" s="1" t="s">
        <v>74</v>
      </c>
      <c r="L289" s="1" t="s">
        <v>74</v>
      </c>
      <c r="M289" s="1" t="s">
        <v>74</v>
      </c>
      <c r="N289" s="1" t="s">
        <v>74</v>
      </c>
      <c r="O289" s="1" t="s">
        <v>74</v>
      </c>
      <c r="P289" s="1" t="s">
        <v>74</v>
      </c>
      <c r="Q289" s="1" t="s">
        <v>74</v>
      </c>
      <c r="R289" s="1" t="s">
        <v>74</v>
      </c>
      <c r="S289" s="1" t="s">
        <v>74</v>
      </c>
      <c r="T289" s="1" t="s">
        <v>74</v>
      </c>
      <c r="U289" s="1" t="s">
        <v>74</v>
      </c>
      <c r="V289" s="1" t="s">
        <v>2794</v>
      </c>
      <c r="W289" s="1" t="s">
        <v>74</v>
      </c>
      <c r="X289" s="1" t="s">
        <v>74</v>
      </c>
      <c r="Y289" s="1" t="s">
        <v>74</v>
      </c>
      <c r="Z289" s="1" t="s">
        <v>74</v>
      </c>
      <c r="AA289" s="1" t="s">
        <v>74</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670</v>
      </c>
      <c r="AP289" s="1" t="s">
        <v>74</v>
      </c>
      <c r="AQ289" s="1" t="s">
        <v>74</v>
      </c>
      <c r="AR289" s="1" t="s">
        <v>74</v>
      </c>
      <c r="AS289" s="1" t="s">
        <v>74</v>
      </c>
      <c r="AT289" s="1" t="s">
        <v>2795</v>
      </c>
      <c r="AU289" s="1">
        <v>2005.0</v>
      </c>
      <c r="AV289" s="1">
        <v>283.0</v>
      </c>
      <c r="AW289" s="1">
        <v>1.0</v>
      </c>
      <c r="AX289" s="1" t="s">
        <v>74</v>
      </c>
      <c r="AY289" s="1" t="s">
        <v>74</v>
      </c>
      <c r="AZ289" s="1" t="s">
        <v>74</v>
      </c>
      <c r="BA289" s="1" t="s">
        <v>74</v>
      </c>
      <c r="BB289" s="1">
        <v>87.0</v>
      </c>
      <c r="BC289" s="1">
        <v>93.0</v>
      </c>
      <c r="BD289" s="1" t="s">
        <v>74</v>
      </c>
      <c r="BE289" s="1" t="s">
        <v>2796</v>
      </c>
      <c r="BF289" s="2" t="str">
        <f>HYPERLINK("http://dx.doi.org/10.1016/j.jcis.2004.08.176","http://dx.doi.org/10.1016/j.jcis.2004.08.176")</f>
        <v>http://dx.doi.org/10.1016/j.jcis.2004.08.176</v>
      </c>
      <c r="BG289" s="1" t="s">
        <v>74</v>
      </c>
      <c r="BH289" s="1" t="s">
        <v>74</v>
      </c>
      <c r="BI289" s="1" t="s">
        <v>74</v>
      </c>
      <c r="BJ289" s="1" t="s">
        <v>74</v>
      </c>
      <c r="BK289" s="1" t="s">
        <v>74</v>
      </c>
      <c r="BL289" s="1" t="s">
        <v>74</v>
      </c>
      <c r="BM289" s="1" t="s">
        <v>74</v>
      </c>
      <c r="BN289" s="1">
        <v>1.5694427E7</v>
      </c>
      <c r="BO289" s="1" t="s">
        <v>74</v>
      </c>
      <c r="BP289" s="1" t="s">
        <v>74</v>
      </c>
      <c r="BQ289" s="1" t="s">
        <v>74</v>
      </c>
      <c r="BR289" s="1" t="s">
        <v>74</v>
      </c>
      <c r="BS289" s="1" t="s">
        <v>2797</v>
      </c>
      <c r="BT289" s="1" t="str">
        <f>HYPERLINK("https%3A%2F%2Fwww.webofscience.com%2Fwos%2Fwoscc%2Ffull-record%2FWOS:000227114700010","View Full Record in Web of Science")</f>
        <v>View Full Record in Web of Science</v>
      </c>
    </row>
    <row r="290" ht="12.75" customHeight="1">
      <c r="A290" s="1" t="s">
        <v>72</v>
      </c>
      <c r="B290" s="1" t="s">
        <v>2798</v>
      </c>
      <c r="C290" s="1" t="s">
        <v>74</v>
      </c>
      <c r="D290" s="1" t="s">
        <v>74</v>
      </c>
      <c r="E290" s="1" t="s">
        <v>74</v>
      </c>
      <c r="F290" s="1" t="s">
        <v>2798</v>
      </c>
      <c r="G290" s="1" t="s">
        <v>74</v>
      </c>
      <c r="H290" s="1" t="s">
        <v>74</v>
      </c>
      <c r="I290" s="1" t="s">
        <v>2799</v>
      </c>
      <c r="J290" s="1" t="s">
        <v>337</v>
      </c>
      <c r="K290" s="1" t="s">
        <v>74</v>
      </c>
      <c r="L290" s="1" t="s">
        <v>74</v>
      </c>
      <c r="M290" s="1" t="s">
        <v>74</v>
      </c>
      <c r="N290" s="1" t="s">
        <v>74</v>
      </c>
      <c r="O290" s="1" t="s">
        <v>74</v>
      </c>
      <c r="P290" s="1" t="s">
        <v>74</v>
      </c>
      <c r="Q290" s="1" t="s">
        <v>74</v>
      </c>
      <c r="R290" s="1" t="s">
        <v>74</v>
      </c>
      <c r="S290" s="1" t="s">
        <v>74</v>
      </c>
      <c r="T290" s="1" t="s">
        <v>74</v>
      </c>
      <c r="U290" s="1" t="s">
        <v>74</v>
      </c>
      <c r="V290" s="1" t="s">
        <v>2800</v>
      </c>
      <c r="W290" s="1" t="s">
        <v>74</v>
      </c>
      <c r="X290" s="1" t="s">
        <v>74</v>
      </c>
      <c r="Y290" s="1" t="s">
        <v>74</v>
      </c>
      <c r="Z290" s="1" t="s">
        <v>74</v>
      </c>
      <c r="AA290" s="1" t="s">
        <v>1875</v>
      </c>
      <c r="AB290" s="1" t="s">
        <v>1876</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341</v>
      </c>
      <c r="AP290" s="1" t="s">
        <v>342</v>
      </c>
      <c r="AQ290" s="1" t="s">
        <v>74</v>
      </c>
      <c r="AR290" s="1" t="s">
        <v>74</v>
      </c>
      <c r="AS290" s="1" t="s">
        <v>74</v>
      </c>
      <c r="AT290" s="1" t="s">
        <v>607</v>
      </c>
      <c r="AU290" s="1">
        <v>2004.0</v>
      </c>
      <c r="AV290" s="1">
        <v>69.0</v>
      </c>
      <c r="AW290" s="1">
        <v>2.0</v>
      </c>
      <c r="AX290" s="1">
        <v>2.0</v>
      </c>
      <c r="AY290" s="1" t="s">
        <v>74</v>
      </c>
      <c r="AZ290" s="1" t="s">
        <v>74</v>
      </c>
      <c r="BA290" s="1" t="s">
        <v>74</v>
      </c>
      <c r="BB290" s="1" t="s">
        <v>74</v>
      </c>
      <c r="BC290" s="1" t="s">
        <v>74</v>
      </c>
      <c r="BD290" s="1">
        <v>26307.0</v>
      </c>
      <c r="BE290" s="1" t="s">
        <v>2801</v>
      </c>
      <c r="BF290" s="2" t="str">
        <f>HYPERLINK("http://dx.doi.org/10.1103/PhysRevE.69.026307","http://dx.doi.org/10.1103/PhysRevE.69.026307")</f>
        <v>http://dx.doi.org/10.1103/PhysRevE.69.026307</v>
      </c>
      <c r="BG290" s="1" t="s">
        <v>74</v>
      </c>
      <c r="BH290" s="1" t="s">
        <v>74</v>
      </c>
      <c r="BI290" s="1" t="s">
        <v>74</v>
      </c>
      <c r="BJ290" s="1" t="s">
        <v>74</v>
      </c>
      <c r="BK290" s="1" t="s">
        <v>74</v>
      </c>
      <c r="BL290" s="1" t="s">
        <v>74</v>
      </c>
      <c r="BM290" s="1" t="s">
        <v>74</v>
      </c>
      <c r="BN290" s="1">
        <v>1.4995559E7</v>
      </c>
      <c r="BO290" s="1" t="s">
        <v>74</v>
      </c>
      <c r="BP290" s="1" t="s">
        <v>74</v>
      </c>
      <c r="BQ290" s="1" t="s">
        <v>74</v>
      </c>
      <c r="BR290" s="1" t="s">
        <v>74</v>
      </c>
      <c r="BS290" s="1" t="s">
        <v>2802</v>
      </c>
      <c r="BT290" s="1" t="str">
        <f>HYPERLINK("https%3A%2F%2Fwww.webofscience.com%2Fwos%2Fwoscc%2Ffull-record%2FWOS:000220255500052","View Full Record in Web of Science")</f>
        <v>View Full Record in Web of Science</v>
      </c>
    </row>
    <row r="291" ht="12.75" customHeight="1">
      <c r="A291" s="1" t="s">
        <v>72</v>
      </c>
      <c r="B291" s="1" t="s">
        <v>1764</v>
      </c>
      <c r="C291" s="1" t="s">
        <v>74</v>
      </c>
      <c r="D291" s="1" t="s">
        <v>74</v>
      </c>
      <c r="E291" s="1" t="s">
        <v>74</v>
      </c>
      <c r="F291" s="1" t="s">
        <v>1764</v>
      </c>
      <c r="G291" s="1" t="s">
        <v>74</v>
      </c>
      <c r="H291" s="1" t="s">
        <v>74</v>
      </c>
      <c r="I291" s="1" t="s">
        <v>2803</v>
      </c>
      <c r="J291" s="1" t="s">
        <v>1752</v>
      </c>
      <c r="K291" s="1" t="s">
        <v>74</v>
      </c>
      <c r="L291" s="1" t="s">
        <v>74</v>
      </c>
      <c r="M291" s="1" t="s">
        <v>74</v>
      </c>
      <c r="N291" s="1" t="s">
        <v>74</v>
      </c>
      <c r="O291" s="1" t="s">
        <v>1753</v>
      </c>
      <c r="P291" s="1" t="s">
        <v>1754</v>
      </c>
      <c r="Q291" s="1" t="s">
        <v>1755</v>
      </c>
      <c r="R291" s="1" t="s">
        <v>74</v>
      </c>
      <c r="S291" s="1" t="s">
        <v>74</v>
      </c>
      <c r="T291" s="1" t="s">
        <v>74</v>
      </c>
      <c r="U291" s="1" t="s">
        <v>74</v>
      </c>
      <c r="V291" s="1" t="s">
        <v>2804</v>
      </c>
      <c r="W291" s="1" t="s">
        <v>74</v>
      </c>
      <c r="X291" s="1" t="s">
        <v>74</v>
      </c>
      <c r="Y291" s="1" t="s">
        <v>74</v>
      </c>
      <c r="Z291" s="1" t="s">
        <v>74</v>
      </c>
      <c r="AA291" s="1" t="s">
        <v>645</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1757</v>
      </c>
      <c r="AP291" s="1" t="s">
        <v>74</v>
      </c>
      <c r="AQ291" s="1" t="s">
        <v>74</v>
      </c>
      <c r="AR291" s="1" t="s">
        <v>74</v>
      </c>
      <c r="AS291" s="1" t="s">
        <v>74</v>
      </c>
      <c r="AT291" s="1" t="s">
        <v>160</v>
      </c>
      <c r="AU291" s="1">
        <v>2002.0</v>
      </c>
      <c r="AV291" s="1">
        <v>48.0</v>
      </c>
      <c r="AW291" s="1" t="s">
        <v>74</v>
      </c>
      <c r="AX291" s="1" t="s">
        <v>74</v>
      </c>
      <c r="AY291" s="1">
        <v>3.0</v>
      </c>
      <c r="AZ291" s="1" t="s">
        <v>74</v>
      </c>
      <c r="BA291" s="1" t="s">
        <v>74</v>
      </c>
      <c r="BB291" s="1">
        <v>125.0</v>
      </c>
      <c r="BC291" s="1">
        <v>127.0</v>
      </c>
      <c r="BD291" s="1" t="s">
        <v>74</v>
      </c>
      <c r="BE291" s="1" t="s">
        <v>74</v>
      </c>
      <c r="BF291" s="1" t="s">
        <v>74</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2805</v>
      </c>
      <c r="BT291" s="1" t="str">
        <f>HYPERLINK("https%3A%2F%2Fwww.webofscience.com%2Fwos%2Fwoscc%2Ffull-record%2FWOS:000180065500045","View Full Record in Web of Science")</f>
        <v>View Full Record in Web of Science</v>
      </c>
    </row>
    <row r="292" ht="12.75" customHeight="1">
      <c r="A292" s="1" t="s">
        <v>72</v>
      </c>
      <c r="B292" s="1" t="s">
        <v>2806</v>
      </c>
      <c r="C292" s="1" t="s">
        <v>74</v>
      </c>
      <c r="D292" s="1" t="s">
        <v>74</v>
      </c>
      <c r="E292" s="1" t="s">
        <v>74</v>
      </c>
      <c r="F292" s="1" t="s">
        <v>2806</v>
      </c>
      <c r="G292" s="1" t="s">
        <v>74</v>
      </c>
      <c r="H292" s="1" t="s">
        <v>74</v>
      </c>
      <c r="I292" s="1" t="s">
        <v>2807</v>
      </c>
      <c r="J292" s="1" t="s">
        <v>2808</v>
      </c>
      <c r="K292" s="1" t="s">
        <v>74</v>
      </c>
      <c r="L292" s="1" t="s">
        <v>74</v>
      </c>
      <c r="M292" s="1" t="s">
        <v>74</v>
      </c>
      <c r="N292" s="1" t="s">
        <v>74</v>
      </c>
      <c r="O292" s="1" t="s">
        <v>74</v>
      </c>
      <c r="P292" s="1" t="s">
        <v>74</v>
      </c>
      <c r="Q292" s="1" t="s">
        <v>74</v>
      </c>
      <c r="R292" s="1" t="s">
        <v>74</v>
      </c>
      <c r="S292" s="1" t="s">
        <v>74</v>
      </c>
      <c r="T292" s="1" t="s">
        <v>74</v>
      </c>
      <c r="U292" s="1" t="s">
        <v>74</v>
      </c>
      <c r="V292" s="1" t="s">
        <v>2809</v>
      </c>
      <c r="W292" s="1" t="s">
        <v>74</v>
      </c>
      <c r="X292" s="1" t="s">
        <v>74</v>
      </c>
      <c r="Y292" s="1" t="s">
        <v>74</v>
      </c>
      <c r="Z292" s="1" t="s">
        <v>74</v>
      </c>
      <c r="AA292" s="1" t="s">
        <v>74</v>
      </c>
      <c r="AB292" s="1" t="s">
        <v>2402</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2810</v>
      </c>
      <c r="AP292" s="1" t="s">
        <v>74</v>
      </c>
      <c r="AQ292" s="1" t="s">
        <v>74</v>
      </c>
      <c r="AR292" s="1" t="s">
        <v>74</v>
      </c>
      <c r="AS292" s="1" t="s">
        <v>74</v>
      </c>
      <c r="AT292" s="1" t="s">
        <v>116</v>
      </c>
      <c r="AU292" s="1">
        <v>2002.0</v>
      </c>
      <c r="AV292" s="1">
        <v>34.0</v>
      </c>
      <c r="AW292" s="1">
        <v>1.0</v>
      </c>
      <c r="AX292" s="1" t="s">
        <v>74</v>
      </c>
      <c r="AY292" s="1" t="s">
        <v>74</v>
      </c>
      <c r="AZ292" s="1" t="s">
        <v>74</v>
      </c>
      <c r="BA292" s="1" t="s">
        <v>74</v>
      </c>
      <c r="BB292" s="1">
        <v>52.0</v>
      </c>
      <c r="BC292" s="1">
        <v>57.0</v>
      </c>
      <c r="BD292" s="1" t="s">
        <v>74</v>
      </c>
      <c r="BE292" s="1" t="s">
        <v>2811</v>
      </c>
      <c r="BF292" s="2" t="str">
        <f>HYPERLINK("http://dx.doi.org/10.1002/ppul.10115","http://dx.doi.org/10.1002/ppul.10115")</f>
        <v>http://dx.doi.org/10.1002/ppul.10115</v>
      </c>
      <c r="BG292" s="1" t="s">
        <v>74</v>
      </c>
      <c r="BH292" s="1" t="s">
        <v>74</v>
      </c>
      <c r="BI292" s="1" t="s">
        <v>74</v>
      </c>
      <c r="BJ292" s="1" t="s">
        <v>74</v>
      </c>
      <c r="BK292" s="1" t="s">
        <v>74</v>
      </c>
      <c r="BL292" s="1" t="s">
        <v>74</v>
      </c>
      <c r="BM292" s="1" t="s">
        <v>74</v>
      </c>
      <c r="BN292" s="1">
        <v>1.2112798E7</v>
      </c>
      <c r="BO292" s="1" t="s">
        <v>74</v>
      </c>
      <c r="BP292" s="1" t="s">
        <v>74</v>
      </c>
      <c r="BQ292" s="1" t="s">
        <v>74</v>
      </c>
      <c r="BR292" s="1" t="s">
        <v>74</v>
      </c>
      <c r="BS292" s="1" t="s">
        <v>2812</v>
      </c>
      <c r="BT292" s="1" t="str">
        <f>HYPERLINK("https%3A%2F%2Fwww.webofscience.com%2Fwos%2Fwoscc%2Ffull-record%2FWOS:000176338700011","View Full Record in Web of Science")</f>
        <v>View Full Record in Web of Science</v>
      </c>
    </row>
    <row r="293" ht="12.75" customHeight="1">
      <c r="A293" s="1" t="s">
        <v>72</v>
      </c>
      <c r="B293" s="1" t="s">
        <v>2813</v>
      </c>
      <c r="C293" s="1" t="s">
        <v>74</v>
      </c>
      <c r="D293" s="1" t="s">
        <v>74</v>
      </c>
      <c r="E293" s="1" t="s">
        <v>74</v>
      </c>
      <c r="F293" s="1" t="s">
        <v>2813</v>
      </c>
      <c r="G293" s="1" t="s">
        <v>74</v>
      </c>
      <c r="H293" s="1" t="s">
        <v>74</v>
      </c>
      <c r="I293" s="1" t="s">
        <v>2814</v>
      </c>
      <c r="J293" s="1" t="s">
        <v>890</v>
      </c>
      <c r="K293" s="1" t="s">
        <v>74</v>
      </c>
      <c r="L293" s="1" t="s">
        <v>74</v>
      </c>
      <c r="M293" s="1" t="s">
        <v>74</v>
      </c>
      <c r="N293" s="1" t="s">
        <v>74</v>
      </c>
      <c r="O293" s="1" t="s">
        <v>74</v>
      </c>
      <c r="P293" s="1" t="s">
        <v>74</v>
      </c>
      <c r="Q293" s="1" t="s">
        <v>74</v>
      </c>
      <c r="R293" s="1" t="s">
        <v>74</v>
      </c>
      <c r="S293" s="1" t="s">
        <v>74</v>
      </c>
      <c r="T293" s="1" t="s">
        <v>74</v>
      </c>
      <c r="U293" s="1" t="s">
        <v>74</v>
      </c>
      <c r="V293" s="1" t="s">
        <v>2815</v>
      </c>
      <c r="W293" s="1" t="s">
        <v>74</v>
      </c>
      <c r="X293" s="1" t="s">
        <v>74</v>
      </c>
      <c r="Y293" s="1" t="s">
        <v>74</v>
      </c>
      <c r="Z293" s="1" t="s">
        <v>74</v>
      </c>
      <c r="AA293" s="1" t="s">
        <v>74</v>
      </c>
      <c r="AB293" s="1" t="s">
        <v>74</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892</v>
      </c>
      <c r="AP293" s="1" t="s">
        <v>74</v>
      </c>
      <c r="AQ293" s="1" t="s">
        <v>74</v>
      </c>
      <c r="AR293" s="1" t="s">
        <v>74</v>
      </c>
      <c r="AS293" s="1" t="s">
        <v>74</v>
      </c>
      <c r="AT293" s="1" t="s">
        <v>2816</v>
      </c>
      <c r="AU293" s="1">
        <v>2000.0</v>
      </c>
      <c r="AV293" s="1">
        <v>16.0</v>
      </c>
      <c r="AW293" s="1">
        <v>26.0</v>
      </c>
      <c r="AX293" s="1" t="s">
        <v>74</v>
      </c>
      <c r="AY293" s="1" t="s">
        <v>74</v>
      </c>
      <c r="AZ293" s="1" t="s">
        <v>74</v>
      </c>
      <c r="BA293" s="1" t="s">
        <v>74</v>
      </c>
      <c r="BB293" s="1">
        <v>10084.0</v>
      </c>
      <c r="BC293" s="1">
        <v>10086.0</v>
      </c>
      <c r="BD293" s="1" t="s">
        <v>74</v>
      </c>
      <c r="BE293" s="1" t="s">
        <v>2817</v>
      </c>
      <c r="BF293" s="2" t="str">
        <f>HYPERLINK("http://dx.doi.org/10.1021/la000788z","http://dx.doi.org/10.1021/la000788z")</f>
        <v>http://dx.doi.org/10.1021/la000788z</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2818</v>
      </c>
      <c r="BT293" s="1" t="str">
        <f>HYPERLINK("https%3A%2F%2Fwww.webofscience.com%2Fwos%2Fwoscc%2Ffull-record%2FWOS:000166161700021","View Full Record in Web of Science")</f>
        <v>View Full Record in Web of Science</v>
      </c>
    </row>
    <row r="294" ht="12.75" customHeight="1">
      <c r="A294" s="1" t="s">
        <v>72</v>
      </c>
      <c r="B294" s="1" t="s">
        <v>163</v>
      </c>
      <c r="C294" s="1" t="s">
        <v>74</v>
      </c>
      <c r="D294" s="1" t="s">
        <v>74</v>
      </c>
      <c r="E294" s="1" t="s">
        <v>74</v>
      </c>
      <c r="F294" s="1" t="s">
        <v>163</v>
      </c>
      <c r="G294" s="1" t="s">
        <v>74</v>
      </c>
      <c r="H294" s="1" t="s">
        <v>74</v>
      </c>
      <c r="I294" s="1" t="s">
        <v>2819</v>
      </c>
      <c r="J294" s="1" t="s">
        <v>2820</v>
      </c>
      <c r="K294" s="1" t="s">
        <v>74</v>
      </c>
      <c r="L294" s="1" t="s">
        <v>74</v>
      </c>
      <c r="M294" s="1" t="s">
        <v>74</v>
      </c>
      <c r="N294" s="1" t="s">
        <v>74</v>
      </c>
      <c r="O294" s="1" t="s">
        <v>74</v>
      </c>
      <c r="P294" s="1" t="s">
        <v>74</v>
      </c>
      <c r="Q294" s="1" t="s">
        <v>74</v>
      </c>
      <c r="R294" s="1" t="s">
        <v>74</v>
      </c>
      <c r="S294" s="1" t="s">
        <v>74</v>
      </c>
      <c r="T294" s="1" t="s">
        <v>74</v>
      </c>
      <c r="U294" s="1" t="s">
        <v>74</v>
      </c>
      <c r="V294" s="1" t="s">
        <v>2821</v>
      </c>
      <c r="W294" s="1" t="s">
        <v>74</v>
      </c>
      <c r="X294" s="1" t="s">
        <v>74</v>
      </c>
      <c r="Y294" s="1" t="s">
        <v>74</v>
      </c>
      <c r="Z294" s="1" t="s">
        <v>74</v>
      </c>
      <c r="AA294" s="1" t="s">
        <v>171</v>
      </c>
      <c r="AB294" s="1" t="s">
        <v>172</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2822</v>
      </c>
      <c r="AP294" s="1" t="s">
        <v>2823</v>
      </c>
      <c r="AQ294" s="1" t="s">
        <v>74</v>
      </c>
      <c r="AR294" s="1" t="s">
        <v>74</v>
      </c>
      <c r="AS294" s="1" t="s">
        <v>74</v>
      </c>
      <c r="AT294" s="1" t="s">
        <v>2824</v>
      </c>
      <c r="AU294" s="1">
        <v>2000.0</v>
      </c>
      <c r="AV294" s="1">
        <v>17.0</v>
      </c>
      <c r="AW294" s="1">
        <v>21.0</v>
      </c>
      <c r="AX294" s="1" t="s">
        <v>74</v>
      </c>
      <c r="AY294" s="1" t="s">
        <v>74</v>
      </c>
      <c r="AZ294" s="1" t="s">
        <v>74</v>
      </c>
      <c r="BA294" s="1" t="s">
        <v>74</v>
      </c>
      <c r="BB294" s="1">
        <v>4451.0</v>
      </c>
      <c r="BC294" s="1">
        <v>4466.0</v>
      </c>
      <c r="BD294" s="1" t="s">
        <v>74</v>
      </c>
      <c r="BE294" s="1" t="s">
        <v>2825</v>
      </c>
      <c r="BF294" s="2" t="str">
        <f>HYPERLINK("http://dx.doi.org/10.1088/0264-9381/17/21/307","http://dx.doi.org/10.1088/0264-9381/17/21/307")</f>
        <v>http://dx.doi.org/10.1088/0264-9381/17/21/307</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2826</v>
      </c>
      <c r="BT294" s="1" t="str">
        <f>HYPERLINK("https%3A%2F%2Fwww.webofscience.com%2Fwos%2Fwoscc%2Ffull-record%2FWOS:000165514700007","View Full Record in Web of Science")</f>
        <v>View Full Record in Web of Science</v>
      </c>
    </row>
    <row r="295" ht="12.75" customHeight="1">
      <c r="A295" s="1" t="s">
        <v>72</v>
      </c>
      <c r="B295" s="1" t="s">
        <v>2827</v>
      </c>
      <c r="C295" s="1" t="s">
        <v>74</v>
      </c>
      <c r="D295" s="1" t="s">
        <v>74</v>
      </c>
      <c r="E295" s="1" t="s">
        <v>74</v>
      </c>
      <c r="F295" s="1" t="s">
        <v>2828</v>
      </c>
      <c r="G295" s="1" t="s">
        <v>74</v>
      </c>
      <c r="H295" s="1" t="s">
        <v>74</v>
      </c>
      <c r="I295" s="1" t="s">
        <v>2829</v>
      </c>
      <c r="J295" s="1" t="s">
        <v>2830</v>
      </c>
      <c r="K295" s="1" t="s">
        <v>74</v>
      </c>
      <c r="L295" s="1" t="s">
        <v>74</v>
      </c>
      <c r="M295" s="1" t="s">
        <v>74</v>
      </c>
      <c r="N295" s="1" t="s">
        <v>74</v>
      </c>
      <c r="O295" s="1" t="s">
        <v>74</v>
      </c>
      <c r="P295" s="1" t="s">
        <v>74</v>
      </c>
      <c r="Q295" s="1" t="s">
        <v>74</v>
      </c>
      <c r="R295" s="1" t="s">
        <v>74</v>
      </c>
      <c r="S295" s="1" t="s">
        <v>74</v>
      </c>
      <c r="T295" s="1" t="s">
        <v>74</v>
      </c>
      <c r="U295" s="1" t="s">
        <v>74</v>
      </c>
      <c r="V295" s="1" t="s">
        <v>2831</v>
      </c>
      <c r="W295" s="1" t="s">
        <v>74</v>
      </c>
      <c r="X295" s="1" t="s">
        <v>74</v>
      </c>
      <c r="Y295" s="1" t="s">
        <v>74</v>
      </c>
      <c r="Z295" s="1" t="s">
        <v>74</v>
      </c>
      <c r="AA295" s="1" t="s">
        <v>2832</v>
      </c>
      <c r="AB295" s="1" t="s">
        <v>2833</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2834</v>
      </c>
      <c r="AP295" s="1" t="s">
        <v>2835</v>
      </c>
      <c r="AQ295" s="1" t="s">
        <v>74</v>
      </c>
      <c r="AR295" s="1" t="s">
        <v>74</v>
      </c>
      <c r="AS295" s="1" t="s">
        <v>74</v>
      </c>
      <c r="AT295" s="1" t="s">
        <v>2836</v>
      </c>
      <c r="AU295" s="1">
        <v>2025.0</v>
      </c>
      <c r="AV295" s="1">
        <v>249.0</v>
      </c>
      <c r="AW295" s="1" t="s">
        <v>74</v>
      </c>
      <c r="AX295" s="1" t="s">
        <v>74</v>
      </c>
      <c r="AY295" s="1" t="s">
        <v>74</v>
      </c>
      <c r="AZ295" s="1" t="s">
        <v>74</v>
      </c>
      <c r="BA295" s="1" t="s">
        <v>74</v>
      </c>
      <c r="BB295" s="1" t="s">
        <v>74</v>
      </c>
      <c r="BC295" s="1" t="s">
        <v>74</v>
      </c>
      <c r="BD295" s="1">
        <v>113628.0</v>
      </c>
      <c r="BE295" s="1" t="s">
        <v>2837</v>
      </c>
      <c r="BF295" s="2" t="str">
        <f>HYPERLINK("http://dx.doi.org/10.1016/j.commatsci.2024.113628","http://dx.doi.org/10.1016/j.commatsci.2024.113628")</f>
        <v>http://dx.doi.org/10.1016/j.commatsci.2024.113628</v>
      </c>
      <c r="BG295" s="1" t="s">
        <v>74</v>
      </c>
      <c r="BH295" s="1" t="s">
        <v>1054</v>
      </c>
      <c r="BI295" s="1" t="s">
        <v>74</v>
      </c>
      <c r="BJ295" s="1" t="s">
        <v>74</v>
      </c>
      <c r="BK295" s="1" t="s">
        <v>74</v>
      </c>
      <c r="BL295" s="1" t="s">
        <v>74</v>
      </c>
      <c r="BM295" s="1" t="s">
        <v>74</v>
      </c>
      <c r="BN295" s="1" t="s">
        <v>74</v>
      </c>
      <c r="BO295" s="1" t="s">
        <v>74</v>
      </c>
      <c r="BP295" s="1" t="s">
        <v>74</v>
      </c>
      <c r="BQ295" s="1" t="s">
        <v>74</v>
      </c>
      <c r="BR295" s="1" t="s">
        <v>74</v>
      </c>
      <c r="BS295" s="1" t="s">
        <v>2838</v>
      </c>
      <c r="BT295" s="1" t="str">
        <f>HYPERLINK("https%3A%2F%2Fwww.webofscience.com%2Fwos%2Fwoscc%2Ffull-record%2FWOS:001397385600001","View Full Record in Web of Science")</f>
        <v>View Full Record in Web of Science</v>
      </c>
    </row>
    <row r="296" ht="12.75" customHeight="1">
      <c r="A296" s="1" t="s">
        <v>72</v>
      </c>
      <c r="B296" s="1" t="s">
        <v>2839</v>
      </c>
      <c r="C296" s="1" t="s">
        <v>74</v>
      </c>
      <c r="D296" s="1" t="s">
        <v>74</v>
      </c>
      <c r="E296" s="1" t="s">
        <v>74</v>
      </c>
      <c r="F296" s="1" t="s">
        <v>2840</v>
      </c>
      <c r="G296" s="1" t="s">
        <v>74</v>
      </c>
      <c r="H296" s="1" t="s">
        <v>74</v>
      </c>
      <c r="I296" s="1" t="s">
        <v>2841</v>
      </c>
      <c r="J296" s="1" t="s">
        <v>2842</v>
      </c>
      <c r="K296" s="1" t="s">
        <v>74</v>
      </c>
      <c r="L296" s="1" t="s">
        <v>74</v>
      </c>
      <c r="M296" s="1" t="s">
        <v>74</v>
      </c>
      <c r="N296" s="1" t="s">
        <v>74</v>
      </c>
      <c r="O296" s="1" t="s">
        <v>74</v>
      </c>
      <c r="P296" s="1" t="s">
        <v>74</v>
      </c>
      <c r="Q296" s="1" t="s">
        <v>74</v>
      </c>
      <c r="R296" s="1" t="s">
        <v>74</v>
      </c>
      <c r="S296" s="1" t="s">
        <v>74</v>
      </c>
      <c r="T296" s="1" t="s">
        <v>74</v>
      </c>
      <c r="U296" s="1" t="s">
        <v>74</v>
      </c>
      <c r="V296" s="1" t="s">
        <v>2843</v>
      </c>
      <c r="W296" s="1" t="s">
        <v>74</v>
      </c>
      <c r="X296" s="1" t="s">
        <v>74</v>
      </c>
      <c r="Y296" s="1" t="s">
        <v>74</v>
      </c>
      <c r="Z296" s="1" t="s">
        <v>74</v>
      </c>
      <c r="AA296" s="1" t="s">
        <v>2844</v>
      </c>
      <c r="AB296" s="1" t="s">
        <v>2845</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2846</v>
      </c>
      <c r="AP296" s="1" t="s">
        <v>2847</v>
      </c>
      <c r="AQ296" s="1" t="s">
        <v>74</v>
      </c>
      <c r="AR296" s="1" t="s">
        <v>74</v>
      </c>
      <c r="AS296" s="1" t="s">
        <v>74</v>
      </c>
      <c r="AT296" s="1" t="s">
        <v>848</v>
      </c>
      <c r="AU296" s="1">
        <v>2024.0</v>
      </c>
      <c r="AV296" s="1">
        <v>99.0</v>
      </c>
      <c r="AW296" s="1">
        <v>11.0</v>
      </c>
      <c r="AX296" s="1" t="s">
        <v>74</v>
      </c>
      <c r="AY296" s="1" t="s">
        <v>74</v>
      </c>
      <c r="AZ296" s="1" t="s">
        <v>74</v>
      </c>
      <c r="BA296" s="1" t="s">
        <v>74</v>
      </c>
      <c r="BB296" s="1" t="s">
        <v>74</v>
      </c>
      <c r="BC296" s="1" t="s">
        <v>74</v>
      </c>
      <c r="BD296" s="1">
        <v>115010.0</v>
      </c>
      <c r="BE296" s="1" t="s">
        <v>2848</v>
      </c>
      <c r="BF296" s="2" t="str">
        <f>HYPERLINK("http://dx.doi.org/10.1088/1402-4896/ad81bc","http://dx.doi.org/10.1088/1402-4896/ad81bc")</f>
        <v>http://dx.doi.org/10.1088/1402-4896/ad81bc</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2849</v>
      </c>
      <c r="BT296" s="1" t="str">
        <f>HYPERLINK("https%3A%2F%2Fwww.webofscience.com%2Fwos%2Fwoscc%2Ffull-record%2FWOS:001330143900001","View Full Record in Web of Science")</f>
        <v>View Full Record in Web of Science</v>
      </c>
    </row>
    <row r="297" ht="12.75" customHeight="1">
      <c r="A297" s="1" t="s">
        <v>1857</v>
      </c>
      <c r="B297" s="1" t="s">
        <v>2850</v>
      </c>
      <c r="C297" s="1" t="s">
        <v>74</v>
      </c>
      <c r="D297" s="1" t="s">
        <v>2851</v>
      </c>
      <c r="E297" s="1" t="s">
        <v>74</v>
      </c>
      <c r="F297" s="1" t="s">
        <v>2852</v>
      </c>
      <c r="G297" s="1" t="s">
        <v>74</v>
      </c>
      <c r="H297" s="1" t="s">
        <v>74</v>
      </c>
      <c r="I297" s="1" t="s">
        <v>2853</v>
      </c>
      <c r="J297" s="1" t="s">
        <v>2854</v>
      </c>
      <c r="K297" s="1" t="s">
        <v>2855</v>
      </c>
      <c r="L297" s="1" t="s">
        <v>74</v>
      </c>
      <c r="M297" s="1" t="s">
        <v>74</v>
      </c>
      <c r="N297" s="1" t="s">
        <v>74</v>
      </c>
      <c r="O297" s="1" t="s">
        <v>74</v>
      </c>
      <c r="P297" s="1" t="s">
        <v>74</v>
      </c>
      <c r="Q297" s="1" t="s">
        <v>74</v>
      </c>
      <c r="R297" s="1" t="s">
        <v>74</v>
      </c>
      <c r="S297" s="1" t="s">
        <v>74</v>
      </c>
      <c r="T297" s="1" t="s">
        <v>74</v>
      </c>
      <c r="U297" s="1" t="s">
        <v>74</v>
      </c>
      <c r="V297" s="1" t="s">
        <v>2856</v>
      </c>
      <c r="W297" s="1" t="s">
        <v>74</v>
      </c>
      <c r="X297" s="1" t="s">
        <v>74</v>
      </c>
      <c r="Y297" s="1" t="s">
        <v>74</v>
      </c>
      <c r="Z297" s="1" t="s">
        <v>74</v>
      </c>
      <c r="AA297" s="1" t="s">
        <v>2316</v>
      </c>
      <c r="AB297" s="1" t="s">
        <v>2857</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2858</v>
      </c>
      <c r="AP297" s="1" t="s">
        <v>74</v>
      </c>
      <c r="AQ297" s="1" t="s">
        <v>2859</v>
      </c>
      <c r="AR297" s="1" t="s">
        <v>74</v>
      </c>
      <c r="AS297" s="1" t="s">
        <v>74</v>
      </c>
      <c r="AT297" s="1" t="s">
        <v>74</v>
      </c>
      <c r="AU297" s="1">
        <v>2023.0</v>
      </c>
      <c r="AV297" s="1">
        <v>161.0</v>
      </c>
      <c r="AW297" s="1" t="s">
        <v>74</v>
      </c>
      <c r="AX297" s="1" t="s">
        <v>74</v>
      </c>
      <c r="AY297" s="1" t="s">
        <v>74</v>
      </c>
      <c r="AZ297" s="1" t="s">
        <v>74</v>
      </c>
      <c r="BA297" s="1" t="s">
        <v>74</v>
      </c>
      <c r="BB297" s="1">
        <v>263.0</v>
      </c>
      <c r="BC297" s="1">
        <v>285.0</v>
      </c>
      <c r="BD297" s="1" t="s">
        <v>74</v>
      </c>
      <c r="BE297" s="1" t="s">
        <v>2860</v>
      </c>
      <c r="BF297" s="2" t="str">
        <f>HYPERLINK("http://dx.doi.org/10.1075/btl.161.14sin","http://dx.doi.org/10.1075/btl.161.14sin")</f>
        <v>http://dx.doi.org/10.1075/btl.161.14sin</v>
      </c>
      <c r="BG297" s="1" t="s">
        <v>2861</v>
      </c>
      <c r="BH297" s="1" t="s">
        <v>74</v>
      </c>
      <c r="BI297" s="1" t="s">
        <v>74</v>
      </c>
      <c r="BJ297" s="1" t="s">
        <v>74</v>
      </c>
      <c r="BK297" s="1" t="s">
        <v>74</v>
      </c>
      <c r="BL297" s="1" t="s">
        <v>74</v>
      </c>
      <c r="BM297" s="1" t="s">
        <v>74</v>
      </c>
      <c r="BN297" s="1" t="s">
        <v>74</v>
      </c>
      <c r="BO297" s="1" t="s">
        <v>74</v>
      </c>
      <c r="BP297" s="1" t="s">
        <v>74</v>
      </c>
      <c r="BQ297" s="1" t="s">
        <v>74</v>
      </c>
      <c r="BR297" s="1" t="s">
        <v>74</v>
      </c>
      <c r="BS297" s="1" t="s">
        <v>2862</v>
      </c>
      <c r="BT297" s="1" t="str">
        <f>HYPERLINK("https%3A%2F%2Fwww.webofscience.com%2Fwos%2Fwoscc%2Ffull-record%2FWOS:001198182100015","View Full Record in Web of Science")</f>
        <v>View Full Record in Web of Science</v>
      </c>
    </row>
    <row r="298" ht="12.75" customHeight="1">
      <c r="A298" s="1" t="s">
        <v>72</v>
      </c>
      <c r="B298" s="1" t="s">
        <v>2863</v>
      </c>
      <c r="C298" s="1" t="s">
        <v>74</v>
      </c>
      <c r="D298" s="1" t="s">
        <v>74</v>
      </c>
      <c r="E298" s="1" t="s">
        <v>74</v>
      </c>
      <c r="F298" s="1" t="s">
        <v>2864</v>
      </c>
      <c r="G298" s="1" t="s">
        <v>74</v>
      </c>
      <c r="H298" s="1" t="s">
        <v>74</v>
      </c>
      <c r="I298" s="1" t="s">
        <v>2865</v>
      </c>
      <c r="J298" s="1" t="s">
        <v>2314</v>
      </c>
      <c r="K298" s="1" t="s">
        <v>74</v>
      </c>
      <c r="L298" s="1" t="s">
        <v>74</v>
      </c>
      <c r="M298" s="1" t="s">
        <v>74</v>
      </c>
      <c r="N298" s="1" t="s">
        <v>74</v>
      </c>
      <c r="O298" s="1" t="s">
        <v>74</v>
      </c>
      <c r="P298" s="1" t="s">
        <v>74</v>
      </c>
      <c r="Q298" s="1" t="s">
        <v>74</v>
      </c>
      <c r="R298" s="1" t="s">
        <v>74</v>
      </c>
      <c r="S298" s="1" t="s">
        <v>74</v>
      </c>
      <c r="T298" s="1" t="s">
        <v>74</v>
      </c>
      <c r="U298" s="1" t="s">
        <v>74</v>
      </c>
      <c r="V298" s="1" t="s">
        <v>2866</v>
      </c>
      <c r="W298" s="1" t="s">
        <v>74</v>
      </c>
      <c r="X298" s="1" t="s">
        <v>74</v>
      </c>
      <c r="Y298" s="1" t="s">
        <v>74</v>
      </c>
      <c r="Z298" s="1" t="s">
        <v>74</v>
      </c>
      <c r="AA298" s="1" t="s">
        <v>74</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2317</v>
      </c>
      <c r="AP298" s="1" t="s">
        <v>2318</v>
      </c>
      <c r="AQ298" s="1" t="s">
        <v>74</v>
      </c>
      <c r="AR298" s="1" t="s">
        <v>74</v>
      </c>
      <c r="AS298" s="1" t="s">
        <v>74</v>
      </c>
      <c r="AT298" s="1" t="s">
        <v>183</v>
      </c>
      <c r="AU298" s="1">
        <v>2022.0</v>
      </c>
      <c r="AV298" s="1" t="s">
        <v>74</v>
      </c>
      <c r="AW298" s="1" t="s">
        <v>74</v>
      </c>
      <c r="AX298" s="1" t="s">
        <v>74</v>
      </c>
      <c r="AY298" s="1" t="s">
        <v>74</v>
      </c>
      <c r="AZ298" s="1" t="s">
        <v>2319</v>
      </c>
      <c r="BA298" s="1" t="s">
        <v>74</v>
      </c>
      <c r="BB298" s="1">
        <v>143.0</v>
      </c>
      <c r="BC298" s="1">
        <v>158.0</v>
      </c>
      <c r="BD298" s="1" t="s">
        <v>74</v>
      </c>
      <c r="BE298" s="1" t="s">
        <v>2867</v>
      </c>
      <c r="BF298" s="2" t="str">
        <f>HYPERLINK("http://dx.doi.org/10.7764/onomazein.ne10.5","http://dx.doi.org/10.7764/onomazein.ne10.5")</f>
        <v>http://dx.doi.org/10.7764/onomazein.ne10.5</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2868</v>
      </c>
      <c r="BT298" s="1" t="str">
        <f>HYPERLINK("https%3A%2F%2Fwww.webofscience.com%2Fwos%2Fwoscc%2Ffull-record%2FWOS:000861022500009","View Full Record in Web of Science")</f>
        <v>View Full Record in Web of Science</v>
      </c>
    </row>
    <row r="299" ht="12.75" customHeight="1">
      <c r="A299" s="1" t="s">
        <v>72</v>
      </c>
      <c r="B299" s="1" t="s">
        <v>2869</v>
      </c>
      <c r="C299" s="1" t="s">
        <v>74</v>
      </c>
      <c r="D299" s="1" t="s">
        <v>74</v>
      </c>
      <c r="E299" s="1" t="s">
        <v>74</v>
      </c>
      <c r="F299" s="1" t="s">
        <v>2870</v>
      </c>
      <c r="G299" s="1" t="s">
        <v>74</v>
      </c>
      <c r="H299" s="1" t="s">
        <v>74</v>
      </c>
      <c r="I299" s="1" t="s">
        <v>2871</v>
      </c>
      <c r="J299" s="1" t="s">
        <v>2872</v>
      </c>
      <c r="K299" s="1" t="s">
        <v>74</v>
      </c>
      <c r="L299" s="1" t="s">
        <v>74</v>
      </c>
      <c r="M299" s="1" t="s">
        <v>74</v>
      </c>
      <c r="N299" s="1" t="s">
        <v>74</v>
      </c>
      <c r="O299" s="1" t="s">
        <v>74</v>
      </c>
      <c r="P299" s="1" t="s">
        <v>74</v>
      </c>
      <c r="Q299" s="1" t="s">
        <v>74</v>
      </c>
      <c r="R299" s="1" t="s">
        <v>74</v>
      </c>
      <c r="S299" s="1" t="s">
        <v>74</v>
      </c>
      <c r="T299" s="1" t="s">
        <v>74</v>
      </c>
      <c r="U299" s="1" t="s">
        <v>74</v>
      </c>
      <c r="V299" s="1" t="s">
        <v>2873</v>
      </c>
      <c r="W299" s="1" t="s">
        <v>74</v>
      </c>
      <c r="X299" s="1" t="s">
        <v>74</v>
      </c>
      <c r="Y299" s="1" t="s">
        <v>74</v>
      </c>
      <c r="Z299" s="1" t="s">
        <v>74</v>
      </c>
      <c r="AA299" s="1" t="s">
        <v>2874</v>
      </c>
      <c r="AB299" s="1" t="s">
        <v>2875</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2876</v>
      </c>
      <c r="AP299" s="1" t="s">
        <v>2877</v>
      </c>
      <c r="AQ299" s="1" t="s">
        <v>74</v>
      </c>
      <c r="AR299" s="1" t="s">
        <v>74</v>
      </c>
      <c r="AS299" s="1" t="s">
        <v>74</v>
      </c>
      <c r="AT299" s="1" t="s">
        <v>174</v>
      </c>
      <c r="AU299" s="1">
        <v>2022.0</v>
      </c>
      <c r="AV299" s="1">
        <v>40.0</v>
      </c>
      <c r="AW299" s="1">
        <v>2.0</v>
      </c>
      <c r="AX299" s="1" t="s">
        <v>74</v>
      </c>
      <c r="AY299" s="1" t="s">
        <v>74</v>
      </c>
      <c r="AZ299" s="1" t="s">
        <v>74</v>
      </c>
      <c r="BA299" s="1" t="s">
        <v>74</v>
      </c>
      <c r="BB299" s="1">
        <v>355.0</v>
      </c>
      <c r="BC299" s="1">
        <v>359.0</v>
      </c>
      <c r="BD299" s="1" t="s">
        <v>74</v>
      </c>
      <c r="BE299" s="1" t="s">
        <v>74</v>
      </c>
      <c r="BF299" s="1" t="s">
        <v>74</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2878</v>
      </c>
      <c r="BT299" s="1" t="str">
        <f>HYPERLINK("https%3A%2F%2Fwww.webofscience.com%2Fwos%2Fwoscc%2Ffull-record%2FWOS:000800856600012","View Full Record in Web of Science")</f>
        <v>View Full Record in Web of Science</v>
      </c>
    </row>
    <row r="300" ht="12.75" customHeight="1">
      <c r="A300" s="1" t="s">
        <v>72</v>
      </c>
      <c r="B300" s="1" t="s">
        <v>2879</v>
      </c>
      <c r="C300" s="1" t="s">
        <v>74</v>
      </c>
      <c r="D300" s="1" t="s">
        <v>74</v>
      </c>
      <c r="E300" s="1" t="s">
        <v>74</v>
      </c>
      <c r="F300" s="1" t="s">
        <v>2880</v>
      </c>
      <c r="G300" s="1" t="s">
        <v>74</v>
      </c>
      <c r="H300" s="1" t="s">
        <v>74</v>
      </c>
      <c r="I300" s="1" t="s">
        <v>2881</v>
      </c>
      <c r="J300" s="1" t="s">
        <v>2882</v>
      </c>
      <c r="K300" s="1" t="s">
        <v>74</v>
      </c>
      <c r="L300" s="1" t="s">
        <v>74</v>
      </c>
      <c r="M300" s="1" t="s">
        <v>74</v>
      </c>
      <c r="N300" s="1" t="s">
        <v>74</v>
      </c>
      <c r="O300" s="1" t="s">
        <v>74</v>
      </c>
      <c r="P300" s="1" t="s">
        <v>74</v>
      </c>
      <c r="Q300" s="1" t="s">
        <v>74</v>
      </c>
      <c r="R300" s="1" t="s">
        <v>74</v>
      </c>
      <c r="S300" s="1" t="s">
        <v>74</v>
      </c>
      <c r="T300" s="1" t="s">
        <v>74</v>
      </c>
      <c r="U300" s="1" t="s">
        <v>74</v>
      </c>
      <c r="V300" s="1" t="s">
        <v>2883</v>
      </c>
      <c r="W300" s="1" t="s">
        <v>74</v>
      </c>
      <c r="X300" s="1" t="s">
        <v>74</v>
      </c>
      <c r="Y300" s="1" t="s">
        <v>74</v>
      </c>
      <c r="Z300" s="1" t="s">
        <v>74</v>
      </c>
      <c r="AA300" s="1" t="s">
        <v>2884</v>
      </c>
      <c r="AB300" s="1" t="s">
        <v>2885</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2886</v>
      </c>
      <c r="AP300" s="1" t="s">
        <v>2887</v>
      </c>
      <c r="AQ300" s="1" t="s">
        <v>74</v>
      </c>
      <c r="AR300" s="1" t="s">
        <v>74</v>
      </c>
      <c r="AS300" s="1" t="s">
        <v>74</v>
      </c>
      <c r="AT300" s="1" t="s">
        <v>2180</v>
      </c>
      <c r="AU300" s="1">
        <v>2021.0</v>
      </c>
      <c r="AV300" s="1">
        <v>771.0</v>
      </c>
      <c r="AW300" s="1" t="s">
        <v>74</v>
      </c>
      <c r="AX300" s="1" t="s">
        <v>74</v>
      </c>
      <c r="AY300" s="1" t="s">
        <v>74</v>
      </c>
      <c r="AZ300" s="1" t="s">
        <v>74</v>
      </c>
      <c r="BA300" s="1" t="s">
        <v>74</v>
      </c>
      <c r="BB300" s="1" t="s">
        <v>74</v>
      </c>
      <c r="BC300" s="1" t="s">
        <v>74</v>
      </c>
      <c r="BD300" s="1">
        <v>145360.0</v>
      </c>
      <c r="BE300" s="1" t="s">
        <v>2888</v>
      </c>
      <c r="BF300" s="2" t="str">
        <f>HYPERLINK("http://dx.doi.org/10.1016/j.scitotenv.2021.145360","http://dx.doi.org/10.1016/j.scitotenv.2021.145360")</f>
        <v>http://dx.doi.org/10.1016/j.scitotenv.2021.145360</v>
      </c>
      <c r="BG300" s="1" t="s">
        <v>74</v>
      </c>
      <c r="BH300" s="1" t="s">
        <v>2889</v>
      </c>
      <c r="BI300" s="1" t="s">
        <v>74</v>
      </c>
      <c r="BJ300" s="1" t="s">
        <v>74</v>
      </c>
      <c r="BK300" s="1" t="s">
        <v>74</v>
      </c>
      <c r="BL300" s="1" t="s">
        <v>74</v>
      </c>
      <c r="BM300" s="1" t="s">
        <v>74</v>
      </c>
      <c r="BN300" s="1">
        <v>3.3548723E7</v>
      </c>
      <c r="BO300" s="1" t="s">
        <v>74</v>
      </c>
      <c r="BP300" s="1" t="s">
        <v>74</v>
      </c>
      <c r="BQ300" s="1" t="s">
        <v>74</v>
      </c>
      <c r="BR300" s="1" t="s">
        <v>74</v>
      </c>
      <c r="BS300" s="1" t="s">
        <v>2890</v>
      </c>
      <c r="BT300" s="1" t="str">
        <f>HYPERLINK("https%3A%2F%2Fwww.webofscience.com%2Fwos%2Fwoscc%2Ffull-record%2FWOS:000627895900095","View Full Record in Web of Science")</f>
        <v>View Full Record in Web of Science</v>
      </c>
    </row>
    <row r="301" ht="12.75" customHeight="1">
      <c r="A301" s="1" t="s">
        <v>72</v>
      </c>
      <c r="B301" s="1" t="s">
        <v>2891</v>
      </c>
      <c r="C301" s="1" t="s">
        <v>74</v>
      </c>
      <c r="D301" s="1" t="s">
        <v>74</v>
      </c>
      <c r="E301" s="1" t="s">
        <v>74</v>
      </c>
      <c r="F301" s="1" t="s">
        <v>2892</v>
      </c>
      <c r="G301" s="1" t="s">
        <v>74</v>
      </c>
      <c r="H301" s="1" t="s">
        <v>74</v>
      </c>
      <c r="I301" s="1" t="s">
        <v>2893</v>
      </c>
      <c r="J301" s="1" t="s">
        <v>2894</v>
      </c>
      <c r="K301" s="1" t="s">
        <v>74</v>
      </c>
      <c r="L301" s="1" t="s">
        <v>74</v>
      </c>
      <c r="M301" s="1" t="s">
        <v>74</v>
      </c>
      <c r="N301" s="1" t="s">
        <v>74</v>
      </c>
      <c r="O301" s="1" t="s">
        <v>74</v>
      </c>
      <c r="P301" s="1" t="s">
        <v>74</v>
      </c>
      <c r="Q301" s="1" t="s">
        <v>74</v>
      </c>
      <c r="R301" s="1" t="s">
        <v>74</v>
      </c>
      <c r="S301" s="1" t="s">
        <v>74</v>
      </c>
      <c r="T301" s="1" t="s">
        <v>74</v>
      </c>
      <c r="U301" s="1" t="s">
        <v>74</v>
      </c>
      <c r="V301" s="1" t="s">
        <v>2895</v>
      </c>
      <c r="W301" s="1" t="s">
        <v>74</v>
      </c>
      <c r="X301" s="1" t="s">
        <v>74</v>
      </c>
      <c r="Y301" s="1" t="s">
        <v>74</v>
      </c>
      <c r="Z301" s="1" t="s">
        <v>74</v>
      </c>
      <c r="AA301" s="1" t="s">
        <v>74</v>
      </c>
      <c r="AB301" s="1" t="s">
        <v>74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2896</v>
      </c>
      <c r="AP301" s="1" t="s">
        <v>2897</v>
      </c>
      <c r="AQ301" s="1" t="s">
        <v>74</v>
      </c>
      <c r="AR301" s="1" t="s">
        <v>74</v>
      </c>
      <c r="AS301" s="1" t="s">
        <v>74</v>
      </c>
      <c r="AT301" s="1" t="s">
        <v>160</v>
      </c>
      <c r="AU301" s="1">
        <v>2020.0</v>
      </c>
      <c r="AV301" s="1" t="s">
        <v>74</v>
      </c>
      <c r="AW301" s="1">
        <v>51.0</v>
      </c>
      <c r="AX301" s="1" t="s">
        <v>74</v>
      </c>
      <c r="AY301" s="1" t="s">
        <v>74</v>
      </c>
      <c r="AZ301" s="1" t="s">
        <v>74</v>
      </c>
      <c r="BA301" s="1" t="s">
        <v>74</v>
      </c>
      <c r="BB301" s="1">
        <v>87.0</v>
      </c>
      <c r="BC301" s="1">
        <v>96.0</v>
      </c>
      <c r="BD301" s="1" t="s">
        <v>74</v>
      </c>
      <c r="BE301" s="1" t="s">
        <v>2898</v>
      </c>
      <c r="BF301" s="2" t="str">
        <f>HYPERLINK("http://dx.doi.org/10.32735/S0718-2201202000051847","http://dx.doi.org/10.32735/S0718-2201202000051847")</f>
        <v>http://dx.doi.org/10.32735/S0718-2201202000051847</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2899</v>
      </c>
      <c r="BT301" s="1" t="str">
        <f>HYPERLINK("https%3A%2F%2Fwww.webofscience.com%2Fwos%2Fwoscc%2Ffull-record%2FWOS:000608937300017","View Full Record in Web of Science")</f>
        <v>View Full Record in Web of Science</v>
      </c>
    </row>
    <row r="302" ht="12.75" customHeight="1">
      <c r="A302" s="1" t="s">
        <v>72</v>
      </c>
      <c r="B302" s="1" t="s">
        <v>2900</v>
      </c>
      <c r="C302" s="1" t="s">
        <v>74</v>
      </c>
      <c r="D302" s="1" t="s">
        <v>74</v>
      </c>
      <c r="E302" s="1" t="s">
        <v>74</v>
      </c>
      <c r="F302" s="1" t="s">
        <v>2901</v>
      </c>
      <c r="G302" s="1" t="s">
        <v>74</v>
      </c>
      <c r="H302" s="1" t="s">
        <v>74</v>
      </c>
      <c r="I302" s="1" t="s">
        <v>2902</v>
      </c>
      <c r="J302" s="1" t="s">
        <v>2903</v>
      </c>
      <c r="K302" s="1" t="s">
        <v>74</v>
      </c>
      <c r="L302" s="1" t="s">
        <v>74</v>
      </c>
      <c r="M302" s="1" t="s">
        <v>74</v>
      </c>
      <c r="N302" s="1" t="s">
        <v>74</v>
      </c>
      <c r="O302" s="1" t="s">
        <v>74</v>
      </c>
      <c r="P302" s="1" t="s">
        <v>74</v>
      </c>
      <c r="Q302" s="1" t="s">
        <v>74</v>
      </c>
      <c r="R302" s="1" t="s">
        <v>74</v>
      </c>
      <c r="S302" s="1" t="s">
        <v>74</v>
      </c>
      <c r="T302" s="1" t="s">
        <v>74</v>
      </c>
      <c r="U302" s="1" t="s">
        <v>74</v>
      </c>
      <c r="V302" s="1" t="s">
        <v>2904</v>
      </c>
      <c r="W302" s="1" t="s">
        <v>74</v>
      </c>
      <c r="X302" s="1" t="s">
        <v>74</v>
      </c>
      <c r="Y302" s="1" t="s">
        <v>74</v>
      </c>
      <c r="Z302" s="1" t="s">
        <v>74</v>
      </c>
      <c r="AA302" s="1" t="s">
        <v>74</v>
      </c>
      <c r="AB302" s="1" t="s">
        <v>74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2905</v>
      </c>
      <c r="AP302" s="1" t="s">
        <v>2906</v>
      </c>
      <c r="AQ302" s="1" t="s">
        <v>74</v>
      </c>
      <c r="AR302" s="1" t="s">
        <v>74</v>
      </c>
      <c r="AS302" s="1" t="s">
        <v>74</v>
      </c>
      <c r="AT302" s="1" t="s">
        <v>391</v>
      </c>
      <c r="AU302" s="1">
        <v>2020.0</v>
      </c>
      <c r="AV302" s="1">
        <v>43.0</v>
      </c>
      <c r="AW302" s="1">
        <v>2.0</v>
      </c>
      <c r="AX302" s="1" t="s">
        <v>74</v>
      </c>
      <c r="AY302" s="1" t="s">
        <v>74</v>
      </c>
      <c r="AZ302" s="1" t="s">
        <v>74</v>
      </c>
      <c r="BA302" s="1" t="s">
        <v>74</v>
      </c>
      <c r="BB302" s="1">
        <v>91.0</v>
      </c>
      <c r="BC302" s="1">
        <v>107.0</v>
      </c>
      <c r="BD302" s="1" t="s">
        <v>74</v>
      </c>
      <c r="BE302" s="1" t="s">
        <v>2907</v>
      </c>
      <c r="BF302" s="2" t="str">
        <f>HYPERLINK("http://dx.doi.org/10.15446/RCS.V43N2.82574","http://dx.doi.org/10.15446/RCS.V43N2.82574")</f>
        <v>http://dx.doi.org/10.15446/RCS.V43N2.82574</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2908</v>
      </c>
      <c r="BT302" s="1" t="str">
        <f>HYPERLINK("https%3A%2F%2Fwww.webofscience.com%2Fwos%2Fwoscc%2Ffull-record%2FWOS:000566768500005","View Full Record in Web of Science")</f>
        <v>View Full Record in Web of Science</v>
      </c>
    </row>
    <row r="303" ht="12.75" customHeight="1">
      <c r="A303" s="1" t="s">
        <v>72</v>
      </c>
      <c r="B303" s="1" t="s">
        <v>2909</v>
      </c>
      <c r="C303" s="1" t="s">
        <v>74</v>
      </c>
      <c r="D303" s="1" t="s">
        <v>74</v>
      </c>
      <c r="E303" s="1" t="s">
        <v>74</v>
      </c>
      <c r="F303" s="1" t="s">
        <v>2910</v>
      </c>
      <c r="G303" s="1" t="s">
        <v>74</v>
      </c>
      <c r="H303" s="1" t="s">
        <v>74</v>
      </c>
      <c r="I303" s="1" t="s">
        <v>2911</v>
      </c>
      <c r="J303" s="1" t="s">
        <v>1152</v>
      </c>
      <c r="K303" s="1" t="s">
        <v>74</v>
      </c>
      <c r="L303" s="1" t="s">
        <v>74</v>
      </c>
      <c r="M303" s="1" t="s">
        <v>74</v>
      </c>
      <c r="N303" s="1" t="s">
        <v>74</v>
      </c>
      <c r="O303" s="1" t="s">
        <v>74</v>
      </c>
      <c r="P303" s="1" t="s">
        <v>74</v>
      </c>
      <c r="Q303" s="1" t="s">
        <v>74</v>
      </c>
      <c r="R303" s="1" t="s">
        <v>74</v>
      </c>
      <c r="S303" s="1" t="s">
        <v>74</v>
      </c>
      <c r="T303" s="1" t="s">
        <v>74</v>
      </c>
      <c r="U303" s="1" t="s">
        <v>74</v>
      </c>
      <c r="V303" s="1" t="s">
        <v>2912</v>
      </c>
      <c r="W303" s="1" t="s">
        <v>74</v>
      </c>
      <c r="X303" s="1" t="s">
        <v>74</v>
      </c>
      <c r="Y303" s="1" t="s">
        <v>74</v>
      </c>
      <c r="Z303" s="1" t="s">
        <v>74</v>
      </c>
      <c r="AA303" s="1" t="s">
        <v>1154</v>
      </c>
      <c r="AB303" s="1" t="s">
        <v>1195</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1156</v>
      </c>
      <c r="AP303" s="1" t="s">
        <v>74</v>
      </c>
      <c r="AQ303" s="1" t="s">
        <v>74</v>
      </c>
      <c r="AR303" s="1" t="s">
        <v>74</v>
      </c>
      <c r="AS303" s="1" t="s">
        <v>74</v>
      </c>
      <c r="AT303" s="1" t="s">
        <v>565</v>
      </c>
      <c r="AU303" s="1">
        <v>2020.0</v>
      </c>
      <c r="AV303" s="1">
        <v>229.0</v>
      </c>
      <c r="AW303" s="1" t="s">
        <v>74</v>
      </c>
      <c r="AX303" s="1" t="s">
        <v>74</v>
      </c>
      <c r="AY303" s="1" t="s">
        <v>74</v>
      </c>
      <c r="AZ303" s="1" t="s">
        <v>74</v>
      </c>
      <c r="BA303" s="1" t="s">
        <v>74</v>
      </c>
      <c r="BB303" s="1" t="s">
        <v>74</v>
      </c>
      <c r="BC303" s="1" t="s">
        <v>74</v>
      </c>
      <c r="BD303" s="1">
        <v>118008.0</v>
      </c>
      <c r="BE303" s="1" t="s">
        <v>2913</v>
      </c>
      <c r="BF303" s="2" t="str">
        <f>HYPERLINK("http://dx.doi.org/10.1016/j.saa.2019.118008","http://dx.doi.org/10.1016/j.saa.2019.118008")</f>
        <v>http://dx.doi.org/10.1016/j.saa.2019.118008</v>
      </c>
      <c r="BG303" s="1" t="s">
        <v>74</v>
      </c>
      <c r="BH303" s="1" t="s">
        <v>74</v>
      </c>
      <c r="BI303" s="1" t="s">
        <v>74</v>
      </c>
      <c r="BJ303" s="1" t="s">
        <v>74</v>
      </c>
      <c r="BK303" s="1" t="s">
        <v>74</v>
      </c>
      <c r="BL303" s="1" t="s">
        <v>74</v>
      </c>
      <c r="BM303" s="1" t="s">
        <v>74</v>
      </c>
      <c r="BN303" s="1">
        <v>3.1923787E7</v>
      </c>
      <c r="BO303" s="1" t="s">
        <v>74</v>
      </c>
      <c r="BP303" s="1" t="s">
        <v>74</v>
      </c>
      <c r="BQ303" s="1" t="s">
        <v>74</v>
      </c>
      <c r="BR303" s="1" t="s">
        <v>74</v>
      </c>
      <c r="BS303" s="1" t="s">
        <v>2914</v>
      </c>
      <c r="BT303" s="1" t="str">
        <f>HYPERLINK("https%3A%2F%2Fwww.webofscience.com%2Fwos%2Fwoscc%2Ffull-record%2FWOS:000513007800127","View Full Record in Web of Science")</f>
        <v>View Full Record in Web of Science</v>
      </c>
    </row>
    <row r="304" ht="12.75" customHeight="1">
      <c r="A304" s="1" t="s">
        <v>72</v>
      </c>
      <c r="B304" s="1" t="s">
        <v>2915</v>
      </c>
      <c r="C304" s="1" t="s">
        <v>74</v>
      </c>
      <c r="D304" s="1" t="s">
        <v>74</v>
      </c>
      <c r="E304" s="1" t="s">
        <v>74</v>
      </c>
      <c r="F304" s="1" t="s">
        <v>2916</v>
      </c>
      <c r="G304" s="1" t="s">
        <v>74</v>
      </c>
      <c r="H304" s="1" t="s">
        <v>74</v>
      </c>
      <c r="I304" s="1" t="s">
        <v>2917</v>
      </c>
      <c r="J304" s="1" t="s">
        <v>268</v>
      </c>
      <c r="K304" s="1" t="s">
        <v>74</v>
      </c>
      <c r="L304" s="1" t="s">
        <v>74</v>
      </c>
      <c r="M304" s="1" t="s">
        <v>74</v>
      </c>
      <c r="N304" s="1" t="s">
        <v>74</v>
      </c>
      <c r="O304" s="1" t="s">
        <v>74</v>
      </c>
      <c r="P304" s="1" t="s">
        <v>74</v>
      </c>
      <c r="Q304" s="1" t="s">
        <v>74</v>
      </c>
      <c r="R304" s="1" t="s">
        <v>74</v>
      </c>
      <c r="S304" s="1" t="s">
        <v>74</v>
      </c>
      <c r="T304" s="1" t="s">
        <v>74</v>
      </c>
      <c r="U304" s="1" t="s">
        <v>74</v>
      </c>
      <c r="V304" s="1" t="s">
        <v>2918</v>
      </c>
      <c r="W304" s="1" t="s">
        <v>74</v>
      </c>
      <c r="X304" s="1" t="s">
        <v>74</v>
      </c>
      <c r="Y304" s="1" t="s">
        <v>74</v>
      </c>
      <c r="Z304" s="1" t="s">
        <v>74</v>
      </c>
      <c r="AA304" s="1" t="s">
        <v>2919</v>
      </c>
      <c r="AB304" s="1" t="s">
        <v>2920</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272</v>
      </c>
      <c r="AP304" s="1" t="s">
        <v>273</v>
      </c>
      <c r="AQ304" s="1" t="s">
        <v>74</v>
      </c>
      <c r="AR304" s="1" t="s">
        <v>74</v>
      </c>
      <c r="AS304" s="1" t="s">
        <v>74</v>
      </c>
      <c r="AT304" s="1" t="s">
        <v>2921</v>
      </c>
      <c r="AU304" s="1">
        <v>2018.0</v>
      </c>
      <c r="AV304" s="1">
        <v>460.0</v>
      </c>
      <c r="AW304" s="1" t="s">
        <v>74</v>
      </c>
      <c r="AX304" s="1" t="s">
        <v>74</v>
      </c>
      <c r="AY304" s="1" t="s">
        <v>74</v>
      </c>
      <c r="AZ304" s="1" t="s">
        <v>74</v>
      </c>
      <c r="BA304" s="1" t="s">
        <v>74</v>
      </c>
      <c r="BB304" s="1">
        <v>292.0</v>
      </c>
      <c r="BC304" s="1">
        <v>296.0</v>
      </c>
      <c r="BD304" s="1" t="s">
        <v>74</v>
      </c>
      <c r="BE304" s="1" t="s">
        <v>2922</v>
      </c>
      <c r="BF304" s="2" t="str">
        <f>HYPERLINK("http://dx.doi.org/10.1016/j.jmmm.2018.04.018","http://dx.doi.org/10.1016/j.jmmm.2018.04.018")</f>
        <v>http://dx.doi.org/10.1016/j.jmmm.2018.04.018</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2923</v>
      </c>
      <c r="BT304" s="1" t="str">
        <f>HYPERLINK("https%3A%2F%2Fwww.webofscience.com%2Fwos%2Fwoscc%2Ffull-record%2FWOS:000434253700041","View Full Record in Web of Science")</f>
        <v>View Full Record in Web of Science</v>
      </c>
    </row>
    <row r="305" ht="12.75" customHeight="1">
      <c r="A305" s="1" t="s">
        <v>1857</v>
      </c>
      <c r="B305" s="1" t="s">
        <v>2924</v>
      </c>
      <c r="C305" s="1" t="s">
        <v>74</v>
      </c>
      <c r="D305" s="1" t="s">
        <v>2925</v>
      </c>
      <c r="E305" s="1" t="s">
        <v>74</v>
      </c>
      <c r="F305" s="1" t="s">
        <v>2926</v>
      </c>
      <c r="G305" s="1" t="s">
        <v>74</v>
      </c>
      <c r="H305" s="1" t="s">
        <v>74</v>
      </c>
      <c r="I305" s="1" t="s">
        <v>2927</v>
      </c>
      <c r="J305" s="1" t="s">
        <v>2928</v>
      </c>
      <c r="K305" s="1" t="s">
        <v>2929</v>
      </c>
      <c r="L305" s="1" t="s">
        <v>74</v>
      </c>
      <c r="M305" s="1" t="s">
        <v>74</v>
      </c>
      <c r="N305" s="1" t="s">
        <v>74</v>
      </c>
      <c r="O305" s="1" t="s">
        <v>74</v>
      </c>
      <c r="P305" s="1" t="s">
        <v>74</v>
      </c>
      <c r="Q305" s="1" t="s">
        <v>74</v>
      </c>
      <c r="R305" s="1" t="s">
        <v>74</v>
      </c>
      <c r="S305" s="1" t="s">
        <v>74</v>
      </c>
      <c r="T305" s="1" t="s">
        <v>74</v>
      </c>
      <c r="U305" s="1" t="s">
        <v>74</v>
      </c>
      <c r="V305" s="1" t="s">
        <v>74</v>
      </c>
      <c r="W305" s="1" t="s">
        <v>74</v>
      </c>
      <c r="X305" s="1" t="s">
        <v>74</v>
      </c>
      <c r="Y305" s="1" t="s">
        <v>74</v>
      </c>
      <c r="Z305" s="1" t="s">
        <v>74</v>
      </c>
      <c r="AA305" s="1" t="s">
        <v>2930</v>
      </c>
      <c r="AB305" s="1" t="s">
        <v>74</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2931</v>
      </c>
      <c r="AP305" s="1" t="s">
        <v>74</v>
      </c>
      <c r="AQ305" s="1" t="s">
        <v>2932</v>
      </c>
      <c r="AR305" s="1" t="s">
        <v>74</v>
      </c>
      <c r="AS305" s="1" t="s">
        <v>74</v>
      </c>
      <c r="AT305" s="1" t="s">
        <v>74</v>
      </c>
      <c r="AU305" s="1">
        <v>2016.0</v>
      </c>
      <c r="AV305" s="1" t="s">
        <v>74</v>
      </c>
      <c r="AW305" s="1" t="s">
        <v>74</v>
      </c>
      <c r="AX305" s="1" t="s">
        <v>74</v>
      </c>
      <c r="AY305" s="1" t="s">
        <v>74</v>
      </c>
      <c r="AZ305" s="1" t="s">
        <v>74</v>
      </c>
      <c r="BA305" s="1" t="s">
        <v>74</v>
      </c>
      <c r="BB305" s="1">
        <v>1.0</v>
      </c>
      <c r="BC305" s="1">
        <v>26.0</v>
      </c>
      <c r="BD305" s="1" t="s">
        <v>74</v>
      </c>
      <c r="BE305" s="1" t="s">
        <v>74</v>
      </c>
      <c r="BF305" s="1" t="s">
        <v>74</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2933</v>
      </c>
      <c r="BT305" s="1" t="str">
        <f>HYPERLINK("https%3A%2F%2Fwww.webofscience.com%2Fwos%2Fwoscc%2Ffull-record%2FWOS:000379151600003","View Full Record in Web of Science")</f>
        <v>View Full Record in Web of Science</v>
      </c>
    </row>
    <row r="306" ht="12.75" customHeight="1">
      <c r="A306" s="1" t="s">
        <v>72</v>
      </c>
      <c r="B306" s="1" t="s">
        <v>851</v>
      </c>
      <c r="C306" s="1" t="s">
        <v>74</v>
      </c>
      <c r="D306" s="1" t="s">
        <v>74</v>
      </c>
      <c r="E306" s="1" t="s">
        <v>74</v>
      </c>
      <c r="F306" s="1" t="s">
        <v>2934</v>
      </c>
      <c r="G306" s="1" t="s">
        <v>74</v>
      </c>
      <c r="H306" s="1" t="s">
        <v>74</v>
      </c>
      <c r="I306" s="1" t="s">
        <v>2935</v>
      </c>
      <c r="J306" s="1" t="s">
        <v>2936</v>
      </c>
      <c r="K306" s="1" t="s">
        <v>74</v>
      </c>
      <c r="L306" s="1" t="s">
        <v>74</v>
      </c>
      <c r="M306" s="1" t="s">
        <v>74</v>
      </c>
      <c r="N306" s="1" t="s">
        <v>74</v>
      </c>
      <c r="O306" s="1" t="s">
        <v>74</v>
      </c>
      <c r="P306" s="1" t="s">
        <v>74</v>
      </c>
      <c r="Q306" s="1" t="s">
        <v>74</v>
      </c>
      <c r="R306" s="1" t="s">
        <v>74</v>
      </c>
      <c r="S306" s="1" t="s">
        <v>74</v>
      </c>
      <c r="T306" s="1" t="s">
        <v>74</v>
      </c>
      <c r="U306" s="1" t="s">
        <v>74</v>
      </c>
      <c r="V306" s="1" t="s">
        <v>2937</v>
      </c>
      <c r="W306" s="1" t="s">
        <v>74</v>
      </c>
      <c r="X306" s="1" t="s">
        <v>74</v>
      </c>
      <c r="Y306" s="1" t="s">
        <v>74</v>
      </c>
      <c r="Z306" s="1" t="s">
        <v>74</v>
      </c>
      <c r="AA306" s="1" t="s">
        <v>855</v>
      </c>
      <c r="AB306" s="1" t="s">
        <v>2938</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2939</v>
      </c>
      <c r="AP306" s="1" t="s">
        <v>74</v>
      </c>
      <c r="AQ306" s="1" t="s">
        <v>74</v>
      </c>
      <c r="AR306" s="1" t="s">
        <v>74</v>
      </c>
      <c r="AS306" s="1" t="s">
        <v>74</v>
      </c>
      <c r="AT306" s="1" t="s">
        <v>82</v>
      </c>
      <c r="AU306" s="1">
        <v>2014.0</v>
      </c>
      <c r="AV306" s="1">
        <v>1.0</v>
      </c>
      <c r="AW306" s="1">
        <v>2.0</v>
      </c>
      <c r="AX306" s="1" t="s">
        <v>74</v>
      </c>
      <c r="AY306" s="1" t="s">
        <v>74</v>
      </c>
      <c r="AZ306" s="1" t="s">
        <v>74</v>
      </c>
      <c r="BA306" s="1" t="s">
        <v>74</v>
      </c>
      <c r="BB306" s="1" t="s">
        <v>74</v>
      </c>
      <c r="BC306" s="1" t="s">
        <v>74</v>
      </c>
      <c r="BD306" s="1">
        <v>26112.0</v>
      </c>
      <c r="BE306" s="1" t="s">
        <v>2940</v>
      </c>
      <c r="BF306" s="2" t="str">
        <f>HYPERLINK("http://dx.doi.org/10.1088/2053-1591/1/2/026112","http://dx.doi.org/10.1088/2053-1591/1/2/026112")</f>
        <v>http://dx.doi.org/10.1088/2053-1591/1/2/026112</v>
      </c>
      <c r="BG306" s="1" t="s">
        <v>74</v>
      </c>
      <c r="BH306" s="1" t="s">
        <v>74</v>
      </c>
      <c r="BI306" s="1" t="s">
        <v>74</v>
      </c>
      <c r="BJ306" s="1" t="s">
        <v>74</v>
      </c>
      <c r="BK306" s="1" t="s">
        <v>74</v>
      </c>
      <c r="BL306" s="1" t="s">
        <v>74</v>
      </c>
      <c r="BM306" s="1" t="s">
        <v>74</v>
      </c>
      <c r="BN306" s="1" t="s">
        <v>74</v>
      </c>
      <c r="BO306" s="1" t="s">
        <v>74</v>
      </c>
      <c r="BP306" s="1" t="s">
        <v>74</v>
      </c>
      <c r="BQ306" s="1" t="s">
        <v>74</v>
      </c>
      <c r="BR306" s="1" t="s">
        <v>74</v>
      </c>
      <c r="BS306" s="1" t="s">
        <v>2941</v>
      </c>
      <c r="BT306" s="1" t="str">
        <f>HYPERLINK("https%3A%2F%2Fwww.webofscience.com%2Fwos%2Fwoscc%2Ffull-record%2FWOS:000209665000095","View Full Record in Web of Science")</f>
        <v>View Full Record in Web of Science</v>
      </c>
    </row>
    <row r="307" ht="12.75" customHeight="1">
      <c r="A307" s="1" t="s">
        <v>72</v>
      </c>
      <c r="B307" s="1" t="s">
        <v>2942</v>
      </c>
      <c r="C307" s="1" t="s">
        <v>74</v>
      </c>
      <c r="D307" s="1" t="s">
        <v>74</v>
      </c>
      <c r="E307" s="1" t="s">
        <v>74</v>
      </c>
      <c r="F307" s="1" t="s">
        <v>2943</v>
      </c>
      <c r="G307" s="1" t="s">
        <v>74</v>
      </c>
      <c r="H307" s="1" t="s">
        <v>74</v>
      </c>
      <c r="I307" s="1" t="s">
        <v>2944</v>
      </c>
      <c r="J307" s="1" t="s">
        <v>301</v>
      </c>
      <c r="K307" s="1" t="s">
        <v>74</v>
      </c>
      <c r="L307" s="1" t="s">
        <v>74</v>
      </c>
      <c r="M307" s="1" t="s">
        <v>74</v>
      </c>
      <c r="N307" s="1" t="s">
        <v>74</v>
      </c>
      <c r="O307" s="1" t="s">
        <v>2945</v>
      </c>
      <c r="P307" s="1" t="s">
        <v>2946</v>
      </c>
      <c r="Q307" s="1" t="s">
        <v>2947</v>
      </c>
      <c r="R307" s="1" t="s">
        <v>74</v>
      </c>
      <c r="S307" s="1" t="s">
        <v>74</v>
      </c>
      <c r="T307" s="1" t="s">
        <v>74</v>
      </c>
      <c r="U307" s="1" t="s">
        <v>74</v>
      </c>
      <c r="V307" s="1" t="s">
        <v>2948</v>
      </c>
      <c r="W307" s="1" t="s">
        <v>74</v>
      </c>
      <c r="X307" s="1" t="s">
        <v>74</v>
      </c>
      <c r="Y307" s="1" t="s">
        <v>74</v>
      </c>
      <c r="Z307" s="1" t="s">
        <v>74</v>
      </c>
      <c r="AA307" s="1" t="s">
        <v>2949</v>
      </c>
      <c r="AB307" s="1" t="s">
        <v>2950</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305</v>
      </c>
      <c r="AP307" s="1" t="s">
        <v>306</v>
      </c>
      <c r="AQ307" s="1" t="s">
        <v>74</v>
      </c>
      <c r="AR307" s="1" t="s">
        <v>74</v>
      </c>
      <c r="AS307" s="1" t="s">
        <v>74</v>
      </c>
      <c r="AT307" s="1" t="s">
        <v>2951</v>
      </c>
      <c r="AU307" s="1">
        <v>2014.0</v>
      </c>
      <c r="AV307" s="1">
        <v>115.0</v>
      </c>
      <c r="AW307" s="1">
        <v>17.0</v>
      </c>
      <c r="AX307" s="1" t="s">
        <v>74</v>
      </c>
      <c r="AY307" s="1" t="s">
        <v>74</v>
      </c>
      <c r="AZ307" s="1" t="s">
        <v>74</v>
      </c>
      <c r="BA307" s="1" t="s">
        <v>74</v>
      </c>
      <c r="BB307" s="1" t="s">
        <v>74</v>
      </c>
      <c r="BC307" s="1" t="s">
        <v>74</v>
      </c>
      <c r="BD307" s="1" t="s">
        <v>2952</v>
      </c>
      <c r="BE307" s="1" t="s">
        <v>2953</v>
      </c>
      <c r="BF307" s="2" t="str">
        <f>HYPERLINK("http://dx.doi.org/10.1063/1.4865777","http://dx.doi.org/10.1063/1.4865777")</f>
        <v>http://dx.doi.org/10.1063/1.4865777</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2954</v>
      </c>
      <c r="BT307" s="1" t="str">
        <f>HYPERLINK("https%3A%2F%2Fwww.webofscience.com%2Fwos%2Fwoscc%2Ffull-record%2FWOS:000335643700414","View Full Record in Web of Science")</f>
        <v>View Full Record in Web of Science</v>
      </c>
    </row>
    <row r="308" ht="12.75" customHeight="1">
      <c r="A308" s="1" t="s">
        <v>442</v>
      </c>
      <c r="B308" s="1" t="s">
        <v>2955</v>
      </c>
      <c r="C308" s="1" t="s">
        <v>74</v>
      </c>
      <c r="D308" s="1" t="s">
        <v>2956</v>
      </c>
      <c r="E308" s="1" t="s">
        <v>74</v>
      </c>
      <c r="F308" s="1" t="s">
        <v>2957</v>
      </c>
      <c r="G308" s="1" t="s">
        <v>74</v>
      </c>
      <c r="H308" s="1" t="s">
        <v>74</v>
      </c>
      <c r="I308" s="1" t="s">
        <v>2958</v>
      </c>
      <c r="J308" s="1" t="s">
        <v>2959</v>
      </c>
      <c r="K308" s="1" t="s">
        <v>74</v>
      </c>
      <c r="L308" s="1" t="s">
        <v>74</v>
      </c>
      <c r="M308" s="1" t="s">
        <v>74</v>
      </c>
      <c r="N308" s="1" t="s">
        <v>74</v>
      </c>
      <c r="O308" s="1" t="s">
        <v>74</v>
      </c>
      <c r="P308" s="1" t="s">
        <v>74</v>
      </c>
      <c r="Q308" s="1" t="s">
        <v>74</v>
      </c>
      <c r="R308" s="1" t="s">
        <v>74</v>
      </c>
      <c r="S308" s="1" t="s">
        <v>74</v>
      </c>
      <c r="T308" s="1" t="s">
        <v>74</v>
      </c>
      <c r="U308" s="1" t="s">
        <v>74</v>
      </c>
      <c r="V308" s="1" t="s">
        <v>74</v>
      </c>
      <c r="W308" s="1" t="s">
        <v>74</v>
      </c>
      <c r="X308" s="1" t="s">
        <v>74</v>
      </c>
      <c r="Y308" s="1" t="s">
        <v>74</v>
      </c>
      <c r="Z308" s="1" t="s">
        <v>74</v>
      </c>
      <c r="AA308" s="1" t="s">
        <v>2960</v>
      </c>
      <c r="AB308" s="1" t="s">
        <v>2961</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74</v>
      </c>
      <c r="AP308" s="1" t="s">
        <v>74</v>
      </c>
      <c r="AQ308" s="1" t="s">
        <v>2962</v>
      </c>
      <c r="AR308" s="1" t="s">
        <v>74</v>
      </c>
      <c r="AS308" s="1" t="s">
        <v>74</v>
      </c>
      <c r="AT308" s="1" t="s">
        <v>74</v>
      </c>
      <c r="AU308" s="1">
        <v>2012.0</v>
      </c>
      <c r="AV308" s="1" t="s">
        <v>74</v>
      </c>
      <c r="AW308" s="1" t="s">
        <v>74</v>
      </c>
      <c r="AX308" s="1" t="s">
        <v>74</v>
      </c>
      <c r="AY308" s="1" t="s">
        <v>74</v>
      </c>
      <c r="AZ308" s="1" t="s">
        <v>74</v>
      </c>
      <c r="BA308" s="1" t="s">
        <v>74</v>
      </c>
      <c r="BB308" s="1">
        <v>291.0</v>
      </c>
      <c r="BC308" s="1">
        <v>309.0</v>
      </c>
      <c r="BD308" s="1" t="s">
        <v>74</v>
      </c>
      <c r="BE308" s="1" t="s">
        <v>74</v>
      </c>
      <c r="BF308" s="1" t="s">
        <v>74</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2963</v>
      </c>
      <c r="BT308" s="1" t="str">
        <f>HYPERLINK("https%3A%2F%2Fwww.webofscience.com%2Fwos%2Fwoscc%2Ffull-record%2FWOS:000361894300012","View Full Record in Web of Science")</f>
        <v>View Full Record in Web of Science</v>
      </c>
    </row>
    <row r="309" ht="12.75" customHeight="1">
      <c r="A309" s="1" t="s">
        <v>72</v>
      </c>
      <c r="B309" s="1" t="s">
        <v>2964</v>
      </c>
      <c r="C309" s="1" t="s">
        <v>74</v>
      </c>
      <c r="D309" s="1" t="s">
        <v>74</v>
      </c>
      <c r="E309" s="1" t="s">
        <v>74</v>
      </c>
      <c r="F309" s="1" t="s">
        <v>2965</v>
      </c>
      <c r="G309" s="1" t="s">
        <v>74</v>
      </c>
      <c r="H309" s="1" t="s">
        <v>74</v>
      </c>
      <c r="I309" s="1" t="s">
        <v>2966</v>
      </c>
      <c r="J309" s="1" t="s">
        <v>2967</v>
      </c>
      <c r="K309" s="1" t="s">
        <v>74</v>
      </c>
      <c r="L309" s="1" t="s">
        <v>74</v>
      </c>
      <c r="M309" s="1" t="s">
        <v>74</v>
      </c>
      <c r="N309" s="1" t="s">
        <v>74</v>
      </c>
      <c r="O309" s="1" t="s">
        <v>74</v>
      </c>
      <c r="P309" s="1" t="s">
        <v>74</v>
      </c>
      <c r="Q309" s="1" t="s">
        <v>74</v>
      </c>
      <c r="R309" s="1" t="s">
        <v>74</v>
      </c>
      <c r="S309" s="1" t="s">
        <v>74</v>
      </c>
      <c r="T309" s="1" t="s">
        <v>74</v>
      </c>
      <c r="U309" s="1" t="s">
        <v>74</v>
      </c>
      <c r="V309" s="1" t="s">
        <v>2968</v>
      </c>
      <c r="W309" s="1" t="s">
        <v>74</v>
      </c>
      <c r="X309" s="1" t="s">
        <v>74</v>
      </c>
      <c r="Y309" s="1" t="s">
        <v>74</v>
      </c>
      <c r="Z309" s="1" t="s">
        <v>74</v>
      </c>
      <c r="AA309" s="1" t="s">
        <v>983</v>
      </c>
      <c r="AB309" s="1" t="s">
        <v>2969</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2970</v>
      </c>
      <c r="AP309" s="1" t="s">
        <v>2971</v>
      </c>
      <c r="AQ309" s="1" t="s">
        <v>74</v>
      </c>
      <c r="AR309" s="1" t="s">
        <v>74</v>
      </c>
      <c r="AS309" s="1" t="s">
        <v>74</v>
      </c>
      <c r="AT309" s="1" t="s">
        <v>160</v>
      </c>
      <c r="AU309" s="1">
        <v>2011.0</v>
      </c>
      <c r="AV309" s="1">
        <v>23.0</v>
      </c>
      <c r="AW309" s="1">
        <v>6.0</v>
      </c>
      <c r="AX309" s="1" t="s">
        <v>74</v>
      </c>
      <c r="AY309" s="1" t="s">
        <v>74</v>
      </c>
      <c r="AZ309" s="1" t="s">
        <v>74</v>
      </c>
      <c r="BA309" s="1" t="s">
        <v>74</v>
      </c>
      <c r="BB309" s="1">
        <v>549.0</v>
      </c>
      <c r="BC309" s="1">
        <v>555.0</v>
      </c>
      <c r="BD309" s="1" t="s">
        <v>74</v>
      </c>
      <c r="BE309" s="1" t="s">
        <v>2972</v>
      </c>
      <c r="BF309" s="2" t="str">
        <f>HYPERLINK("http://dx.doi.org/10.1017/S0954102011000393","http://dx.doi.org/10.1017/S0954102011000393")</f>
        <v>http://dx.doi.org/10.1017/S0954102011000393</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2973</v>
      </c>
      <c r="BT309" s="1" t="str">
        <f>HYPERLINK("https%3A%2F%2Fwww.webofscience.com%2Fwos%2Fwoscc%2Ffull-record%2FWOS:000298286200005","View Full Record in Web of Science")</f>
        <v>View Full Record in Web of Science</v>
      </c>
    </row>
    <row r="310" ht="12.75" customHeight="1">
      <c r="A310" s="1" t="s">
        <v>72</v>
      </c>
      <c r="B310" s="1" t="s">
        <v>2974</v>
      </c>
      <c r="C310" s="1" t="s">
        <v>74</v>
      </c>
      <c r="D310" s="1" t="s">
        <v>74</v>
      </c>
      <c r="E310" s="1" t="s">
        <v>74</v>
      </c>
      <c r="F310" s="1" t="s">
        <v>2975</v>
      </c>
      <c r="G310" s="1" t="s">
        <v>74</v>
      </c>
      <c r="H310" s="1" t="s">
        <v>74</v>
      </c>
      <c r="I310" s="1" t="s">
        <v>2976</v>
      </c>
      <c r="J310" s="1" t="s">
        <v>2977</v>
      </c>
      <c r="K310" s="1" t="s">
        <v>74</v>
      </c>
      <c r="L310" s="1" t="s">
        <v>74</v>
      </c>
      <c r="M310" s="1" t="s">
        <v>74</v>
      </c>
      <c r="N310" s="1" t="s">
        <v>74</v>
      </c>
      <c r="O310" s="1" t="s">
        <v>74</v>
      </c>
      <c r="P310" s="1" t="s">
        <v>74</v>
      </c>
      <c r="Q310" s="1" t="s">
        <v>74</v>
      </c>
      <c r="R310" s="1" t="s">
        <v>74</v>
      </c>
      <c r="S310" s="1" t="s">
        <v>74</v>
      </c>
      <c r="T310" s="1" t="s">
        <v>74</v>
      </c>
      <c r="U310" s="1" t="s">
        <v>74</v>
      </c>
      <c r="V310" s="1" t="s">
        <v>2978</v>
      </c>
      <c r="W310" s="1" t="s">
        <v>74</v>
      </c>
      <c r="X310" s="1" t="s">
        <v>74</v>
      </c>
      <c r="Y310" s="1" t="s">
        <v>74</v>
      </c>
      <c r="Z310" s="1" t="s">
        <v>74</v>
      </c>
      <c r="AA310" s="1" t="s">
        <v>2979</v>
      </c>
      <c r="AB310" s="1" t="s">
        <v>2980</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2981</v>
      </c>
      <c r="AP310" s="1" t="s">
        <v>2982</v>
      </c>
      <c r="AQ310" s="1" t="s">
        <v>74</v>
      </c>
      <c r="AR310" s="1" t="s">
        <v>74</v>
      </c>
      <c r="AS310" s="1" t="s">
        <v>74</v>
      </c>
      <c r="AT310" s="1" t="s">
        <v>353</v>
      </c>
      <c r="AU310" s="1">
        <v>2011.0</v>
      </c>
      <c r="AV310" s="1">
        <v>26.0</v>
      </c>
      <c r="AW310" s="1">
        <v>8.0</v>
      </c>
      <c r="AX310" s="1" t="s">
        <v>74</v>
      </c>
      <c r="AY310" s="1" t="s">
        <v>74</v>
      </c>
      <c r="AZ310" s="1" t="s">
        <v>74</v>
      </c>
      <c r="BA310" s="1" t="s">
        <v>74</v>
      </c>
      <c r="BB310" s="1">
        <v>1085.0</v>
      </c>
      <c r="BC310" s="1">
        <v>1096.0</v>
      </c>
      <c r="BD310" s="1" t="s">
        <v>74</v>
      </c>
      <c r="BE310" s="1" t="s">
        <v>2983</v>
      </c>
      <c r="BF310" s="2" t="str">
        <f>HYPERLINK("http://dx.doi.org/10.1007/s10980-011-9641-z","http://dx.doi.org/10.1007/s10980-011-9641-z")</f>
        <v>http://dx.doi.org/10.1007/s10980-011-9641-z</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2984</v>
      </c>
      <c r="BT310" s="1" t="str">
        <f>HYPERLINK("https%3A%2F%2Fwww.webofscience.com%2Fwos%2Fwoscc%2Ffull-record%2FWOS:000297145000003","View Full Record in Web of Science")</f>
        <v>View Full Record in Web of Science</v>
      </c>
    </row>
    <row r="311" ht="12.75" customHeight="1">
      <c r="A311" s="1" t="s">
        <v>72</v>
      </c>
      <c r="B311" s="1" t="s">
        <v>2985</v>
      </c>
      <c r="C311" s="1" t="s">
        <v>74</v>
      </c>
      <c r="D311" s="1" t="s">
        <v>74</v>
      </c>
      <c r="E311" s="1" t="s">
        <v>74</v>
      </c>
      <c r="F311" s="1" t="s">
        <v>2986</v>
      </c>
      <c r="G311" s="1" t="s">
        <v>74</v>
      </c>
      <c r="H311" s="1" t="s">
        <v>74</v>
      </c>
      <c r="I311" s="1" t="s">
        <v>2987</v>
      </c>
      <c r="J311" s="1" t="s">
        <v>2988</v>
      </c>
      <c r="K311" s="1" t="s">
        <v>74</v>
      </c>
      <c r="L311" s="1" t="s">
        <v>74</v>
      </c>
      <c r="M311" s="1" t="s">
        <v>74</v>
      </c>
      <c r="N311" s="1" t="s">
        <v>74</v>
      </c>
      <c r="O311" s="1" t="s">
        <v>74</v>
      </c>
      <c r="P311" s="1" t="s">
        <v>74</v>
      </c>
      <c r="Q311" s="1" t="s">
        <v>74</v>
      </c>
      <c r="R311" s="1" t="s">
        <v>74</v>
      </c>
      <c r="S311" s="1" t="s">
        <v>74</v>
      </c>
      <c r="T311" s="1" t="s">
        <v>74</v>
      </c>
      <c r="U311" s="1" t="s">
        <v>74</v>
      </c>
      <c r="V311" s="1" t="s">
        <v>2989</v>
      </c>
      <c r="W311" s="1" t="s">
        <v>74</v>
      </c>
      <c r="X311" s="1" t="s">
        <v>74</v>
      </c>
      <c r="Y311" s="1" t="s">
        <v>74</v>
      </c>
      <c r="Z311" s="1" t="s">
        <v>74</v>
      </c>
      <c r="AA311" s="1" t="s">
        <v>2990</v>
      </c>
      <c r="AB311" s="1" t="s">
        <v>1155</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2991</v>
      </c>
      <c r="AP311" s="1" t="s">
        <v>2992</v>
      </c>
      <c r="AQ311" s="1" t="s">
        <v>74</v>
      </c>
      <c r="AR311" s="1" t="s">
        <v>74</v>
      </c>
      <c r="AS311" s="1" t="s">
        <v>74</v>
      </c>
      <c r="AT311" s="1" t="s">
        <v>160</v>
      </c>
      <c r="AU311" s="1">
        <v>2010.0</v>
      </c>
      <c r="AV311" s="1">
        <v>7.0</v>
      </c>
      <c r="AW311" s="1">
        <v>4.0</v>
      </c>
      <c r="AX311" s="1" t="s">
        <v>74</v>
      </c>
      <c r="AY311" s="1" t="s">
        <v>74</v>
      </c>
      <c r="AZ311" s="1" t="s">
        <v>74</v>
      </c>
      <c r="BA311" s="1" t="s">
        <v>74</v>
      </c>
      <c r="BB311" s="1">
        <v>995.0</v>
      </c>
      <c r="BC311" s="1">
        <v>1003.0</v>
      </c>
      <c r="BD311" s="1" t="s">
        <v>74</v>
      </c>
      <c r="BE311" s="1" t="s">
        <v>2993</v>
      </c>
      <c r="BF311" s="2" t="str">
        <f>HYPERLINK("http://dx.doi.org/10.1007/BF03246096","http://dx.doi.org/10.1007/BF03246096")</f>
        <v>http://dx.doi.org/10.1007/BF03246096</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2994</v>
      </c>
      <c r="BT311" s="1" t="str">
        <f>HYPERLINK("https%3A%2F%2Fwww.webofscience.com%2Fwos%2Fwoscc%2Ffull-record%2FWOS:000284654600026","View Full Record in Web of Science")</f>
        <v>View Full Record in Web of Science</v>
      </c>
    </row>
    <row r="312" ht="12.75" customHeight="1">
      <c r="A312" s="1" t="s">
        <v>72</v>
      </c>
      <c r="B312" s="1" t="s">
        <v>2995</v>
      </c>
      <c r="C312" s="1" t="s">
        <v>74</v>
      </c>
      <c r="D312" s="1" t="s">
        <v>74</v>
      </c>
      <c r="E312" s="1" t="s">
        <v>74</v>
      </c>
      <c r="F312" s="1" t="s">
        <v>2996</v>
      </c>
      <c r="G312" s="1" t="s">
        <v>74</v>
      </c>
      <c r="H312" s="1" t="s">
        <v>74</v>
      </c>
      <c r="I312" s="1" t="s">
        <v>2997</v>
      </c>
      <c r="J312" s="1" t="s">
        <v>2998</v>
      </c>
      <c r="K312" s="1" t="s">
        <v>74</v>
      </c>
      <c r="L312" s="1" t="s">
        <v>74</v>
      </c>
      <c r="M312" s="1" t="s">
        <v>74</v>
      </c>
      <c r="N312" s="1" t="s">
        <v>74</v>
      </c>
      <c r="O312" s="1" t="s">
        <v>74</v>
      </c>
      <c r="P312" s="1" t="s">
        <v>74</v>
      </c>
      <c r="Q312" s="1" t="s">
        <v>74</v>
      </c>
      <c r="R312" s="1" t="s">
        <v>74</v>
      </c>
      <c r="S312" s="1" t="s">
        <v>74</v>
      </c>
      <c r="T312" s="1" t="s">
        <v>74</v>
      </c>
      <c r="U312" s="1" t="s">
        <v>74</v>
      </c>
      <c r="V312" s="1" t="s">
        <v>2999</v>
      </c>
      <c r="W312" s="1" t="s">
        <v>74</v>
      </c>
      <c r="X312" s="1" t="s">
        <v>74</v>
      </c>
      <c r="Y312" s="1" t="s">
        <v>74</v>
      </c>
      <c r="Z312" s="1" t="s">
        <v>74</v>
      </c>
      <c r="AA312" s="1" t="s">
        <v>3000</v>
      </c>
      <c r="AB312" s="1" t="s">
        <v>3001</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3002</v>
      </c>
      <c r="AP312" s="1" t="s">
        <v>74</v>
      </c>
      <c r="AQ312" s="1" t="s">
        <v>74</v>
      </c>
      <c r="AR312" s="1" t="s">
        <v>74</v>
      </c>
      <c r="AS312" s="1" t="s">
        <v>74</v>
      </c>
      <c r="AT312" s="1" t="s">
        <v>160</v>
      </c>
      <c r="AU312" s="1">
        <v>2008.0</v>
      </c>
      <c r="AV312" s="1">
        <v>76.0</v>
      </c>
      <c r="AW312" s="1">
        <v>12.0</v>
      </c>
      <c r="AX312" s="1" t="s">
        <v>74</v>
      </c>
      <c r="AY312" s="1" t="s">
        <v>74</v>
      </c>
      <c r="AZ312" s="1" t="s">
        <v>74</v>
      </c>
      <c r="BA312" s="1" t="s">
        <v>74</v>
      </c>
      <c r="BB312" s="1">
        <v>5456.0</v>
      </c>
      <c r="BC312" s="1">
        <v>5465.0</v>
      </c>
      <c r="BD312" s="1" t="s">
        <v>74</v>
      </c>
      <c r="BE312" s="1" t="s">
        <v>3003</v>
      </c>
      <c r="BF312" s="2" t="str">
        <f>HYPERLINK("http://dx.doi.org/10.1128/IAI.00552-08","http://dx.doi.org/10.1128/IAI.00552-08")</f>
        <v>http://dx.doi.org/10.1128/IAI.00552-08</v>
      </c>
      <c r="BG312" s="1" t="s">
        <v>74</v>
      </c>
      <c r="BH312" s="1" t="s">
        <v>74</v>
      </c>
      <c r="BI312" s="1" t="s">
        <v>74</v>
      </c>
      <c r="BJ312" s="1" t="s">
        <v>74</v>
      </c>
      <c r="BK312" s="1" t="s">
        <v>74</v>
      </c>
      <c r="BL312" s="1" t="s">
        <v>74</v>
      </c>
      <c r="BM312" s="1" t="s">
        <v>74</v>
      </c>
      <c r="BN312" s="1">
        <v>1.8824531E7</v>
      </c>
      <c r="BO312" s="1" t="s">
        <v>74</v>
      </c>
      <c r="BP312" s="1" t="s">
        <v>74</v>
      </c>
      <c r="BQ312" s="1" t="s">
        <v>74</v>
      </c>
      <c r="BR312" s="1" t="s">
        <v>74</v>
      </c>
      <c r="BS312" s="1" t="s">
        <v>3004</v>
      </c>
      <c r="BT312" s="1" t="str">
        <f>HYPERLINK("https%3A%2F%2Fwww.webofscience.com%2Fwos%2Fwoscc%2Ffull-record%2FWOS:000261003900003","View Full Record in Web of Science")</f>
        <v>View Full Record in Web of Science</v>
      </c>
    </row>
    <row r="313" ht="12.75" customHeight="1">
      <c r="A313" s="1" t="s">
        <v>72</v>
      </c>
      <c r="B313" s="1" t="s">
        <v>3005</v>
      </c>
      <c r="C313" s="1" t="s">
        <v>74</v>
      </c>
      <c r="D313" s="1" t="s">
        <v>74</v>
      </c>
      <c r="E313" s="1" t="s">
        <v>74</v>
      </c>
      <c r="F313" s="1" t="s">
        <v>3006</v>
      </c>
      <c r="G313" s="1" t="s">
        <v>74</v>
      </c>
      <c r="H313" s="1" t="s">
        <v>74</v>
      </c>
      <c r="I313" s="1" t="s">
        <v>3007</v>
      </c>
      <c r="J313" s="1" t="s">
        <v>3008</v>
      </c>
      <c r="K313" s="1" t="s">
        <v>74</v>
      </c>
      <c r="L313" s="1" t="s">
        <v>74</v>
      </c>
      <c r="M313" s="1" t="s">
        <v>74</v>
      </c>
      <c r="N313" s="1" t="s">
        <v>74</v>
      </c>
      <c r="O313" s="1" t="s">
        <v>3009</v>
      </c>
      <c r="P313" s="1" t="s">
        <v>3010</v>
      </c>
      <c r="Q313" s="1" t="s">
        <v>3011</v>
      </c>
      <c r="R313" s="1" t="s">
        <v>3012</v>
      </c>
      <c r="S313" s="1" t="s">
        <v>74</v>
      </c>
      <c r="T313" s="1" t="s">
        <v>74</v>
      </c>
      <c r="U313" s="1" t="s">
        <v>74</v>
      </c>
      <c r="V313" s="1" t="s">
        <v>74</v>
      </c>
      <c r="W313" s="1" t="s">
        <v>74</v>
      </c>
      <c r="X313" s="1" t="s">
        <v>74</v>
      </c>
      <c r="Y313" s="1" t="s">
        <v>74</v>
      </c>
      <c r="Z313" s="1" t="s">
        <v>74</v>
      </c>
      <c r="AA313" s="1" t="s">
        <v>74</v>
      </c>
      <c r="AB313" s="1" t="s">
        <v>74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3013</v>
      </c>
      <c r="AP313" s="1" t="s">
        <v>74</v>
      </c>
      <c r="AQ313" s="1" t="s">
        <v>74</v>
      </c>
      <c r="AR313" s="1" t="s">
        <v>74</v>
      </c>
      <c r="AS313" s="1" t="s">
        <v>74</v>
      </c>
      <c r="AT313" s="1" t="s">
        <v>3014</v>
      </c>
      <c r="AU313" s="1">
        <v>2008.0</v>
      </c>
      <c r="AV313" s="1">
        <v>236.0</v>
      </c>
      <c r="AW313" s="1" t="s">
        <v>74</v>
      </c>
      <c r="AX313" s="1" t="s">
        <v>74</v>
      </c>
      <c r="AY313" s="1" t="s">
        <v>74</v>
      </c>
      <c r="AZ313" s="1" t="s">
        <v>74</v>
      </c>
      <c r="BA313" s="1" t="s">
        <v>3015</v>
      </c>
      <c r="BB313" s="1" t="s">
        <v>74</v>
      </c>
      <c r="BC313" s="1" t="s">
        <v>74</v>
      </c>
      <c r="BD313" s="1" t="s">
        <v>74</v>
      </c>
      <c r="BE313" s="1" t="s">
        <v>74</v>
      </c>
      <c r="BF313" s="1" t="s">
        <v>74</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3016</v>
      </c>
      <c r="BT313" s="1" t="str">
        <f>HYPERLINK("https%3A%2F%2Fwww.webofscience.com%2Fwos%2Fwoscc%2Ffull-record%2FWOS:000270256301417","View Full Record in Web of Science")</f>
        <v>View Full Record in Web of Science</v>
      </c>
    </row>
    <row r="314" ht="12.75" customHeight="1">
      <c r="A314" s="1" t="s">
        <v>72</v>
      </c>
      <c r="B314" s="1" t="s">
        <v>3017</v>
      </c>
      <c r="C314" s="1" t="s">
        <v>74</v>
      </c>
      <c r="D314" s="1" t="s">
        <v>74</v>
      </c>
      <c r="E314" s="1" t="s">
        <v>74</v>
      </c>
      <c r="F314" s="1" t="s">
        <v>3018</v>
      </c>
      <c r="G314" s="1" t="s">
        <v>74</v>
      </c>
      <c r="H314" s="1" t="s">
        <v>74</v>
      </c>
      <c r="I314" s="1" t="s">
        <v>3019</v>
      </c>
      <c r="J314" s="1" t="s">
        <v>2023</v>
      </c>
      <c r="K314" s="1" t="s">
        <v>74</v>
      </c>
      <c r="L314" s="1" t="s">
        <v>74</v>
      </c>
      <c r="M314" s="1" t="s">
        <v>74</v>
      </c>
      <c r="N314" s="1" t="s">
        <v>74</v>
      </c>
      <c r="O314" s="1" t="s">
        <v>74</v>
      </c>
      <c r="P314" s="1" t="s">
        <v>74</v>
      </c>
      <c r="Q314" s="1" t="s">
        <v>74</v>
      </c>
      <c r="R314" s="1" t="s">
        <v>74</v>
      </c>
      <c r="S314" s="1" t="s">
        <v>74</v>
      </c>
      <c r="T314" s="1" t="s">
        <v>74</v>
      </c>
      <c r="U314" s="1" t="s">
        <v>74</v>
      </c>
      <c r="V314" s="1" t="s">
        <v>3020</v>
      </c>
      <c r="W314" s="1" t="s">
        <v>74</v>
      </c>
      <c r="X314" s="1" t="s">
        <v>74</v>
      </c>
      <c r="Y314" s="1" t="s">
        <v>74</v>
      </c>
      <c r="Z314" s="1" t="s">
        <v>74</v>
      </c>
      <c r="AA314" s="1" t="s">
        <v>146</v>
      </c>
      <c r="AB314" s="1" t="s">
        <v>3021</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74</v>
      </c>
      <c r="AP314" s="1" t="s">
        <v>2027</v>
      </c>
      <c r="AQ314" s="1" t="s">
        <v>74</v>
      </c>
      <c r="AR314" s="1" t="s">
        <v>74</v>
      </c>
      <c r="AS314" s="1" t="s">
        <v>74</v>
      </c>
      <c r="AT314" s="1" t="s">
        <v>174</v>
      </c>
      <c r="AU314" s="1">
        <v>2008.0</v>
      </c>
      <c r="AV314" s="1">
        <v>13.0</v>
      </c>
      <c r="AW314" s="1">
        <v>4.0</v>
      </c>
      <c r="AX314" s="1" t="s">
        <v>74</v>
      </c>
      <c r="AY314" s="1" t="s">
        <v>74</v>
      </c>
      <c r="AZ314" s="1" t="s">
        <v>74</v>
      </c>
      <c r="BA314" s="1" t="s">
        <v>74</v>
      </c>
      <c r="BB314" s="1">
        <v>882.0</v>
      </c>
      <c r="BC314" s="1">
        <v>891.0</v>
      </c>
      <c r="BD314" s="1" t="s">
        <v>74</v>
      </c>
      <c r="BE314" s="1" t="s">
        <v>3022</v>
      </c>
      <c r="BF314" s="2" t="str">
        <f>HYPERLINK("http://dx.doi.org/10.3390/molecules13040822","http://dx.doi.org/10.3390/molecules13040822")</f>
        <v>http://dx.doi.org/10.3390/molecules13040822</v>
      </c>
      <c r="BG314" s="1" t="s">
        <v>74</v>
      </c>
      <c r="BH314" s="1" t="s">
        <v>74</v>
      </c>
      <c r="BI314" s="1" t="s">
        <v>74</v>
      </c>
      <c r="BJ314" s="1" t="s">
        <v>74</v>
      </c>
      <c r="BK314" s="1" t="s">
        <v>74</v>
      </c>
      <c r="BL314" s="1" t="s">
        <v>74</v>
      </c>
      <c r="BM314" s="1" t="s">
        <v>74</v>
      </c>
      <c r="BN314" s="1">
        <v>1.846359E7</v>
      </c>
      <c r="BO314" s="1" t="s">
        <v>74</v>
      </c>
      <c r="BP314" s="1" t="s">
        <v>74</v>
      </c>
      <c r="BQ314" s="1" t="s">
        <v>74</v>
      </c>
      <c r="BR314" s="1" t="s">
        <v>74</v>
      </c>
      <c r="BS314" s="1" t="s">
        <v>3023</v>
      </c>
      <c r="BT314" s="1" t="str">
        <f>HYPERLINK("https%3A%2F%2Fwww.webofscience.com%2Fwos%2Fwoscc%2Ffull-record%2FWOS:000255515900019","View Full Record in Web of Science")</f>
        <v>View Full Record in Web of Science</v>
      </c>
    </row>
    <row r="315" ht="12.75" customHeight="1">
      <c r="A315" s="1" t="s">
        <v>72</v>
      </c>
      <c r="B315" s="1" t="s">
        <v>3024</v>
      </c>
      <c r="C315" s="1" t="s">
        <v>74</v>
      </c>
      <c r="D315" s="1" t="s">
        <v>74</v>
      </c>
      <c r="E315" s="1" t="s">
        <v>74</v>
      </c>
      <c r="F315" s="1" t="s">
        <v>3025</v>
      </c>
      <c r="G315" s="1" t="s">
        <v>74</v>
      </c>
      <c r="H315" s="1" t="s">
        <v>74</v>
      </c>
      <c r="I315" s="1" t="s">
        <v>3026</v>
      </c>
      <c r="J315" s="1" t="s">
        <v>280</v>
      </c>
      <c r="K315" s="1" t="s">
        <v>74</v>
      </c>
      <c r="L315" s="1" t="s">
        <v>74</v>
      </c>
      <c r="M315" s="1" t="s">
        <v>74</v>
      </c>
      <c r="N315" s="1" t="s">
        <v>74</v>
      </c>
      <c r="O315" s="1" t="s">
        <v>74</v>
      </c>
      <c r="P315" s="1" t="s">
        <v>74</v>
      </c>
      <c r="Q315" s="1" t="s">
        <v>74</v>
      </c>
      <c r="R315" s="1" t="s">
        <v>74</v>
      </c>
      <c r="S315" s="1" t="s">
        <v>74</v>
      </c>
      <c r="T315" s="1" t="s">
        <v>74</v>
      </c>
      <c r="U315" s="1" t="s">
        <v>74</v>
      </c>
      <c r="V315" s="1" t="s">
        <v>3027</v>
      </c>
      <c r="W315" s="1" t="s">
        <v>74</v>
      </c>
      <c r="X315" s="1" t="s">
        <v>74</v>
      </c>
      <c r="Y315" s="1" t="s">
        <v>74</v>
      </c>
      <c r="Z315" s="1" t="s">
        <v>74</v>
      </c>
      <c r="AA315" s="1" t="s">
        <v>74</v>
      </c>
      <c r="AB315" s="1" t="s">
        <v>74</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533</v>
      </c>
      <c r="AP315" s="1" t="s">
        <v>74</v>
      </c>
      <c r="AQ315" s="1" t="s">
        <v>74</v>
      </c>
      <c r="AR315" s="1" t="s">
        <v>74</v>
      </c>
      <c r="AS315" s="1" t="s">
        <v>74</v>
      </c>
      <c r="AT315" s="1" t="s">
        <v>82</v>
      </c>
      <c r="AU315" s="1">
        <v>2007.0</v>
      </c>
      <c r="AV315" s="1">
        <v>52.0</v>
      </c>
      <c r="AW315" s="1">
        <v>2.0</v>
      </c>
      <c r="AX315" s="1" t="s">
        <v>74</v>
      </c>
      <c r="AY315" s="1" t="s">
        <v>74</v>
      </c>
      <c r="AZ315" s="1" t="s">
        <v>74</v>
      </c>
      <c r="BA315" s="1" t="s">
        <v>74</v>
      </c>
      <c r="BB315" s="1">
        <v>1196.0</v>
      </c>
      <c r="BC315" s="1">
        <v>1197.0</v>
      </c>
      <c r="BD315" s="1" t="s">
        <v>74</v>
      </c>
      <c r="BE315" s="1" t="s">
        <v>74</v>
      </c>
      <c r="BF315" s="1" t="s">
        <v>74</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3028</v>
      </c>
      <c r="BT315" s="1" t="str">
        <f>HYPERLINK("https%3A%2F%2Fwww.webofscience.com%2Fwos%2Fwoscc%2Ffull-record%2FWOS:000247078800017","View Full Record in Web of Science")</f>
        <v>View Full Record in Web of Science</v>
      </c>
    </row>
    <row r="316" ht="12.75" customHeight="1">
      <c r="A316" s="1" t="s">
        <v>72</v>
      </c>
      <c r="B316" s="1" t="s">
        <v>3029</v>
      </c>
      <c r="C316" s="1" t="s">
        <v>74</v>
      </c>
      <c r="D316" s="1" t="s">
        <v>74</v>
      </c>
      <c r="E316" s="1" t="s">
        <v>74</v>
      </c>
      <c r="F316" s="1" t="s">
        <v>3029</v>
      </c>
      <c r="G316" s="1" t="s">
        <v>74</v>
      </c>
      <c r="H316" s="1" t="s">
        <v>74</v>
      </c>
      <c r="I316" s="1" t="s">
        <v>3030</v>
      </c>
      <c r="J316" s="1" t="s">
        <v>3031</v>
      </c>
      <c r="K316" s="1" t="s">
        <v>74</v>
      </c>
      <c r="L316" s="1" t="s">
        <v>74</v>
      </c>
      <c r="M316" s="1" t="s">
        <v>74</v>
      </c>
      <c r="N316" s="1" t="s">
        <v>74</v>
      </c>
      <c r="O316" s="1" t="s">
        <v>74</v>
      </c>
      <c r="P316" s="1" t="s">
        <v>74</v>
      </c>
      <c r="Q316" s="1" t="s">
        <v>74</v>
      </c>
      <c r="R316" s="1" t="s">
        <v>74</v>
      </c>
      <c r="S316" s="1" t="s">
        <v>74</v>
      </c>
      <c r="T316" s="1" t="s">
        <v>74</v>
      </c>
      <c r="U316" s="1" t="s">
        <v>74</v>
      </c>
      <c r="V316" s="1" t="s">
        <v>3032</v>
      </c>
      <c r="W316" s="1" t="s">
        <v>74</v>
      </c>
      <c r="X316" s="1" t="s">
        <v>74</v>
      </c>
      <c r="Y316" s="1" t="s">
        <v>74</v>
      </c>
      <c r="Z316" s="1" t="s">
        <v>74</v>
      </c>
      <c r="AA316" s="1" t="s">
        <v>74</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3033</v>
      </c>
      <c r="AP316" s="1" t="s">
        <v>74</v>
      </c>
      <c r="AQ316" s="1" t="s">
        <v>74</v>
      </c>
      <c r="AR316" s="1" t="s">
        <v>74</v>
      </c>
      <c r="AS316" s="1" t="s">
        <v>74</v>
      </c>
      <c r="AT316" s="1" t="s">
        <v>3034</v>
      </c>
      <c r="AU316" s="1">
        <v>2006.0</v>
      </c>
      <c r="AV316" s="1">
        <v>66.0</v>
      </c>
      <c r="AW316" s="1">
        <v>2.0</v>
      </c>
      <c r="AX316" s="1" t="s">
        <v>74</v>
      </c>
      <c r="AY316" s="1" t="s">
        <v>74</v>
      </c>
      <c r="AZ316" s="1" t="s">
        <v>74</v>
      </c>
      <c r="BA316" s="1" t="s">
        <v>74</v>
      </c>
      <c r="BB316" s="1">
        <v>191.0</v>
      </c>
      <c r="BC316" s="1">
        <v>213.0</v>
      </c>
      <c r="BD316" s="1" t="s">
        <v>74</v>
      </c>
      <c r="BE316" s="1" t="s">
        <v>3035</v>
      </c>
      <c r="BF316" s="2" t="str">
        <f>HYPERLINK("http://dx.doi.org/10.1002/nme.1542","http://dx.doi.org/10.1002/nme.1542")</f>
        <v>http://dx.doi.org/10.1002/nme.1542</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3036</v>
      </c>
      <c r="BT316" s="1" t="str">
        <f>HYPERLINK("https%3A%2F%2Fwww.webofscience.com%2Fwos%2Fwoscc%2Ffull-record%2FWOS:000236623800001","View Full Record in Web of Science")</f>
        <v>View Full Record in Web of Science</v>
      </c>
    </row>
    <row r="317" ht="12.75" customHeight="1">
      <c r="A317" s="1" t="s">
        <v>72</v>
      </c>
      <c r="B317" s="1" t="s">
        <v>3037</v>
      </c>
      <c r="C317" s="1" t="s">
        <v>74</v>
      </c>
      <c r="D317" s="1" t="s">
        <v>74</v>
      </c>
      <c r="E317" s="1" t="s">
        <v>74</v>
      </c>
      <c r="F317" s="1" t="s">
        <v>3037</v>
      </c>
      <c r="G317" s="1" t="s">
        <v>74</v>
      </c>
      <c r="H317" s="1" t="s">
        <v>74</v>
      </c>
      <c r="I317" s="1" t="s">
        <v>3038</v>
      </c>
      <c r="J317" s="1" t="s">
        <v>3039</v>
      </c>
      <c r="K317" s="1" t="s">
        <v>74</v>
      </c>
      <c r="L317" s="1" t="s">
        <v>74</v>
      </c>
      <c r="M317" s="1" t="s">
        <v>74</v>
      </c>
      <c r="N317" s="1" t="s">
        <v>74</v>
      </c>
      <c r="O317" s="1" t="s">
        <v>74</v>
      </c>
      <c r="P317" s="1" t="s">
        <v>74</v>
      </c>
      <c r="Q317" s="1" t="s">
        <v>74</v>
      </c>
      <c r="R317" s="1" t="s">
        <v>74</v>
      </c>
      <c r="S317" s="1" t="s">
        <v>74</v>
      </c>
      <c r="T317" s="1" t="s">
        <v>74</v>
      </c>
      <c r="U317" s="1" t="s">
        <v>74</v>
      </c>
      <c r="V317" s="1" t="s">
        <v>3040</v>
      </c>
      <c r="W317" s="1" t="s">
        <v>74</v>
      </c>
      <c r="X317" s="1" t="s">
        <v>74</v>
      </c>
      <c r="Y317" s="1" t="s">
        <v>74</v>
      </c>
      <c r="Z317" s="1" t="s">
        <v>74</v>
      </c>
      <c r="AA317" s="1" t="s">
        <v>3041</v>
      </c>
      <c r="AB317" s="1" t="s">
        <v>3042</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3043</v>
      </c>
      <c r="AP317" s="1" t="s">
        <v>74</v>
      </c>
      <c r="AQ317" s="1" t="s">
        <v>74</v>
      </c>
      <c r="AR317" s="1" t="s">
        <v>74</v>
      </c>
      <c r="AS317" s="1" t="s">
        <v>74</v>
      </c>
      <c r="AT317" s="1" t="s">
        <v>106</v>
      </c>
      <c r="AU317" s="1">
        <v>2003.0</v>
      </c>
      <c r="AV317" s="1">
        <v>32.0</v>
      </c>
      <c r="AW317" s="1">
        <v>9.0</v>
      </c>
      <c r="AX317" s="1" t="s">
        <v>74</v>
      </c>
      <c r="AY317" s="1" t="s">
        <v>74</v>
      </c>
      <c r="AZ317" s="1" t="s">
        <v>74</v>
      </c>
      <c r="BA317" s="1" t="s">
        <v>74</v>
      </c>
      <c r="BB317" s="1">
        <v>781.0</v>
      </c>
      <c r="BC317" s="1">
        <v>790.0</v>
      </c>
      <c r="BD317" s="1" t="s">
        <v>74</v>
      </c>
      <c r="BE317" s="1" t="s">
        <v>3044</v>
      </c>
      <c r="BF317" s="2" t="str">
        <f>HYPERLINK("http://dx.doi.org/10.1023/B:JOSL.0000003148.20257.08","http://dx.doi.org/10.1023/B:JOSL.0000003148.20257.08")</f>
        <v>http://dx.doi.org/10.1023/B:JOSL.0000003148.20257.08</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3045</v>
      </c>
      <c r="BT317" s="1" t="str">
        <f>HYPERLINK("https%3A%2F%2Fwww.webofscience.com%2Fwos%2Fwoscc%2Ffull-record%2FWOS:000186548700002","View Full Record in Web of Science")</f>
        <v>View Full Record in Web of Science</v>
      </c>
    </row>
    <row r="318" ht="12.75" customHeight="1">
      <c r="A318" s="1" t="s">
        <v>72</v>
      </c>
      <c r="B318" s="1" t="s">
        <v>3046</v>
      </c>
      <c r="C318" s="1" t="s">
        <v>74</v>
      </c>
      <c r="D318" s="1" t="s">
        <v>74</v>
      </c>
      <c r="E318" s="1" t="s">
        <v>74</v>
      </c>
      <c r="F318" s="1" t="s">
        <v>3046</v>
      </c>
      <c r="G318" s="1" t="s">
        <v>74</v>
      </c>
      <c r="H318" s="1" t="s">
        <v>74</v>
      </c>
      <c r="I318" s="1" t="s">
        <v>3047</v>
      </c>
      <c r="J318" s="1" t="s">
        <v>3048</v>
      </c>
      <c r="K318" s="1" t="s">
        <v>74</v>
      </c>
      <c r="L318" s="1" t="s">
        <v>74</v>
      </c>
      <c r="M318" s="1" t="s">
        <v>74</v>
      </c>
      <c r="N318" s="1" t="s">
        <v>74</v>
      </c>
      <c r="O318" s="1" t="s">
        <v>3049</v>
      </c>
      <c r="P318" s="1" t="s">
        <v>3050</v>
      </c>
      <c r="Q318" s="1" t="s">
        <v>3051</v>
      </c>
      <c r="R318" s="1" t="s">
        <v>3052</v>
      </c>
      <c r="S318" s="1" t="s">
        <v>74</v>
      </c>
      <c r="T318" s="1" t="s">
        <v>74</v>
      </c>
      <c r="U318" s="1" t="s">
        <v>74</v>
      </c>
      <c r="V318" s="1" t="s">
        <v>3053</v>
      </c>
      <c r="W318" s="1" t="s">
        <v>74</v>
      </c>
      <c r="X318" s="1" t="s">
        <v>74</v>
      </c>
      <c r="Y318" s="1" t="s">
        <v>74</v>
      </c>
      <c r="Z318" s="1" t="s">
        <v>74</v>
      </c>
      <c r="AA318" s="1" t="s">
        <v>74</v>
      </c>
      <c r="AB318" s="1" t="s">
        <v>74</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3054</v>
      </c>
      <c r="AP318" s="1" t="s">
        <v>74</v>
      </c>
      <c r="AQ318" s="1" t="s">
        <v>74</v>
      </c>
      <c r="AR318" s="1" t="s">
        <v>74</v>
      </c>
      <c r="AS318" s="1" t="s">
        <v>74</v>
      </c>
      <c r="AT318" s="1" t="s">
        <v>82</v>
      </c>
      <c r="AU318" s="1">
        <v>2000.0</v>
      </c>
      <c r="AV318" s="1">
        <v>30.0</v>
      </c>
      <c r="AW318" s="1">
        <v>2.0</v>
      </c>
      <c r="AX318" s="1" t="s">
        <v>74</v>
      </c>
      <c r="AY318" s="1" t="s">
        <v>74</v>
      </c>
      <c r="AZ318" s="1" t="s">
        <v>74</v>
      </c>
      <c r="BA318" s="1" t="s">
        <v>74</v>
      </c>
      <c r="BB318" s="1">
        <v>251.0</v>
      </c>
      <c r="BC318" s="1">
        <v>267.0</v>
      </c>
      <c r="BD318" s="1" t="s">
        <v>74</v>
      </c>
      <c r="BE318" s="1" t="s">
        <v>74</v>
      </c>
      <c r="BF318" s="1" t="s">
        <v>74</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3055</v>
      </c>
      <c r="BT318" s="1" t="str">
        <f>HYPERLINK("https%3A%2F%2Fwww.webofscience.com%2Fwos%2Fwoscc%2Ffull-record%2FWOS:000088014500006","View Full Record in Web of Science")</f>
        <v>View Full Record in Web of Science</v>
      </c>
    </row>
    <row r="319" ht="12.75" customHeight="1">
      <c r="A319" s="1" t="s">
        <v>241</v>
      </c>
      <c r="B319" s="1" t="s">
        <v>3056</v>
      </c>
      <c r="C319" s="1" t="s">
        <v>74</v>
      </c>
      <c r="D319" s="1" t="s">
        <v>74</v>
      </c>
      <c r="E319" s="1" t="s">
        <v>427</v>
      </c>
      <c r="F319" s="1" t="s">
        <v>3057</v>
      </c>
      <c r="G319" s="1" t="s">
        <v>74</v>
      </c>
      <c r="H319" s="1" t="s">
        <v>74</v>
      </c>
      <c r="I319" s="1" t="s">
        <v>3058</v>
      </c>
      <c r="J319" s="1" t="s">
        <v>3059</v>
      </c>
      <c r="K319" s="1" t="s">
        <v>3060</v>
      </c>
      <c r="L319" s="1" t="s">
        <v>74</v>
      </c>
      <c r="M319" s="1" t="s">
        <v>74</v>
      </c>
      <c r="N319" s="1" t="s">
        <v>74</v>
      </c>
      <c r="O319" s="1" t="s">
        <v>3061</v>
      </c>
      <c r="P319" s="1" t="s">
        <v>3062</v>
      </c>
      <c r="Q319" s="1" t="s">
        <v>3063</v>
      </c>
      <c r="R319" s="1" t="s">
        <v>74</v>
      </c>
      <c r="S319" s="1" t="s">
        <v>74</v>
      </c>
      <c r="T319" s="1" t="s">
        <v>74</v>
      </c>
      <c r="U319" s="1" t="s">
        <v>74</v>
      </c>
      <c r="V319" s="1" t="s">
        <v>3064</v>
      </c>
      <c r="W319" s="1" t="s">
        <v>74</v>
      </c>
      <c r="X319" s="1" t="s">
        <v>74</v>
      </c>
      <c r="Y319" s="1" t="s">
        <v>74</v>
      </c>
      <c r="Z319" s="1" t="s">
        <v>74</v>
      </c>
      <c r="AA319" s="1" t="s">
        <v>74</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3065</v>
      </c>
      <c r="AP319" s="1" t="s">
        <v>74</v>
      </c>
      <c r="AQ319" s="1" t="s">
        <v>3066</v>
      </c>
      <c r="AR319" s="1" t="s">
        <v>74</v>
      </c>
      <c r="AS319" s="1" t="s">
        <v>74</v>
      </c>
      <c r="AT319" s="1" t="s">
        <v>74</v>
      </c>
      <c r="AU319" s="1">
        <v>2024.0</v>
      </c>
      <c r="AV319" s="1" t="s">
        <v>74</v>
      </c>
      <c r="AW319" s="1" t="s">
        <v>74</v>
      </c>
      <c r="AX319" s="1" t="s">
        <v>74</v>
      </c>
      <c r="AY319" s="1" t="s">
        <v>74</v>
      </c>
      <c r="AZ319" s="1" t="s">
        <v>74</v>
      </c>
      <c r="BA319" s="1" t="s">
        <v>74</v>
      </c>
      <c r="BB319" s="1">
        <v>551.0</v>
      </c>
      <c r="BC319" s="1">
        <v>556.0</v>
      </c>
      <c r="BD319" s="1" t="s">
        <v>74</v>
      </c>
      <c r="BE319" s="1" t="s">
        <v>3067</v>
      </c>
      <c r="BF319" s="2" t="str">
        <f>HYPERLINK("http://dx.doi.org/10.1109/CSNDSP60683.2024.10636640","http://dx.doi.org/10.1109/CSNDSP60683.2024.10636640")</f>
        <v>http://dx.doi.org/10.1109/CSNDSP60683.2024.10636640</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3068</v>
      </c>
      <c r="BT319" s="1" t="str">
        <f>HYPERLINK("https%3A%2F%2Fwww.webofscience.com%2Fwos%2Fwoscc%2Ffull-record%2FWOS:001324588800104","View Full Record in Web of Science")</f>
        <v>View Full Record in Web of Science</v>
      </c>
    </row>
    <row r="320" ht="12.75" customHeight="1">
      <c r="A320" s="1" t="s">
        <v>72</v>
      </c>
      <c r="B320" s="1" t="s">
        <v>3069</v>
      </c>
      <c r="C320" s="1" t="s">
        <v>74</v>
      </c>
      <c r="D320" s="1" t="s">
        <v>74</v>
      </c>
      <c r="E320" s="1" t="s">
        <v>74</v>
      </c>
      <c r="F320" s="1" t="s">
        <v>3070</v>
      </c>
      <c r="G320" s="1" t="s">
        <v>74</v>
      </c>
      <c r="H320" s="1" t="s">
        <v>74</v>
      </c>
      <c r="I320" s="1" t="s">
        <v>3071</v>
      </c>
      <c r="J320" s="1" t="s">
        <v>3072</v>
      </c>
      <c r="K320" s="1" t="s">
        <v>74</v>
      </c>
      <c r="L320" s="1" t="s">
        <v>74</v>
      </c>
      <c r="M320" s="1" t="s">
        <v>74</v>
      </c>
      <c r="N320" s="1" t="s">
        <v>74</v>
      </c>
      <c r="O320" s="1" t="s">
        <v>74</v>
      </c>
      <c r="P320" s="1" t="s">
        <v>74</v>
      </c>
      <c r="Q320" s="1" t="s">
        <v>74</v>
      </c>
      <c r="R320" s="1" t="s">
        <v>74</v>
      </c>
      <c r="S320" s="1" t="s">
        <v>74</v>
      </c>
      <c r="T320" s="1" t="s">
        <v>74</v>
      </c>
      <c r="U320" s="1" t="s">
        <v>74</v>
      </c>
      <c r="V320" s="1" t="s">
        <v>3073</v>
      </c>
      <c r="W320" s="1" t="s">
        <v>74</v>
      </c>
      <c r="X320" s="1" t="s">
        <v>74</v>
      </c>
      <c r="Y320" s="1" t="s">
        <v>74</v>
      </c>
      <c r="Z320" s="1" t="s">
        <v>74</v>
      </c>
      <c r="AA320" s="1" t="s">
        <v>3074</v>
      </c>
      <c r="AB320" s="1" t="s">
        <v>74</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3075</v>
      </c>
      <c r="AP320" s="1" t="s">
        <v>3076</v>
      </c>
      <c r="AQ320" s="1" t="s">
        <v>74</v>
      </c>
      <c r="AR320" s="1" t="s">
        <v>74</v>
      </c>
      <c r="AS320" s="1" t="s">
        <v>74</v>
      </c>
      <c r="AT320" s="1" t="s">
        <v>106</v>
      </c>
      <c r="AU320" s="1">
        <v>2023.0</v>
      </c>
      <c r="AV320" s="1">
        <v>90.0</v>
      </c>
      <c r="AW320" s="1" t="s">
        <v>74</v>
      </c>
      <c r="AX320" s="1" t="s">
        <v>74</v>
      </c>
      <c r="AY320" s="1" t="s">
        <v>74</v>
      </c>
      <c r="AZ320" s="1" t="s">
        <v>74</v>
      </c>
      <c r="BA320" s="1" t="s">
        <v>74</v>
      </c>
      <c r="BB320" s="1" t="s">
        <v>74</v>
      </c>
      <c r="BC320" s="1" t="s">
        <v>74</v>
      </c>
      <c r="BD320" s="1">
        <v>102227.0</v>
      </c>
      <c r="BE320" s="1" t="s">
        <v>3077</v>
      </c>
      <c r="BF320" s="2" t="str">
        <f>HYPERLINK("http://dx.doi.org/10.1016/j.ffa.2023.102227","http://dx.doi.org/10.1016/j.ffa.2023.102227")</f>
        <v>http://dx.doi.org/10.1016/j.ffa.2023.102227</v>
      </c>
      <c r="BG320" s="1" t="s">
        <v>74</v>
      </c>
      <c r="BH320" s="1" t="s">
        <v>1605</v>
      </c>
      <c r="BI320" s="1" t="s">
        <v>74</v>
      </c>
      <c r="BJ320" s="1" t="s">
        <v>74</v>
      </c>
      <c r="BK320" s="1" t="s">
        <v>74</v>
      </c>
      <c r="BL320" s="1" t="s">
        <v>74</v>
      </c>
      <c r="BM320" s="1" t="s">
        <v>74</v>
      </c>
      <c r="BN320" s="1" t="s">
        <v>74</v>
      </c>
      <c r="BO320" s="1" t="s">
        <v>74</v>
      </c>
      <c r="BP320" s="1" t="s">
        <v>74</v>
      </c>
      <c r="BQ320" s="1" t="s">
        <v>74</v>
      </c>
      <c r="BR320" s="1" t="s">
        <v>74</v>
      </c>
      <c r="BS320" s="1" t="s">
        <v>3078</v>
      </c>
      <c r="BT320" s="1" t="str">
        <f>HYPERLINK("https%3A%2F%2Fwww.webofscience.com%2Fwos%2Fwoscc%2Ffull-record%2FWOS:001007178200001","View Full Record in Web of Science")</f>
        <v>View Full Record in Web of Science</v>
      </c>
    </row>
    <row r="321" ht="12.75" customHeight="1">
      <c r="A321" s="1" t="s">
        <v>72</v>
      </c>
      <c r="B321" s="1" t="s">
        <v>3079</v>
      </c>
      <c r="C321" s="1" t="s">
        <v>74</v>
      </c>
      <c r="D321" s="1" t="s">
        <v>74</v>
      </c>
      <c r="E321" s="1" t="s">
        <v>74</v>
      </c>
      <c r="F321" s="1" t="s">
        <v>3080</v>
      </c>
      <c r="G321" s="1" t="s">
        <v>74</v>
      </c>
      <c r="H321" s="1" t="s">
        <v>74</v>
      </c>
      <c r="I321" s="1" t="s">
        <v>3081</v>
      </c>
      <c r="J321" s="1" t="s">
        <v>3082</v>
      </c>
      <c r="K321" s="1" t="s">
        <v>74</v>
      </c>
      <c r="L321" s="1" t="s">
        <v>74</v>
      </c>
      <c r="M321" s="1" t="s">
        <v>74</v>
      </c>
      <c r="N321" s="1" t="s">
        <v>74</v>
      </c>
      <c r="O321" s="1" t="s">
        <v>74</v>
      </c>
      <c r="P321" s="1" t="s">
        <v>74</v>
      </c>
      <c r="Q321" s="1" t="s">
        <v>74</v>
      </c>
      <c r="R321" s="1" t="s">
        <v>74</v>
      </c>
      <c r="S321" s="1" t="s">
        <v>74</v>
      </c>
      <c r="T321" s="1" t="s">
        <v>74</v>
      </c>
      <c r="U321" s="1" t="s">
        <v>74</v>
      </c>
      <c r="V321" s="1" t="s">
        <v>3083</v>
      </c>
      <c r="W321" s="1" t="s">
        <v>74</v>
      </c>
      <c r="X321" s="1" t="s">
        <v>74</v>
      </c>
      <c r="Y321" s="1" t="s">
        <v>74</v>
      </c>
      <c r="Z321" s="1" t="s">
        <v>74</v>
      </c>
      <c r="AA321" s="1" t="s">
        <v>3084</v>
      </c>
      <c r="AB321" s="1" t="s">
        <v>3085</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3086</v>
      </c>
      <c r="AP321" s="1" t="s">
        <v>3087</v>
      </c>
      <c r="AQ321" s="1" t="s">
        <v>74</v>
      </c>
      <c r="AR321" s="1" t="s">
        <v>74</v>
      </c>
      <c r="AS321" s="1" t="s">
        <v>74</v>
      </c>
      <c r="AT321" s="1" t="s">
        <v>183</v>
      </c>
      <c r="AU321" s="1">
        <v>2023.0</v>
      </c>
      <c r="AV321" s="1">
        <v>179.0</v>
      </c>
      <c r="AW321" s="1" t="s">
        <v>74</v>
      </c>
      <c r="AX321" s="1" t="s">
        <v>74</v>
      </c>
      <c r="AY321" s="1" t="s">
        <v>74</v>
      </c>
      <c r="AZ321" s="1" t="s">
        <v>74</v>
      </c>
      <c r="BA321" s="1" t="s">
        <v>74</v>
      </c>
      <c r="BB321" s="1" t="s">
        <v>74</v>
      </c>
      <c r="BC321" s="1" t="s">
        <v>74</v>
      </c>
      <c r="BD321" s="1">
        <v>109192.0</v>
      </c>
      <c r="BE321" s="1" t="s">
        <v>3088</v>
      </c>
      <c r="BF321" s="2" t="str">
        <f>HYPERLINK("http://dx.doi.org/10.1016/j.cie.2023.109192","http://dx.doi.org/10.1016/j.cie.2023.109192")</f>
        <v>http://dx.doi.org/10.1016/j.cie.2023.109192</v>
      </c>
      <c r="BG321" s="1" t="s">
        <v>74</v>
      </c>
      <c r="BH321" s="1" t="s">
        <v>3089</v>
      </c>
      <c r="BI321" s="1" t="s">
        <v>74</v>
      </c>
      <c r="BJ321" s="1" t="s">
        <v>74</v>
      </c>
      <c r="BK321" s="1" t="s">
        <v>74</v>
      </c>
      <c r="BL321" s="1" t="s">
        <v>74</v>
      </c>
      <c r="BM321" s="1" t="s">
        <v>74</v>
      </c>
      <c r="BN321" s="1" t="s">
        <v>74</v>
      </c>
      <c r="BO321" s="1" t="s">
        <v>74</v>
      </c>
      <c r="BP321" s="1" t="s">
        <v>74</v>
      </c>
      <c r="BQ321" s="1" t="s">
        <v>74</v>
      </c>
      <c r="BR321" s="1" t="s">
        <v>74</v>
      </c>
      <c r="BS321" s="1" t="s">
        <v>3090</v>
      </c>
      <c r="BT321" s="1" t="str">
        <f>HYPERLINK("https%3A%2F%2Fwww.webofscience.com%2Fwos%2Fwoscc%2Ffull-record%2FWOS:000982838100001","View Full Record in Web of Science")</f>
        <v>View Full Record in Web of Science</v>
      </c>
    </row>
    <row r="322" ht="12.75" customHeight="1">
      <c r="A322" s="1" t="s">
        <v>72</v>
      </c>
      <c r="B322" s="1" t="s">
        <v>3091</v>
      </c>
      <c r="C322" s="1" t="s">
        <v>74</v>
      </c>
      <c r="D322" s="1" t="s">
        <v>74</v>
      </c>
      <c r="E322" s="1" t="s">
        <v>74</v>
      </c>
      <c r="F322" s="1" t="s">
        <v>3092</v>
      </c>
      <c r="G322" s="1" t="s">
        <v>74</v>
      </c>
      <c r="H322" s="1" t="s">
        <v>74</v>
      </c>
      <c r="I322" s="1" t="s">
        <v>3093</v>
      </c>
      <c r="J322" s="1" t="s">
        <v>3094</v>
      </c>
      <c r="K322" s="1" t="s">
        <v>74</v>
      </c>
      <c r="L322" s="1" t="s">
        <v>74</v>
      </c>
      <c r="M322" s="1" t="s">
        <v>74</v>
      </c>
      <c r="N322" s="1" t="s">
        <v>74</v>
      </c>
      <c r="O322" s="1" t="s">
        <v>74</v>
      </c>
      <c r="P322" s="1" t="s">
        <v>74</v>
      </c>
      <c r="Q322" s="1" t="s">
        <v>74</v>
      </c>
      <c r="R322" s="1" t="s">
        <v>74</v>
      </c>
      <c r="S322" s="1" t="s">
        <v>74</v>
      </c>
      <c r="T322" s="1" t="s">
        <v>74</v>
      </c>
      <c r="U322" s="1" t="s">
        <v>74</v>
      </c>
      <c r="V322" s="1" t="s">
        <v>3095</v>
      </c>
      <c r="W322" s="1" t="s">
        <v>74</v>
      </c>
      <c r="X322" s="1" t="s">
        <v>74</v>
      </c>
      <c r="Y322" s="1" t="s">
        <v>74</v>
      </c>
      <c r="Z322" s="1" t="s">
        <v>74</v>
      </c>
      <c r="AA322" s="1" t="s">
        <v>74</v>
      </c>
      <c r="AB322" s="1" t="s">
        <v>74</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3096</v>
      </c>
      <c r="AP322" s="1" t="s">
        <v>3097</v>
      </c>
      <c r="AQ322" s="1" t="s">
        <v>74</v>
      </c>
      <c r="AR322" s="1" t="s">
        <v>74</v>
      </c>
      <c r="AS322" s="1" t="s">
        <v>74</v>
      </c>
      <c r="AT322" s="1" t="s">
        <v>74</v>
      </c>
      <c r="AU322" s="1">
        <v>2023.0</v>
      </c>
      <c r="AV322" s="1">
        <v>19.0</v>
      </c>
      <c r="AW322" s="1">
        <v>1.0</v>
      </c>
      <c r="AX322" s="1" t="s">
        <v>74</v>
      </c>
      <c r="AY322" s="1" t="s">
        <v>74</v>
      </c>
      <c r="AZ322" s="1" t="s">
        <v>74</v>
      </c>
      <c r="BA322" s="1" t="s">
        <v>74</v>
      </c>
      <c r="BB322" s="1" t="s">
        <v>74</v>
      </c>
      <c r="BC322" s="1" t="s">
        <v>74</v>
      </c>
      <c r="BD322" s="1">
        <v>1146.0</v>
      </c>
      <c r="BE322" s="1" t="s">
        <v>3098</v>
      </c>
      <c r="BF322" s="2" t="str">
        <f>HYPERLINK("http://dx.doi.org/10.18634/sophiaj.19v.1i.1146","http://dx.doi.org/10.18634/sophiaj.19v.1i.1146")</f>
        <v>http://dx.doi.org/10.18634/sophiaj.19v.1i.1146</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3099</v>
      </c>
      <c r="BT322" s="1" t="str">
        <f>HYPERLINK("https%3A%2F%2Fwww.webofscience.com%2Fwos%2Fwoscc%2Ffull-record%2FWOS:001024758500002","View Full Record in Web of Science")</f>
        <v>View Full Record in Web of Science</v>
      </c>
    </row>
    <row r="323" ht="12.75" customHeight="1">
      <c r="A323" s="1" t="s">
        <v>72</v>
      </c>
      <c r="B323" s="1" t="s">
        <v>3100</v>
      </c>
      <c r="C323" s="1" t="s">
        <v>74</v>
      </c>
      <c r="D323" s="1" t="s">
        <v>74</v>
      </c>
      <c r="E323" s="1" t="s">
        <v>74</v>
      </c>
      <c r="F323" s="1" t="s">
        <v>3101</v>
      </c>
      <c r="G323" s="1" t="s">
        <v>74</v>
      </c>
      <c r="H323" s="1" t="s">
        <v>74</v>
      </c>
      <c r="I323" s="1" t="s">
        <v>3102</v>
      </c>
      <c r="J323" s="1" t="s">
        <v>3103</v>
      </c>
      <c r="K323" s="1" t="s">
        <v>74</v>
      </c>
      <c r="L323" s="1" t="s">
        <v>74</v>
      </c>
      <c r="M323" s="1" t="s">
        <v>74</v>
      </c>
      <c r="N323" s="1" t="s">
        <v>74</v>
      </c>
      <c r="O323" s="1" t="s">
        <v>74</v>
      </c>
      <c r="P323" s="1" t="s">
        <v>74</v>
      </c>
      <c r="Q323" s="1" t="s">
        <v>74</v>
      </c>
      <c r="R323" s="1" t="s">
        <v>74</v>
      </c>
      <c r="S323" s="1" t="s">
        <v>74</v>
      </c>
      <c r="T323" s="1" t="s">
        <v>74</v>
      </c>
      <c r="U323" s="1" t="s">
        <v>74</v>
      </c>
      <c r="V323" s="1" t="s">
        <v>3104</v>
      </c>
      <c r="W323" s="1" t="s">
        <v>74</v>
      </c>
      <c r="X323" s="1" t="s">
        <v>74</v>
      </c>
      <c r="Y323" s="1" t="s">
        <v>74</v>
      </c>
      <c r="Z323" s="1" t="s">
        <v>74</v>
      </c>
      <c r="AA323" s="1" t="s">
        <v>3105</v>
      </c>
      <c r="AB323" s="1" t="s">
        <v>3106</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3107</v>
      </c>
      <c r="AP323" s="1" t="s">
        <v>74</v>
      </c>
      <c r="AQ323" s="1" t="s">
        <v>74</v>
      </c>
      <c r="AR323" s="1" t="s">
        <v>74</v>
      </c>
      <c r="AS323" s="1" t="s">
        <v>74</v>
      </c>
      <c r="AT323" s="1" t="s">
        <v>319</v>
      </c>
      <c r="AU323" s="1">
        <v>2021.0</v>
      </c>
      <c r="AV323" s="1">
        <v>12.0</v>
      </c>
      <c r="AW323" s="1">
        <v>2.0</v>
      </c>
      <c r="AX323" s="1" t="s">
        <v>74</v>
      </c>
      <c r="AY323" s="1" t="s">
        <v>74</v>
      </c>
      <c r="AZ323" s="1" t="s">
        <v>74</v>
      </c>
      <c r="BA323" s="1" t="s">
        <v>74</v>
      </c>
      <c r="BB323" s="1">
        <v>65.0</v>
      </c>
      <c r="BC323" s="1">
        <v>92.0</v>
      </c>
      <c r="BD323" s="1" t="s">
        <v>74</v>
      </c>
      <c r="BE323" s="1" t="s">
        <v>3108</v>
      </c>
      <c r="BF323" s="2" t="str">
        <f>HYPERLINK("http://dx.doi.org/10.1016/j.geog.2020.12.003","http://dx.doi.org/10.1016/j.geog.2020.12.003")</f>
        <v>http://dx.doi.org/10.1016/j.geog.2020.12.003</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3109</v>
      </c>
      <c r="BT323" s="1" t="str">
        <f>HYPERLINK("https%3A%2F%2Fwww.webofscience.com%2Fwos%2Fwoscc%2Ffull-record%2FWOS:000653766900001","View Full Record in Web of Science")</f>
        <v>View Full Record in Web of Science</v>
      </c>
    </row>
    <row r="324" ht="12.75" customHeight="1">
      <c r="A324" s="1" t="s">
        <v>72</v>
      </c>
      <c r="B324" s="1" t="s">
        <v>3110</v>
      </c>
      <c r="C324" s="1" t="s">
        <v>74</v>
      </c>
      <c r="D324" s="1" t="s">
        <v>74</v>
      </c>
      <c r="E324" s="1" t="s">
        <v>74</v>
      </c>
      <c r="F324" s="1" t="s">
        <v>3111</v>
      </c>
      <c r="G324" s="1" t="s">
        <v>74</v>
      </c>
      <c r="H324" s="1" t="s">
        <v>74</v>
      </c>
      <c r="I324" s="1" t="s">
        <v>3112</v>
      </c>
      <c r="J324" s="1" t="s">
        <v>3113</v>
      </c>
      <c r="K324" s="1" t="s">
        <v>74</v>
      </c>
      <c r="L324" s="1" t="s">
        <v>74</v>
      </c>
      <c r="M324" s="1" t="s">
        <v>74</v>
      </c>
      <c r="N324" s="1" t="s">
        <v>74</v>
      </c>
      <c r="O324" s="1" t="s">
        <v>74</v>
      </c>
      <c r="P324" s="1" t="s">
        <v>74</v>
      </c>
      <c r="Q324" s="1" t="s">
        <v>74</v>
      </c>
      <c r="R324" s="1" t="s">
        <v>74</v>
      </c>
      <c r="S324" s="1" t="s">
        <v>74</v>
      </c>
      <c r="T324" s="1" t="s">
        <v>74</v>
      </c>
      <c r="U324" s="1" t="s">
        <v>74</v>
      </c>
      <c r="V324" s="1" t="s">
        <v>3114</v>
      </c>
      <c r="W324" s="1" t="s">
        <v>74</v>
      </c>
      <c r="X324" s="1" t="s">
        <v>74</v>
      </c>
      <c r="Y324" s="1" t="s">
        <v>74</v>
      </c>
      <c r="Z324" s="1" t="s">
        <v>74</v>
      </c>
      <c r="AA324" s="1" t="s">
        <v>3115</v>
      </c>
      <c r="AB324" s="1" t="s">
        <v>3116</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74</v>
      </c>
      <c r="AP324" s="1" t="s">
        <v>3117</v>
      </c>
      <c r="AQ324" s="1" t="s">
        <v>74</v>
      </c>
      <c r="AR324" s="1" t="s">
        <v>74</v>
      </c>
      <c r="AS324" s="1" t="s">
        <v>74</v>
      </c>
      <c r="AT324" s="1" t="s">
        <v>607</v>
      </c>
      <c r="AU324" s="1">
        <v>2021.0</v>
      </c>
      <c r="AV324" s="1">
        <v>11.0</v>
      </c>
      <c r="AW324" s="1">
        <v>2.0</v>
      </c>
      <c r="AX324" s="1" t="s">
        <v>74</v>
      </c>
      <c r="AY324" s="1" t="s">
        <v>74</v>
      </c>
      <c r="AZ324" s="1" t="s">
        <v>74</v>
      </c>
      <c r="BA324" s="1" t="s">
        <v>74</v>
      </c>
      <c r="BB324" s="1" t="s">
        <v>74</v>
      </c>
      <c r="BC324" s="1" t="s">
        <v>74</v>
      </c>
      <c r="BD324" s="1">
        <v>85.0</v>
      </c>
      <c r="BE324" s="1" t="s">
        <v>3118</v>
      </c>
      <c r="BF324" s="2" t="str">
        <f>HYPERLINK("http://dx.doi.org/10.3390/life11020085","http://dx.doi.org/10.3390/life11020085")</f>
        <v>http://dx.doi.org/10.3390/life11020085</v>
      </c>
      <c r="BG324" s="1" t="s">
        <v>74</v>
      </c>
      <c r="BH324" s="1" t="s">
        <v>74</v>
      </c>
      <c r="BI324" s="1" t="s">
        <v>74</v>
      </c>
      <c r="BJ324" s="1" t="s">
        <v>74</v>
      </c>
      <c r="BK324" s="1" t="s">
        <v>74</v>
      </c>
      <c r="BL324" s="1" t="s">
        <v>74</v>
      </c>
      <c r="BM324" s="1" t="s">
        <v>74</v>
      </c>
      <c r="BN324" s="1">
        <v>3.3504022E7</v>
      </c>
      <c r="BO324" s="1" t="s">
        <v>74</v>
      </c>
      <c r="BP324" s="1" t="s">
        <v>74</v>
      </c>
      <c r="BQ324" s="1" t="s">
        <v>74</v>
      </c>
      <c r="BR324" s="1" t="s">
        <v>74</v>
      </c>
      <c r="BS324" s="1" t="s">
        <v>3119</v>
      </c>
      <c r="BT324" s="1" t="str">
        <f>HYPERLINK("https%3A%2F%2Fwww.webofscience.com%2Fwos%2Fwoscc%2Ffull-record%2FWOS:000622720900001","View Full Record in Web of Science")</f>
        <v>View Full Record in Web of Science</v>
      </c>
    </row>
    <row r="325" ht="12.75" customHeight="1">
      <c r="A325" s="1" t="s">
        <v>72</v>
      </c>
      <c r="B325" s="1" t="s">
        <v>3120</v>
      </c>
      <c r="C325" s="1" t="s">
        <v>74</v>
      </c>
      <c r="D325" s="1" t="s">
        <v>74</v>
      </c>
      <c r="E325" s="1" t="s">
        <v>74</v>
      </c>
      <c r="F325" s="1" t="s">
        <v>3121</v>
      </c>
      <c r="G325" s="1" t="s">
        <v>74</v>
      </c>
      <c r="H325" s="1" t="s">
        <v>74</v>
      </c>
      <c r="I325" s="1" t="s">
        <v>3122</v>
      </c>
      <c r="J325" s="1" t="s">
        <v>3123</v>
      </c>
      <c r="K325" s="1" t="s">
        <v>74</v>
      </c>
      <c r="L325" s="1" t="s">
        <v>74</v>
      </c>
      <c r="M325" s="1" t="s">
        <v>74</v>
      </c>
      <c r="N325" s="1" t="s">
        <v>74</v>
      </c>
      <c r="O325" s="1" t="s">
        <v>74</v>
      </c>
      <c r="P325" s="1" t="s">
        <v>74</v>
      </c>
      <c r="Q325" s="1" t="s">
        <v>74</v>
      </c>
      <c r="R325" s="1" t="s">
        <v>74</v>
      </c>
      <c r="S325" s="1" t="s">
        <v>74</v>
      </c>
      <c r="T325" s="1" t="s">
        <v>74</v>
      </c>
      <c r="U325" s="1" t="s">
        <v>74</v>
      </c>
      <c r="V325" s="1" t="s">
        <v>3124</v>
      </c>
      <c r="W325" s="1" t="s">
        <v>74</v>
      </c>
      <c r="X325" s="1" t="s">
        <v>74</v>
      </c>
      <c r="Y325" s="1" t="s">
        <v>74</v>
      </c>
      <c r="Z325" s="1" t="s">
        <v>74</v>
      </c>
      <c r="AA325" s="1" t="s">
        <v>3125</v>
      </c>
      <c r="AB325" s="1" t="s">
        <v>3126</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3127</v>
      </c>
      <c r="AP325" s="1" t="s">
        <v>74</v>
      </c>
      <c r="AQ325" s="1" t="s">
        <v>74</v>
      </c>
      <c r="AR325" s="1" t="s">
        <v>74</v>
      </c>
      <c r="AS325" s="1" t="s">
        <v>74</v>
      </c>
      <c r="AT325" s="1" t="s">
        <v>160</v>
      </c>
      <c r="AU325" s="1">
        <v>2020.0</v>
      </c>
      <c r="AV325" s="1">
        <v>130.0</v>
      </c>
      <c r="AW325" s="1" t="s">
        <v>74</v>
      </c>
      <c r="AX325" s="1" t="s">
        <v>74</v>
      </c>
      <c r="AY325" s="1" t="s">
        <v>74</v>
      </c>
      <c r="AZ325" s="1" t="s">
        <v>74</v>
      </c>
      <c r="BA325" s="1" t="s">
        <v>74</v>
      </c>
      <c r="BB325" s="1" t="s">
        <v>74</v>
      </c>
      <c r="BC325" s="1" t="s">
        <v>74</v>
      </c>
      <c r="BD325" s="1">
        <v>103572.0</v>
      </c>
      <c r="BE325" s="1" t="s">
        <v>3128</v>
      </c>
      <c r="BF325" s="2" t="str">
        <f>HYPERLINK("http://dx.doi.org/10.1016/j.pnucene.2020.103572","http://dx.doi.org/10.1016/j.pnucene.2020.103572")</f>
        <v>http://dx.doi.org/10.1016/j.pnucene.2020.103572</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3129</v>
      </c>
      <c r="BT325" s="1" t="str">
        <f>HYPERLINK("https%3A%2F%2Fwww.webofscience.com%2Fwos%2Fwoscc%2Ffull-record%2FWOS:000598717500001","View Full Record in Web of Science")</f>
        <v>View Full Record in Web of Science</v>
      </c>
    </row>
    <row r="326" ht="12.75" customHeight="1">
      <c r="A326" s="1" t="s">
        <v>72</v>
      </c>
      <c r="B326" s="1" t="s">
        <v>3130</v>
      </c>
      <c r="C326" s="1" t="s">
        <v>74</v>
      </c>
      <c r="D326" s="1" t="s">
        <v>74</v>
      </c>
      <c r="E326" s="1" t="s">
        <v>74</v>
      </c>
      <c r="F326" s="1" t="s">
        <v>3131</v>
      </c>
      <c r="G326" s="1" t="s">
        <v>74</v>
      </c>
      <c r="H326" s="1" t="s">
        <v>74</v>
      </c>
      <c r="I326" s="1" t="s">
        <v>3132</v>
      </c>
      <c r="J326" s="1" t="s">
        <v>268</v>
      </c>
      <c r="K326" s="1" t="s">
        <v>74</v>
      </c>
      <c r="L326" s="1" t="s">
        <v>74</v>
      </c>
      <c r="M326" s="1" t="s">
        <v>74</v>
      </c>
      <c r="N326" s="1" t="s">
        <v>74</v>
      </c>
      <c r="O326" s="1" t="s">
        <v>74</v>
      </c>
      <c r="P326" s="1" t="s">
        <v>74</v>
      </c>
      <c r="Q326" s="1" t="s">
        <v>74</v>
      </c>
      <c r="R326" s="1" t="s">
        <v>74</v>
      </c>
      <c r="S326" s="1" t="s">
        <v>74</v>
      </c>
      <c r="T326" s="1" t="s">
        <v>74</v>
      </c>
      <c r="U326" s="1" t="s">
        <v>74</v>
      </c>
      <c r="V326" s="1" t="s">
        <v>3133</v>
      </c>
      <c r="W326" s="1" t="s">
        <v>74</v>
      </c>
      <c r="X326" s="1" t="s">
        <v>74</v>
      </c>
      <c r="Y326" s="1" t="s">
        <v>74</v>
      </c>
      <c r="Z326" s="1" t="s">
        <v>74</v>
      </c>
      <c r="AA326" s="1" t="s">
        <v>2832</v>
      </c>
      <c r="AB326" s="1" t="s">
        <v>2845</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272</v>
      </c>
      <c r="AP326" s="1" t="s">
        <v>273</v>
      </c>
      <c r="AQ326" s="1" t="s">
        <v>74</v>
      </c>
      <c r="AR326" s="1" t="s">
        <v>74</v>
      </c>
      <c r="AS326" s="1" t="s">
        <v>74</v>
      </c>
      <c r="AT326" s="1" t="s">
        <v>848</v>
      </c>
      <c r="AU326" s="1">
        <v>2020.0</v>
      </c>
      <c r="AV326" s="1">
        <v>513.0</v>
      </c>
      <c r="AW326" s="1" t="s">
        <v>74</v>
      </c>
      <c r="AX326" s="1" t="s">
        <v>74</v>
      </c>
      <c r="AY326" s="1" t="s">
        <v>74</v>
      </c>
      <c r="AZ326" s="1" t="s">
        <v>74</v>
      </c>
      <c r="BA326" s="1" t="s">
        <v>74</v>
      </c>
      <c r="BB326" s="1" t="s">
        <v>74</v>
      </c>
      <c r="BC326" s="1" t="s">
        <v>74</v>
      </c>
      <c r="BD326" s="1">
        <v>167084.0</v>
      </c>
      <c r="BE326" s="1" t="s">
        <v>3134</v>
      </c>
      <c r="BF326" s="2" t="str">
        <f>HYPERLINK("http://dx.doi.org/10.1016/j.jmmm.2020.167084","http://dx.doi.org/10.1016/j.jmmm.2020.167084")</f>
        <v>http://dx.doi.org/10.1016/j.jmmm.2020.167084</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3135</v>
      </c>
      <c r="BT326" s="1" t="str">
        <f>HYPERLINK("https%3A%2F%2Fwww.webofscience.com%2Fwos%2Fwoscc%2Ffull-record%2FWOS:000562015700008","View Full Record in Web of Science")</f>
        <v>View Full Record in Web of Science</v>
      </c>
    </row>
    <row r="327" ht="12.75" customHeight="1">
      <c r="A327" s="1" t="s">
        <v>72</v>
      </c>
      <c r="B327" s="1" t="s">
        <v>3136</v>
      </c>
      <c r="C327" s="1" t="s">
        <v>74</v>
      </c>
      <c r="D327" s="1" t="s">
        <v>74</v>
      </c>
      <c r="E327" s="1" t="s">
        <v>74</v>
      </c>
      <c r="F327" s="1" t="s">
        <v>3137</v>
      </c>
      <c r="G327" s="1" t="s">
        <v>74</v>
      </c>
      <c r="H327" s="1" t="s">
        <v>74</v>
      </c>
      <c r="I327" s="1" t="s">
        <v>3138</v>
      </c>
      <c r="J327" s="1" t="s">
        <v>456</v>
      </c>
      <c r="K327" s="1" t="s">
        <v>74</v>
      </c>
      <c r="L327" s="1" t="s">
        <v>74</v>
      </c>
      <c r="M327" s="1" t="s">
        <v>74</v>
      </c>
      <c r="N327" s="1" t="s">
        <v>74</v>
      </c>
      <c r="O327" s="1" t="s">
        <v>74</v>
      </c>
      <c r="P327" s="1" t="s">
        <v>74</v>
      </c>
      <c r="Q327" s="1" t="s">
        <v>74</v>
      </c>
      <c r="R327" s="1" t="s">
        <v>74</v>
      </c>
      <c r="S327" s="1" t="s">
        <v>74</v>
      </c>
      <c r="T327" s="1" t="s">
        <v>74</v>
      </c>
      <c r="U327" s="1" t="s">
        <v>74</v>
      </c>
      <c r="V327" s="1" t="s">
        <v>3139</v>
      </c>
      <c r="W327" s="1" t="s">
        <v>74</v>
      </c>
      <c r="X327" s="1" t="s">
        <v>74</v>
      </c>
      <c r="Y327" s="1" t="s">
        <v>74</v>
      </c>
      <c r="Z327" s="1" t="s">
        <v>74</v>
      </c>
      <c r="AA327" s="1" t="s">
        <v>3140</v>
      </c>
      <c r="AB327" s="1" t="s">
        <v>3141</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458</v>
      </c>
      <c r="AP327" s="1" t="s">
        <v>74</v>
      </c>
      <c r="AQ327" s="1" t="s">
        <v>74</v>
      </c>
      <c r="AR327" s="1" t="s">
        <v>74</v>
      </c>
      <c r="AS327" s="1" t="s">
        <v>74</v>
      </c>
      <c r="AT327" s="1" t="s">
        <v>3142</v>
      </c>
      <c r="AU327" s="1">
        <v>2020.0</v>
      </c>
      <c r="AV327" s="1">
        <v>11.0</v>
      </c>
      <c r="AW327" s="1" t="s">
        <v>74</v>
      </c>
      <c r="AX327" s="1" t="s">
        <v>74</v>
      </c>
      <c r="AY327" s="1" t="s">
        <v>74</v>
      </c>
      <c r="AZ327" s="1" t="s">
        <v>74</v>
      </c>
      <c r="BA327" s="1" t="s">
        <v>74</v>
      </c>
      <c r="BB327" s="1" t="s">
        <v>74</v>
      </c>
      <c r="BC327" s="1" t="s">
        <v>74</v>
      </c>
      <c r="BD327" s="1">
        <v>566.0</v>
      </c>
      <c r="BE327" s="1" t="s">
        <v>3143</v>
      </c>
      <c r="BF327" s="2" t="str">
        <f>HYPERLINK("http://dx.doi.org/10.3389/fphar.2020.00566","http://dx.doi.org/10.3389/fphar.2020.00566")</f>
        <v>http://dx.doi.org/10.3389/fphar.2020.00566</v>
      </c>
      <c r="BG327" s="1" t="s">
        <v>74</v>
      </c>
      <c r="BH327" s="1" t="s">
        <v>74</v>
      </c>
      <c r="BI327" s="1" t="s">
        <v>74</v>
      </c>
      <c r="BJ327" s="1" t="s">
        <v>74</v>
      </c>
      <c r="BK327" s="1" t="s">
        <v>74</v>
      </c>
      <c r="BL327" s="1" t="s">
        <v>74</v>
      </c>
      <c r="BM327" s="1" t="s">
        <v>74</v>
      </c>
      <c r="BN327" s="1">
        <v>3.2457607E7</v>
      </c>
      <c r="BO327" s="1" t="s">
        <v>74</v>
      </c>
      <c r="BP327" s="1" t="s">
        <v>74</v>
      </c>
      <c r="BQ327" s="1" t="s">
        <v>74</v>
      </c>
      <c r="BR327" s="1" t="s">
        <v>74</v>
      </c>
      <c r="BS327" s="1" t="s">
        <v>3144</v>
      </c>
      <c r="BT327" s="1" t="str">
        <f>HYPERLINK("https%3A%2F%2Fwww.webofscience.com%2Fwos%2Fwoscc%2Ffull-record%2FWOS:000536798300001","View Full Record in Web of Science")</f>
        <v>View Full Record in Web of Science</v>
      </c>
    </row>
    <row r="328" ht="12.75" customHeight="1">
      <c r="A328" s="1" t="s">
        <v>72</v>
      </c>
      <c r="B328" s="1" t="s">
        <v>3145</v>
      </c>
      <c r="C328" s="1" t="s">
        <v>74</v>
      </c>
      <c r="D328" s="1" t="s">
        <v>74</v>
      </c>
      <c r="E328" s="1" t="s">
        <v>74</v>
      </c>
      <c r="F328" s="1" t="s">
        <v>3146</v>
      </c>
      <c r="G328" s="1" t="s">
        <v>74</v>
      </c>
      <c r="H328" s="1" t="s">
        <v>74</v>
      </c>
      <c r="I328" s="1" t="s">
        <v>3147</v>
      </c>
      <c r="J328" s="1" t="s">
        <v>3148</v>
      </c>
      <c r="K328" s="1" t="s">
        <v>74</v>
      </c>
      <c r="L328" s="1" t="s">
        <v>74</v>
      </c>
      <c r="M328" s="1" t="s">
        <v>74</v>
      </c>
      <c r="N328" s="1" t="s">
        <v>74</v>
      </c>
      <c r="O328" s="1" t="s">
        <v>74</v>
      </c>
      <c r="P328" s="1" t="s">
        <v>74</v>
      </c>
      <c r="Q328" s="1" t="s">
        <v>74</v>
      </c>
      <c r="R328" s="1" t="s">
        <v>74</v>
      </c>
      <c r="S328" s="1" t="s">
        <v>74</v>
      </c>
      <c r="T328" s="1" t="s">
        <v>74</v>
      </c>
      <c r="U328" s="1" t="s">
        <v>74</v>
      </c>
      <c r="V328" s="1" t="s">
        <v>3149</v>
      </c>
      <c r="W328" s="1" t="s">
        <v>74</v>
      </c>
      <c r="X328" s="1" t="s">
        <v>74</v>
      </c>
      <c r="Y328" s="1" t="s">
        <v>74</v>
      </c>
      <c r="Z328" s="1" t="s">
        <v>74</v>
      </c>
      <c r="AA328" s="1" t="s">
        <v>74</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3150</v>
      </c>
      <c r="AP328" s="1" t="s">
        <v>3151</v>
      </c>
      <c r="AQ328" s="1" t="s">
        <v>74</v>
      </c>
      <c r="AR328" s="1" t="s">
        <v>74</v>
      </c>
      <c r="AS328" s="1" t="s">
        <v>74</v>
      </c>
      <c r="AT328" s="1" t="s">
        <v>74</v>
      </c>
      <c r="AU328" s="1">
        <v>2019.0</v>
      </c>
      <c r="AV328" s="1">
        <v>97.0</v>
      </c>
      <c r="AW328" s="1" t="s">
        <v>74</v>
      </c>
      <c r="AX328" s="1" t="s">
        <v>74</v>
      </c>
      <c r="AY328" s="1" t="s">
        <v>74</v>
      </c>
      <c r="AZ328" s="1" t="s">
        <v>74</v>
      </c>
      <c r="BA328" s="1" t="s">
        <v>74</v>
      </c>
      <c r="BB328" s="1">
        <v>1.0</v>
      </c>
      <c r="BC328" s="1">
        <v>12.0</v>
      </c>
      <c r="BD328" s="1" t="s">
        <v>74</v>
      </c>
      <c r="BE328" s="1" t="s">
        <v>3152</v>
      </c>
      <c r="BF328" s="2" t="str">
        <f>HYPERLINK("http://dx.doi.org/10.1016/j.ijer.2019.06.001","http://dx.doi.org/10.1016/j.ijer.2019.06.001")</f>
        <v>http://dx.doi.org/10.1016/j.ijer.2019.06.001</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3153</v>
      </c>
      <c r="BT328" s="1" t="str">
        <f>HYPERLINK("https%3A%2F%2Fwww.webofscience.com%2Fwos%2Fwoscc%2Ffull-record%2FWOS:000488997200001","View Full Record in Web of Science")</f>
        <v>View Full Record in Web of Science</v>
      </c>
    </row>
    <row r="329" ht="12.75" customHeight="1">
      <c r="A329" s="1" t="s">
        <v>72</v>
      </c>
      <c r="B329" s="1" t="s">
        <v>1464</v>
      </c>
      <c r="C329" s="1" t="s">
        <v>74</v>
      </c>
      <c r="D329" s="1" t="s">
        <v>74</v>
      </c>
      <c r="E329" s="1" t="s">
        <v>74</v>
      </c>
      <c r="F329" s="1" t="s">
        <v>1465</v>
      </c>
      <c r="G329" s="1" t="s">
        <v>74</v>
      </c>
      <c r="H329" s="1" t="s">
        <v>74</v>
      </c>
      <c r="I329" s="1" t="s">
        <v>3154</v>
      </c>
      <c r="J329" s="1" t="s">
        <v>3155</v>
      </c>
      <c r="K329" s="1" t="s">
        <v>74</v>
      </c>
      <c r="L329" s="1" t="s">
        <v>74</v>
      </c>
      <c r="M329" s="1" t="s">
        <v>74</v>
      </c>
      <c r="N329" s="1" t="s">
        <v>74</v>
      </c>
      <c r="O329" s="1" t="s">
        <v>74</v>
      </c>
      <c r="P329" s="1" t="s">
        <v>74</v>
      </c>
      <c r="Q329" s="1" t="s">
        <v>74</v>
      </c>
      <c r="R329" s="1" t="s">
        <v>74</v>
      </c>
      <c r="S329" s="1" t="s">
        <v>74</v>
      </c>
      <c r="T329" s="1" t="s">
        <v>74</v>
      </c>
      <c r="U329" s="1" t="s">
        <v>74</v>
      </c>
      <c r="V329" s="1" t="s">
        <v>3156</v>
      </c>
      <c r="W329" s="1" t="s">
        <v>74</v>
      </c>
      <c r="X329" s="1" t="s">
        <v>74</v>
      </c>
      <c r="Y329" s="1" t="s">
        <v>74</v>
      </c>
      <c r="Z329" s="1" t="s">
        <v>74</v>
      </c>
      <c r="AA329" s="1" t="s">
        <v>1468</v>
      </c>
      <c r="AB329" s="1" t="s">
        <v>1469</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3157</v>
      </c>
      <c r="AP329" s="1" t="s">
        <v>74</v>
      </c>
      <c r="AQ329" s="1" t="s">
        <v>74</v>
      </c>
      <c r="AR329" s="1" t="s">
        <v>74</v>
      </c>
      <c r="AS329" s="1" t="s">
        <v>74</v>
      </c>
      <c r="AT329" s="1" t="s">
        <v>82</v>
      </c>
      <c r="AU329" s="1">
        <v>2018.0</v>
      </c>
      <c r="AV329" s="1">
        <v>8.0</v>
      </c>
      <c r="AW329" s="1">
        <v>6.0</v>
      </c>
      <c r="AX329" s="1" t="s">
        <v>74</v>
      </c>
      <c r="AY329" s="1" t="s">
        <v>74</v>
      </c>
      <c r="AZ329" s="1" t="s">
        <v>74</v>
      </c>
      <c r="BA329" s="1" t="s">
        <v>74</v>
      </c>
      <c r="BB329" s="1" t="s">
        <v>74</v>
      </c>
      <c r="BC329" s="1" t="s">
        <v>74</v>
      </c>
      <c r="BD329" s="1" t="s">
        <v>3158</v>
      </c>
      <c r="BE329" s="1" t="s">
        <v>3159</v>
      </c>
      <c r="BF329" s="2" t="str">
        <f>HYPERLINK("http://dx.doi.org/10.1136/bmjopen-2017-020393","http://dx.doi.org/10.1136/bmjopen-2017-020393")</f>
        <v>http://dx.doi.org/10.1136/bmjopen-2017-020393</v>
      </c>
      <c r="BG329" s="1" t="s">
        <v>74</v>
      </c>
      <c r="BH329" s="1" t="s">
        <v>74</v>
      </c>
      <c r="BI329" s="1" t="s">
        <v>74</v>
      </c>
      <c r="BJ329" s="1" t="s">
        <v>74</v>
      </c>
      <c r="BK329" s="1" t="s">
        <v>74</v>
      </c>
      <c r="BL329" s="1" t="s">
        <v>74</v>
      </c>
      <c r="BM329" s="1" t="s">
        <v>74</v>
      </c>
      <c r="BN329" s="1">
        <v>2.9886445E7</v>
      </c>
      <c r="BO329" s="1" t="s">
        <v>74</v>
      </c>
      <c r="BP329" s="1" t="s">
        <v>74</v>
      </c>
      <c r="BQ329" s="1" t="s">
        <v>74</v>
      </c>
      <c r="BR329" s="1" t="s">
        <v>74</v>
      </c>
      <c r="BS329" s="1" t="s">
        <v>3160</v>
      </c>
      <c r="BT329" s="1" t="str">
        <f>HYPERLINK("https%3A%2F%2Fwww.webofscience.com%2Fwos%2Fwoscc%2Ffull-record%2FWOS:000435567900043","View Full Record in Web of Science")</f>
        <v>View Full Record in Web of Science</v>
      </c>
    </row>
    <row r="330" ht="12.75" customHeight="1">
      <c r="A330" s="1" t="s">
        <v>72</v>
      </c>
      <c r="B330" s="1" t="s">
        <v>3161</v>
      </c>
      <c r="C330" s="1" t="s">
        <v>74</v>
      </c>
      <c r="D330" s="1" t="s">
        <v>74</v>
      </c>
      <c r="E330" s="1" t="s">
        <v>74</v>
      </c>
      <c r="F330" s="1" t="s">
        <v>3162</v>
      </c>
      <c r="G330" s="1" t="s">
        <v>74</v>
      </c>
      <c r="H330" s="1" t="s">
        <v>74</v>
      </c>
      <c r="I330" s="1" t="s">
        <v>3163</v>
      </c>
      <c r="J330" s="1" t="s">
        <v>3164</v>
      </c>
      <c r="K330" s="1" t="s">
        <v>74</v>
      </c>
      <c r="L330" s="1" t="s">
        <v>74</v>
      </c>
      <c r="M330" s="1" t="s">
        <v>74</v>
      </c>
      <c r="N330" s="1" t="s">
        <v>74</v>
      </c>
      <c r="O330" s="1" t="s">
        <v>74</v>
      </c>
      <c r="P330" s="1" t="s">
        <v>74</v>
      </c>
      <c r="Q330" s="1" t="s">
        <v>74</v>
      </c>
      <c r="R330" s="1" t="s">
        <v>74</v>
      </c>
      <c r="S330" s="1" t="s">
        <v>74</v>
      </c>
      <c r="T330" s="1" t="s">
        <v>74</v>
      </c>
      <c r="U330" s="1" t="s">
        <v>74</v>
      </c>
      <c r="V330" s="1" t="s">
        <v>3165</v>
      </c>
      <c r="W330" s="1" t="s">
        <v>74</v>
      </c>
      <c r="X330" s="1" t="s">
        <v>74</v>
      </c>
      <c r="Y330" s="1" t="s">
        <v>74</v>
      </c>
      <c r="Z330" s="1" t="s">
        <v>74</v>
      </c>
      <c r="AA330" s="1" t="s">
        <v>3166</v>
      </c>
      <c r="AB330" s="1" t="s">
        <v>3167</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3168</v>
      </c>
      <c r="AP330" s="1" t="s">
        <v>3169</v>
      </c>
      <c r="AQ330" s="1" t="s">
        <v>74</v>
      </c>
      <c r="AR330" s="1" t="s">
        <v>74</v>
      </c>
      <c r="AS330" s="1" t="s">
        <v>74</v>
      </c>
      <c r="AT330" s="1" t="s">
        <v>3170</v>
      </c>
      <c r="AU330" s="1">
        <v>2018.0</v>
      </c>
      <c r="AV330" s="1">
        <v>91.0</v>
      </c>
      <c r="AW330" s="1" t="s">
        <v>74</v>
      </c>
      <c r="AX330" s="1" t="s">
        <v>74</v>
      </c>
      <c r="AY330" s="1" t="s">
        <v>74</v>
      </c>
      <c r="AZ330" s="1" t="s">
        <v>74</v>
      </c>
      <c r="BA330" s="1" t="s">
        <v>74</v>
      </c>
      <c r="BB330" s="1" t="s">
        <v>74</v>
      </c>
      <c r="BC330" s="1" t="s">
        <v>74</v>
      </c>
      <c r="BD330" s="1">
        <v>3.0</v>
      </c>
      <c r="BE330" s="1" t="s">
        <v>3171</v>
      </c>
      <c r="BF330" s="2" t="str">
        <f>HYPERLINK("http://dx.doi.org/10.1186/s40693-018-0073-x","http://dx.doi.org/10.1186/s40693-018-0073-x")</f>
        <v>http://dx.doi.org/10.1186/s40693-018-0073-x</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3172</v>
      </c>
      <c r="BT330" s="1" t="str">
        <f>HYPERLINK("https%3A%2F%2Fwww.webofscience.com%2Fwos%2Fwoscc%2Ffull-record%2FWOS:000429967400001","View Full Record in Web of Science")</f>
        <v>View Full Record in Web of Science</v>
      </c>
    </row>
    <row r="331" ht="12.75" customHeight="1">
      <c r="A331" s="1" t="s">
        <v>241</v>
      </c>
      <c r="B331" s="1" t="s">
        <v>3173</v>
      </c>
      <c r="C331" s="1" t="s">
        <v>74</v>
      </c>
      <c r="D331" s="1" t="s">
        <v>969</v>
      </c>
      <c r="E331" s="1" t="s">
        <v>74</v>
      </c>
      <c r="F331" s="1" t="s">
        <v>3174</v>
      </c>
      <c r="G331" s="1" t="s">
        <v>74</v>
      </c>
      <c r="H331" s="1" t="s">
        <v>74</v>
      </c>
      <c r="I331" s="1" t="s">
        <v>3175</v>
      </c>
      <c r="J331" s="1" t="s">
        <v>971</v>
      </c>
      <c r="K331" s="1" t="s">
        <v>74</v>
      </c>
      <c r="L331" s="1" t="s">
        <v>74</v>
      </c>
      <c r="M331" s="1" t="s">
        <v>74</v>
      </c>
      <c r="N331" s="1" t="s">
        <v>74</v>
      </c>
      <c r="O331" s="1" t="s">
        <v>972</v>
      </c>
      <c r="P331" s="1" t="s">
        <v>973</v>
      </c>
      <c r="Q331" s="1" t="s">
        <v>974</v>
      </c>
      <c r="R331" s="1" t="s">
        <v>975</v>
      </c>
      <c r="S331" s="1" t="s">
        <v>74</v>
      </c>
      <c r="T331" s="1" t="s">
        <v>74</v>
      </c>
      <c r="U331" s="1" t="s">
        <v>74</v>
      </c>
      <c r="V331" s="1" t="s">
        <v>3176</v>
      </c>
      <c r="W331" s="1" t="s">
        <v>74</v>
      </c>
      <c r="X331" s="1" t="s">
        <v>74</v>
      </c>
      <c r="Y331" s="1" t="s">
        <v>74</v>
      </c>
      <c r="Z331" s="1" t="s">
        <v>74</v>
      </c>
      <c r="AA331" s="1" t="s">
        <v>1171</v>
      </c>
      <c r="AB331" s="1" t="s">
        <v>1172</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74</v>
      </c>
      <c r="AP331" s="1" t="s">
        <v>74</v>
      </c>
      <c r="AQ331" s="1" t="s">
        <v>977</v>
      </c>
      <c r="AR331" s="1" t="s">
        <v>74</v>
      </c>
      <c r="AS331" s="1" t="s">
        <v>74</v>
      </c>
      <c r="AT331" s="1" t="s">
        <v>74</v>
      </c>
      <c r="AU331" s="1">
        <v>2018.0</v>
      </c>
      <c r="AV331" s="1" t="s">
        <v>74</v>
      </c>
      <c r="AW331" s="1" t="s">
        <v>74</v>
      </c>
      <c r="AX331" s="1" t="s">
        <v>74</v>
      </c>
      <c r="AY331" s="1" t="s">
        <v>74</v>
      </c>
      <c r="AZ331" s="1" t="s">
        <v>74</v>
      </c>
      <c r="BA331" s="1" t="s">
        <v>74</v>
      </c>
      <c r="BB331" s="1" t="s">
        <v>74</v>
      </c>
      <c r="BC331" s="1" t="s">
        <v>74</v>
      </c>
      <c r="BD331" s="1" t="s">
        <v>74</v>
      </c>
      <c r="BE331" s="1" t="s">
        <v>74</v>
      </c>
      <c r="BF331" s="1" t="s">
        <v>74</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3177</v>
      </c>
      <c r="BT331" s="1" t="str">
        <f>HYPERLINK("https%3A%2F%2Fwww.webofscience.com%2Fwos%2Fwoscc%2Ffull-record%2FWOS:000458417600067","View Full Record in Web of Science")</f>
        <v>View Full Record in Web of Science</v>
      </c>
    </row>
    <row r="332" ht="12.75" customHeight="1">
      <c r="A332" s="1" t="s">
        <v>72</v>
      </c>
      <c r="B332" s="1" t="s">
        <v>3178</v>
      </c>
      <c r="C332" s="1" t="s">
        <v>74</v>
      </c>
      <c r="D332" s="1" t="s">
        <v>74</v>
      </c>
      <c r="E332" s="1" t="s">
        <v>74</v>
      </c>
      <c r="F332" s="1" t="s">
        <v>3179</v>
      </c>
      <c r="G332" s="1" t="s">
        <v>74</v>
      </c>
      <c r="H332" s="1" t="s">
        <v>74</v>
      </c>
      <c r="I332" s="1" t="s">
        <v>3180</v>
      </c>
      <c r="J332" s="1" t="s">
        <v>3181</v>
      </c>
      <c r="K332" s="1" t="s">
        <v>74</v>
      </c>
      <c r="L332" s="1" t="s">
        <v>74</v>
      </c>
      <c r="M332" s="1" t="s">
        <v>74</v>
      </c>
      <c r="N332" s="1" t="s">
        <v>74</v>
      </c>
      <c r="O332" s="1" t="s">
        <v>74</v>
      </c>
      <c r="P332" s="1" t="s">
        <v>74</v>
      </c>
      <c r="Q332" s="1" t="s">
        <v>74</v>
      </c>
      <c r="R332" s="1" t="s">
        <v>74</v>
      </c>
      <c r="S332" s="1" t="s">
        <v>74</v>
      </c>
      <c r="T332" s="1" t="s">
        <v>74</v>
      </c>
      <c r="U332" s="1" t="s">
        <v>74</v>
      </c>
      <c r="V332" s="1" t="s">
        <v>3182</v>
      </c>
      <c r="W332" s="1" t="s">
        <v>74</v>
      </c>
      <c r="X332" s="1" t="s">
        <v>74</v>
      </c>
      <c r="Y332" s="1" t="s">
        <v>74</v>
      </c>
      <c r="Z332" s="1" t="s">
        <v>74</v>
      </c>
      <c r="AA332" s="1" t="s">
        <v>3183</v>
      </c>
      <c r="AB332" s="1" t="s">
        <v>3184</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3185</v>
      </c>
      <c r="AP332" s="1" t="s">
        <v>74</v>
      </c>
      <c r="AQ332" s="1" t="s">
        <v>74</v>
      </c>
      <c r="AR332" s="1" t="s">
        <v>74</v>
      </c>
      <c r="AS332" s="1" t="s">
        <v>74</v>
      </c>
      <c r="AT332" s="1" t="s">
        <v>106</v>
      </c>
      <c r="AU332" s="1">
        <v>2016.0</v>
      </c>
      <c r="AV332" s="1">
        <v>23.0</v>
      </c>
      <c r="AW332" s="1" t="s">
        <v>74</v>
      </c>
      <c r="AX332" s="1" t="s">
        <v>74</v>
      </c>
      <c r="AY332" s="1" t="s">
        <v>74</v>
      </c>
      <c r="AZ332" s="1" t="s">
        <v>74</v>
      </c>
      <c r="BA332" s="1" t="s">
        <v>74</v>
      </c>
      <c r="BB332" s="1">
        <v>37.0</v>
      </c>
      <c r="BC332" s="1">
        <v>43.0</v>
      </c>
      <c r="BD332" s="1" t="s">
        <v>74</v>
      </c>
      <c r="BE332" s="1" t="s">
        <v>3186</v>
      </c>
      <c r="BF332" s="2" t="str">
        <f>HYPERLINK("http://dx.doi.org/10.1016/j.ejbt.2016.07.005","http://dx.doi.org/10.1016/j.ejbt.2016.07.005")</f>
        <v>http://dx.doi.org/10.1016/j.ejbt.2016.07.005</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3187</v>
      </c>
      <c r="BT332" s="1" t="str">
        <f>HYPERLINK("https%3A%2F%2Fwww.webofscience.com%2Fwos%2Fwoscc%2Ffull-record%2FWOS:000389595000006","View Full Record in Web of Science")</f>
        <v>View Full Record in Web of Science</v>
      </c>
    </row>
    <row r="333" ht="12.75" customHeight="1">
      <c r="A333" s="1" t="s">
        <v>72</v>
      </c>
      <c r="B333" s="1" t="s">
        <v>3188</v>
      </c>
      <c r="C333" s="1" t="s">
        <v>74</v>
      </c>
      <c r="D333" s="1" t="s">
        <v>74</v>
      </c>
      <c r="E333" s="1" t="s">
        <v>74</v>
      </c>
      <c r="F333" s="1" t="s">
        <v>3189</v>
      </c>
      <c r="G333" s="1" t="s">
        <v>74</v>
      </c>
      <c r="H333" s="1" t="s">
        <v>74</v>
      </c>
      <c r="I333" s="1" t="s">
        <v>3190</v>
      </c>
      <c r="J333" s="1" t="s">
        <v>3191</v>
      </c>
      <c r="K333" s="1" t="s">
        <v>74</v>
      </c>
      <c r="L333" s="1" t="s">
        <v>74</v>
      </c>
      <c r="M333" s="1" t="s">
        <v>74</v>
      </c>
      <c r="N333" s="1" t="s">
        <v>74</v>
      </c>
      <c r="O333" s="1" t="s">
        <v>74</v>
      </c>
      <c r="P333" s="1" t="s">
        <v>74</v>
      </c>
      <c r="Q333" s="1" t="s">
        <v>74</v>
      </c>
      <c r="R333" s="1" t="s">
        <v>74</v>
      </c>
      <c r="S333" s="1" t="s">
        <v>74</v>
      </c>
      <c r="T333" s="1" t="s">
        <v>74</v>
      </c>
      <c r="U333" s="1" t="s">
        <v>74</v>
      </c>
      <c r="V333" s="1" t="s">
        <v>3192</v>
      </c>
      <c r="W333" s="1" t="s">
        <v>74</v>
      </c>
      <c r="X333" s="1" t="s">
        <v>74</v>
      </c>
      <c r="Y333" s="1" t="s">
        <v>74</v>
      </c>
      <c r="Z333" s="1" t="s">
        <v>74</v>
      </c>
      <c r="AA333" s="1" t="s">
        <v>3193</v>
      </c>
      <c r="AB333" s="1" t="s">
        <v>3194</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3195</v>
      </c>
      <c r="AP333" s="1" t="s">
        <v>3196</v>
      </c>
      <c r="AQ333" s="1" t="s">
        <v>74</v>
      </c>
      <c r="AR333" s="1" t="s">
        <v>74</v>
      </c>
      <c r="AS333" s="1" t="s">
        <v>74</v>
      </c>
      <c r="AT333" s="1" t="s">
        <v>423</v>
      </c>
      <c r="AU333" s="1">
        <v>2015.0</v>
      </c>
      <c r="AV333" s="1">
        <v>27.0</v>
      </c>
      <c r="AW333" s="1">
        <v>2.0</v>
      </c>
      <c r="AX333" s="1" t="s">
        <v>74</v>
      </c>
      <c r="AY333" s="1" t="s">
        <v>74</v>
      </c>
      <c r="AZ333" s="1" t="s">
        <v>74</v>
      </c>
      <c r="BA333" s="1" t="s">
        <v>74</v>
      </c>
      <c r="BB333" s="1">
        <v>219.0</v>
      </c>
      <c r="BC333" s="1">
        <v>231.0</v>
      </c>
      <c r="BD333" s="1" t="s">
        <v>74</v>
      </c>
      <c r="BE333" s="1" t="s">
        <v>3197</v>
      </c>
      <c r="BF333" s="2" t="str">
        <f>HYPERLINK("http://dx.doi.org/10.1216/JIE-2015-27-2-219","http://dx.doi.org/10.1216/JIE-2015-27-2-219")</f>
        <v>http://dx.doi.org/10.1216/JIE-2015-27-2-219</v>
      </c>
      <c r="BG333" s="1" t="s">
        <v>74</v>
      </c>
      <c r="BH333" s="1" t="s">
        <v>74</v>
      </c>
      <c r="BI333" s="1" t="s">
        <v>74</v>
      </c>
      <c r="BJ333" s="1" t="s">
        <v>74</v>
      </c>
      <c r="BK333" s="1" t="s">
        <v>74</v>
      </c>
      <c r="BL333" s="1" t="s">
        <v>74</v>
      </c>
      <c r="BM333" s="1" t="s">
        <v>74</v>
      </c>
      <c r="BN333" s="1" t="s">
        <v>74</v>
      </c>
      <c r="BO333" s="1" t="s">
        <v>74</v>
      </c>
      <c r="BP333" s="1" t="s">
        <v>74</v>
      </c>
      <c r="BQ333" s="1" t="s">
        <v>74</v>
      </c>
      <c r="BR333" s="1" t="s">
        <v>74</v>
      </c>
      <c r="BS333" s="1" t="s">
        <v>3198</v>
      </c>
      <c r="BT333" s="1" t="str">
        <f>HYPERLINK("https%3A%2F%2Fwww.webofscience.com%2Fwos%2Fwoscc%2Ffull-record%2FWOS:000365155700004","View Full Record in Web of Science")</f>
        <v>View Full Record in Web of Science</v>
      </c>
    </row>
    <row r="334" ht="12.75" customHeight="1">
      <c r="A334" s="1" t="s">
        <v>72</v>
      </c>
      <c r="B334" s="1" t="s">
        <v>3199</v>
      </c>
      <c r="C334" s="1" t="s">
        <v>74</v>
      </c>
      <c r="D334" s="1" t="s">
        <v>74</v>
      </c>
      <c r="E334" s="1" t="s">
        <v>74</v>
      </c>
      <c r="F334" s="1" t="s">
        <v>3200</v>
      </c>
      <c r="G334" s="1" t="s">
        <v>74</v>
      </c>
      <c r="H334" s="1" t="s">
        <v>74</v>
      </c>
      <c r="I334" s="1" t="s">
        <v>3201</v>
      </c>
      <c r="J334" s="1" t="s">
        <v>3202</v>
      </c>
      <c r="K334" s="1" t="s">
        <v>74</v>
      </c>
      <c r="L334" s="1" t="s">
        <v>74</v>
      </c>
      <c r="M334" s="1" t="s">
        <v>74</v>
      </c>
      <c r="N334" s="1" t="s">
        <v>74</v>
      </c>
      <c r="O334" s="1" t="s">
        <v>74</v>
      </c>
      <c r="P334" s="1" t="s">
        <v>74</v>
      </c>
      <c r="Q334" s="1" t="s">
        <v>74</v>
      </c>
      <c r="R334" s="1" t="s">
        <v>74</v>
      </c>
      <c r="S334" s="1" t="s">
        <v>74</v>
      </c>
      <c r="T334" s="1" t="s">
        <v>74</v>
      </c>
      <c r="U334" s="1" t="s">
        <v>74</v>
      </c>
      <c r="V334" s="1" t="s">
        <v>3203</v>
      </c>
      <c r="W334" s="1" t="s">
        <v>74</v>
      </c>
      <c r="X334" s="1" t="s">
        <v>74</v>
      </c>
      <c r="Y334" s="1" t="s">
        <v>74</v>
      </c>
      <c r="Z334" s="1" t="s">
        <v>74</v>
      </c>
      <c r="AA334" s="1" t="s">
        <v>3204</v>
      </c>
      <c r="AB334" s="1" t="s">
        <v>3205</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3206</v>
      </c>
      <c r="AP334" s="1" t="s">
        <v>74</v>
      </c>
      <c r="AQ334" s="1" t="s">
        <v>74</v>
      </c>
      <c r="AR334" s="1" t="s">
        <v>74</v>
      </c>
      <c r="AS334" s="1" t="s">
        <v>74</v>
      </c>
      <c r="AT334" s="1" t="s">
        <v>2836</v>
      </c>
      <c r="AU334" s="1">
        <v>2014.0</v>
      </c>
      <c r="AV334" s="1" t="s">
        <v>74</v>
      </c>
      <c r="AW334" s="1" t="s">
        <v>74</v>
      </c>
      <c r="AX334" s="1" t="s">
        <v>74</v>
      </c>
      <c r="AY334" s="1" t="s">
        <v>74</v>
      </c>
      <c r="AZ334" s="1" t="s">
        <v>74</v>
      </c>
      <c r="BA334" s="1" t="s">
        <v>74</v>
      </c>
      <c r="BB334" s="1" t="s">
        <v>74</v>
      </c>
      <c r="BC334" s="1" t="s">
        <v>74</v>
      </c>
      <c r="BD334" s="1" t="s">
        <v>74</v>
      </c>
      <c r="BE334" s="1" t="s">
        <v>74</v>
      </c>
      <c r="BF334" s="1" t="s">
        <v>74</v>
      </c>
      <c r="BG334" s="1" t="s">
        <v>74</v>
      </c>
      <c r="BH334" s="1" t="s">
        <v>74</v>
      </c>
      <c r="BI334" s="1" t="s">
        <v>74</v>
      </c>
      <c r="BJ334" s="1" t="s">
        <v>74</v>
      </c>
      <c r="BK334" s="1" t="s">
        <v>74</v>
      </c>
      <c r="BL334" s="1" t="s">
        <v>74</v>
      </c>
      <c r="BM334" s="1" t="s">
        <v>74</v>
      </c>
      <c r="BN334" s="1" t="s">
        <v>74</v>
      </c>
      <c r="BO334" s="1" t="s">
        <v>74</v>
      </c>
      <c r="BP334" s="1" t="s">
        <v>74</v>
      </c>
      <c r="BQ334" s="1" t="s">
        <v>74</v>
      </c>
      <c r="BR334" s="1" t="s">
        <v>74</v>
      </c>
      <c r="BS334" s="1" t="s">
        <v>3207</v>
      </c>
      <c r="BT334" s="1" t="str">
        <f>HYPERLINK("https%3A%2F%2Fwww.webofscience.com%2Fwos%2Fwoscc%2Ffull-record%2FWOS:000333261400002","View Full Record in Web of Science")</f>
        <v>View Full Record in Web of Science</v>
      </c>
    </row>
    <row r="335" ht="12.75" customHeight="1">
      <c r="A335" s="1" t="s">
        <v>72</v>
      </c>
      <c r="B335" s="1" t="s">
        <v>3208</v>
      </c>
      <c r="C335" s="1" t="s">
        <v>74</v>
      </c>
      <c r="D335" s="1" t="s">
        <v>74</v>
      </c>
      <c r="E335" s="1" t="s">
        <v>74</v>
      </c>
      <c r="F335" s="1" t="s">
        <v>3209</v>
      </c>
      <c r="G335" s="1" t="s">
        <v>74</v>
      </c>
      <c r="H335" s="1" t="s">
        <v>74</v>
      </c>
      <c r="I335" s="1" t="s">
        <v>3210</v>
      </c>
      <c r="J335" s="1" t="s">
        <v>3211</v>
      </c>
      <c r="K335" s="1" t="s">
        <v>74</v>
      </c>
      <c r="L335" s="1" t="s">
        <v>74</v>
      </c>
      <c r="M335" s="1" t="s">
        <v>74</v>
      </c>
      <c r="N335" s="1" t="s">
        <v>74</v>
      </c>
      <c r="O335" s="1" t="s">
        <v>74</v>
      </c>
      <c r="P335" s="1" t="s">
        <v>74</v>
      </c>
      <c r="Q335" s="1" t="s">
        <v>74</v>
      </c>
      <c r="R335" s="1" t="s">
        <v>74</v>
      </c>
      <c r="S335" s="1" t="s">
        <v>74</v>
      </c>
      <c r="T335" s="1" t="s">
        <v>74</v>
      </c>
      <c r="U335" s="1" t="s">
        <v>74</v>
      </c>
      <c r="V335" s="1" t="s">
        <v>3212</v>
      </c>
      <c r="W335" s="1" t="s">
        <v>74</v>
      </c>
      <c r="X335" s="1" t="s">
        <v>74</v>
      </c>
      <c r="Y335" s="1" t="s">
        <v>74</v>
      </c>
      <c r="Z335" s="1" t="s">
        <v>74</v>
      </c>
      <c r="AA335" s="1" t="s">
        <v>3213</v>
      </c>
      <c r="AB335" s="1" t="s">
        <v>74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3214</v>
      </c>
      <c r="AP335" s="1" t="s">
        <v>3215</v>
      </c>
      <c r="AQ335" s="1" t="s">
        <v>74</v>
      </c>
      <c r="AR335" s="1" t="s">
        <v>74</v>
      </c>
      <c r="AS335" s="1" t="s">
        <v>74</v>
      </c>
      <c r="AT335" s="1" t="s">
        <v>82</v>
      </c>
      <c r="AU335" s="1">
        <v>2013.0</v>
      </c>
      <c r="AV335" s="1">
        <v>192.0</v>
      </c>
      <c r="AW335" s="1">
        <v>3.0</v>
      </c>
      <c r="AX335" s="1" t="s">
        <v>74</v>
      </c>
      <c r="AY335" s="1" t="s">
        <v>74</v>
      </c>
      <c r="AZ335" s="1" t="s">
        <v>74</v>
      </c>
      <c r="BA335" s="1" t="s">
        <v>74</v>
      </c>
      <c r="BB335" s="1">
        <v>393.0</v>
      </c>
      <c r="BC335" s="1">
        <v>405.0</v>
      </c>
      <c r="BD335" s="1" t="s">
        <v>74</v>
      </c>
      <c r="BE335" s="1" t="s">
        <v>3216</v>
      </c>
      <c r="BF335" s="2" t="str">
        <f>HYPERLINK("http://dx.doi.org/10.1007/s10231-011-0229-7","http://dx.doi.org/10.1007/s10231-011-0229-7")</f>
        <v>http://dx.doi.org/10.1007/s10231-011-0229-7</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3217</v>
      </c>
      <c r="BT335" s="1" t="str">
        <f>HYPERLINK("https%3A%2F%2Fwww.webofscience.com%2Fwos%2Fwoscc%2Ffull-record%2FWOS:000319609000004","View Full Record in Web of Science")</f>
        <v>View Full Record in Web of Science</v>
      </c>
    </row>
    <row r="336" ht="12.75" customHeight="1">
      <c r="A336" s="1" t="s">
        <v>72</v>
      </c>
      <c r="B336" s="1" t="s">
        <v>3218</v>
      </c>
      <c r="C336" s="1" t="s">
        <v>74</v>
      </c>
      <c r="D336" s="1" t="s">
        <v>74</v>
      </c>
      <c r="E336" s="1" t="s">
        <v>74</v>
      </c>
      <c r="F336" s="1" t="s">
        <v>3219</v>
      </c>
      <c r="G336" s="1" t="s">
        <v>74</v>
      </c>
      <c r="H336" s="1" t="s">
        <v>74</v>
      </c>
      <c r="I336" s="1" t="s">
        <v>3220</v>
      </c>
      <c r="J336" s="1" t="s">
        <v>1847</v>
      </c>
      <c r="K336" s="1" t="s">
        <v>74</v>
      </c>
      <c r="L336" s="1" t="s">
        <v>74</v>
      </c>
      <c r="M336" s="1" t="s">
        <v>74</v>
      </c>
      <c r="N336" s="1" t="s">
        <v>74</v>
      </c>
      <c r="O336" s="1" t="s">
        <v>74</v>
      </c>
      <c r="P336" s="1" t="s">
        <v>74</v>
      </c>
      <c r="Q336" s="1" t="s">
        <v>74</v>
      </c>
      <c r="R336" s="1" t="s">
        <v>74</v>
      </c>
      <c r="S336" s="1" t="s">
        <v>74</v>
      </c>
      <c r="T336" s="1" t="s">
        <v>74</v>
      </c>
      <c r="U336" s="1" t="s">
        <v>74</v>
      </c>
      <c r="V336" s="1" t="s">
        <v>74</v>
      </c>
      <c r="W336" s="1" t="s">
        <v>74</v>
      </c>
      <c r="X336" s="1" t="s">
        <v>74</v>
      </c>
      <c r="Y336" s="1" t="s">
        <v>74</v>
      </c>
      <c r="Z336" s="1" t="s">
        <v>74</v>
      </c>
      <c r="AA336" s="1" t="s">
        <v>3221</v>
      </c>
      <c r="AB336" s="1" t="s">
        <v>3222</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1848</v>
      </c>
      <c r="AP336" s="1" t="s">
        <v>74</v>
      </c>
      <c r="AQ336" s="1" t="s">
        <v>74</v>
      </c>
      <c r="AR336" s="1" t="s">
        <v>74</v>
      </c>
      <c r="AS336" s="1" t="s">
        <v>74</v>
      </c>
      <c r="AT336" s="1" t="s">
        <v>82</v>
      </c>
      <c r="AU336" s="1">
        <v>2013.0</v>
      </c>
      <c r="AV336" s="1">
        <v>34.0</v>
      </c>
      <c r="AW336" s="1">
        <v>6.0</v>
      </c>
      <c r="AX336" s="1" t="s">
        <v>74</v>
      </c>
      <c r="AY336" s="1" t="s">
        <v>74</v>
      </c>
      <c r="AZ336" s="1" t="s">
        <v>74</v>
      </c>
      <c r="BA336" s="1" t="s">
        <v>74</v>
      </c>
      <c r="BB336" s="1">
        <v>1725.0</v>
      </c>
      <c r="BC336" s="1">
        <v>1725.0</v>
      </c>
      <c r="BD336" s="1" t="s">
        <v>74</v>
      </c>
      <c r="BE336" s="1" t="s">
        <v>3223</v>
      </c>
      <c r="BF336" s="2" t="str">
        <f>HYPERLINK("http://dx.doi.org/10.1016/j.fsi.2013.03.272","http://dx.doi.org/10.1016/j.fsi.2013.03.272")</f>
        <v>http://dx.doi.org/10.1016/j.fsi.2013.03.272</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3224</v>
      </c>
      <c r="BT336" s="1" t="str">
        <f>HYPERLINK("https%3A%2F%2Fwww.webofscience.com%2Fwos%2Fwoscc%2Ffull-record%2FWOS:000319646100295","View Full Record in Web of Science")</f>
        <v>View Full Record in Web of Science</v>
      </c>
    </row>
    <row r="337" ht="12.75" customHeight="1">
      <c r="A337" s="1" t="s">
        <v>72</v>
      </c>
      <c r="B337" s="1" t="s">
        <v>3225</v>
      </c>
      <c r="C337" s="1" t="s">
        <v>74</v>
      </c>
      <c r="D337" s="1" t="s">
        <v>74</v>
      </c>
      <c r="E337" s="1" t="s">
        <v>74</v>
      </c>
      <c r="F337" s="1" t="s">
        <v>3226</v>
      </c>
      <c r="G337" s="1" t="s">
        <v>74</v>
      </c>
      <c r="H337" s="1" t="s">
        <v>74</v>
      </c>
      <c r="I337" s="1" t="s">
        <v>3227</v>
      </c>
      <c r="J337" s="1" t="s">
        <v>3228</v>
      </c>
      <c r="K337" s="1" t="s">
        <v>74</v>
      </c>
      <c r="L337" s="1" t="s">
        <v>74</v>
      </c>
      <c r="M337" s="1" t="s">
        <v>74</v>
      </c>
      <c r="N337" s="1" t="s">
        <v>74</v>
      </c>
      <c r="O337" s="1" t="s">
        <v>74</v>
      </c>
      <c r="P337" s="1" t="s">
        <v>74</v>
      </c>
      <c r="Q337" s="1" t="s">
        <v>74</v>
      </c>
      <c r="R337" s="1" t="s">
        <v>74</v>
      </c>
      <c r="S337" s="1" t="s">
        <v>74</v>
      </c>
      <c r="T337" s="1" t="s">
        <v>74</v>
      </c>
      <c r="U337" s="1" t="s">
        <v>74</v>
      </c>
      <c r="V337" s="1" t="s">
        <v>3229</v>
      </c>
      <c r="W337" s="1" t="s">
        <v>74</v>
      </c>
      <c r="X337" s="1" t="s">
        <v>74</v>
      </c>
      <c r="Y337" s="1" t="s">
        <v>74</v>
      </c>
      <c r="Z337" s="1" t="s">
        <v>74</v>
      </c>
      <c r="AA337" s="1" t="s">
        <v>983</v>
      </c>
      <c r="AB337" s="1" t="s">
        <v>74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3230</v>
      </c>
      <c r="AP337" s="1" t="s">
        <v>3231</v>
      </c>
      <c r="AQ337" s="1" t="s">
        <v>74</v>
      </c>
      <c r="AR337" s="1" t="s">
        <v>74</v>
      </c>
      <c r="AS337" s="1" t="s">
        <v>74</v>
      </c>
      <c r="AT337" s="1" t="s">
        <v>183</v>
      </c>
      <c r="AU337" s="1">
        <v>2013.0</v>
      </c>
      <c r="AV337" s="1">
        <v>48.0</v>
      </c>
      <c r="AW337" s="1">
        <v>5.0</v>
      </c>
      <c r="AX337" s="1" t="s">
        <v>74</v>
      </c>
      <c r="AY337" s="1" t="s">
        <v>74</v>
      </c>
      <c r="AZ337" s="1" t="s">
        <v>74</v>
      </c>
      <c r="BA337" s="1" t="s">
        <v>74</v>
      </c>
      <c r="BB337" s="1">
        <v>527.0</v>
      </c>
      <c r="BC337" s="1">
        <v>533.0</v>
      </c>
      <c r="BD337" s="1" t="s">
        <v>74</v>
      </c>
      <c r="BE337" s="1" t="s">
        <v>3232</v>
      </c>
      <c r="BF337" s="2" t="str">
        <f>HYPERLINK("http://dx.doi.org/10.1007/s11745-013-3771-9","http://dx.doi.org/10.1007/s11745-013-3771-9")</f>
        <v>http://dx.doi.org/10.1007/s11745-013-3771-9</v>
      </c>
      <c r="BG337" s="1" t="s">
        <v>74</v>
      </c>
      <c r="BH337" s="1" t="s">
        <v>74</v>
      </c>
      <c r="BI337" s="1" t="s">
        <v>74</v>
      </c>
      <c r="BJ337" s="1" t="s">
        <v>74</v>
      </c>
      <c r="BK337" s="1" t="s">
        <v>74</v>
      </c>
      <c r="BL337" s="1" t="s">
        <v>74</v>
      </c>
      <c r="BM337" s="1" t="s">
        <v>74</v>
      </c>
      <c r="BN337" s="1">
        <v>2.3436021E7</v>
      </c>
      <c r="BO337" s="1" t="s">
        <v>74</v>
      </c>
      <c r="BP337" s="1" t="s">
        <v>74</v>
      </c>
      <c r="BQ337" s="1" t="s">
        <v>74</v>
      </c>
      <c r="BR337" s="1" t="s">
        <v>74</v>
      </c>
      <c r="BS337" s="1" t="s">
        <v>3233</v>
      </c>
      <c r="BT337" s="1" t="str">
        <f>HYPERLINK("https%3A%2F%2Fwww.webofscience.com%2Fwos%2Fwoscc%2Ffull-record%2FWOS:000318304500010","View Full Record in Web of Science")</f>
        <v>View Full Record in Web of Science</v>
      </c>
    </row>
    <row r="338" ht="12.75" customHeight="1">
      <c r="A338" s="1" t="s">
        <v>72</v>
      </c>
      <c r="B338" s="1" t="s">
        <v>3234</v>
      </c>
      <c r="C338" s="1" t="s">
        <v>74</v>
      </c>
      <c r="D338" s="1" t="s">
        <v>74</v>
      </c>
      <c r="E338" s="1" t="s">
        <v>74</v>
      </c>
      <c r="F338" s="1" t="s">
        <v>3235</v>
      </c>
      <c r="G338" s="1" t="s">
        <v>74</v>
      </c>
      <c r="H338" s="1" t="s">
        <v>74</v>
      </c>
      <c r="I338" s="1" t="s">
        <v>3236</v>
      </c>
      <c r="J338" s="1" t="s">
        <v>3237</v>
      </c>
      <c r="K338" s="1" t="s">
        <v>74</v>
      </c>
      <c r="L338" s="1" t="s">
        <v>74</v>
      </c>
      <c r="M338" s="1" t="s">
        <v>74</v>
      </c>
      <c r="N338" s="1" t="s">
        <v>74</v>
      </c>
      <c r="O338" s="1" t="s">
        <v>74</v>
      </c>
      <c r="P338" s="1" t="s">
        <v>74</v>
      </c>
      <c r="Q338" s="1" t="s">
        <v>74</v>
      </c>
      <c r="R338" s="1" t="s">
        <v>74</v>
      </c>
      <c r="S338" s="1" t="s">
        <v>74</v>
      </c>
      <c r="T338" s="1" t="s">
        <v>74</v>
      </c>
      <c r="U338" s="1" t="s">
        <v>74</v>
      </c>
      <c r="V338" s="1" t="s">
        <v>74</v>
      </c>
      <c r="W338" s="1" t="s">
        <v>74</v>
      </c>
      <c r="X338" s="1" t="s">
        <v>74</v>
      </c>
      <c r="Y338" s="1" t="s">
        <v>74</v>
      </c>
      <c r="Z338" s="1" t="s">
        <v>74</v>
      </c>
      <c r="AA338" s="1" t="s">
        <v>74</v>
      </c>
      <c r="AB338" s="1" t="s">
        <v>74</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3238</v>
      </c>
      <c r="AP338" s="1" t="s">
        <v>74</v>
      </c>
      <c r="AQ338" s="1" t="s">
        <v>74</v>
      </c>
      <c r="AR338" s="1" t="s">
        <v>74</v>
      </c>
      <c r="AS338" s="1" t="s">
        <v>74</v>
      </c>
      <c r="AT338" s="1" t="s">
        <v>160</v>
      </c>
      <c r="AU338" s="1">
        <v>2012.0</v>
      </c>
      <c r="AV338" s="1">
        <v>86.0</v>
      </c>
      <c r="AW338" s="1">
        <v>6.0</v>
      </c>
      <c r="AX338" s="1" t="s">
        <v>74</v>
      </c>
      <c r="AY338" s="1" t="s">
        <v>74</v>
      </c>
      <c r="AZ338" s="1" t="s">
        <v>74</v>
      </c>
      <c r="BA338" s="1" t="s">
        <v>74</v>
      </c>
      <c r="BB338" s="1">
        <v>771.0</v>
      </c>
      <c r="BC338" s="1">
        <v>772.0</v>
      </c>
      <c r="BD338" s="1" t="s">
        <v>74</v>
      </c>
      <c r="BE338" s="1" t="s">
        <v>3239</v>
      </c>
      <c r="BF338" s="2" t="str">
        <f>HYPERLINK("http://dx.doi.org/10.1016/j.contraception.2012.03.007","http://dx.doi.org/10.1016/j.contraception.2012.03.007")</f>
        <v>http://dx.doi.org/10.1016/j.contraception.2012.03.007</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3240</v>
      </c>
      <c r="BT338" s="1" t="str">
        <f>HYPERLINK("https%3A%2F%2Fwww.webofscience.com%2Fwos%2Fwoscc%2Ffull-record%2FWOS:000311195700027","View Full Record in Web of Science")</f>
        <v>View Full Record in Web of Science</v>
      </c>
    </row>
    <row r="339" ht="12.75" customHeight="1">
      <c r="A339" s="1" t="s">
        <v>72</v>
      </c>
      <c r="B339" s="1" t="s">
        <v>2001</v>
      </c>
      <c r="C339" s="1" t="s">
        <v>74</v>
      </c>
      <c r="D339" s="1" t="s">
        <v>74</v>
      </c>
      <c r="E339" s="1" t="s">
        <v>74</v>
      </c>
      <c r="F339" s="1" t="s">
        <v>2002</v>
      </c>
      <c r="G339" s="1" t="s">
        <v>74</v>
      </c>
      <c r="H339" s="1" t="s">
        <v>74</v>
      </c>
      <c r="I339" s="1" t="s">
        <v>3241</v>
      </c>
      <c r="J339" s="1" t="s">
        <v>2677</v>
      </c>
      <c r="K339" s="1" t="s">
        <v>74</v>
      </c>
      <c r="L339" s="1" t="s">
        <v>74</v>
      </c>
      <c r="M339" s="1" t="s">
        <v>74</v>
      </c>
      <c r="N339" s="1" t="s">
        <v>74</v>
      </c>
      <c r="O339" s="1" t="s">
        <v>74</v>
      </c>
      <c r="P339" s="1" t="s">
        <v>74</v>
      </c>
      <c r="Q339" s="1" t="s">
        <v>74</v>
      </c>
      <c r="R339" s="1" t="s">
        <v>74</v>
      </c>
      <c r="S339" s="1" t="s">
        <v>74</v>
      </c>
      <c r="T339" s="1" t="s">
        <v>74</v>
      </c>
      <c r="U339" s="1" t="s">
        <v>74</v>
      </c>
      <c r="V339" s="1" t="s">
        <v>3242</v>
      </c>
      <c r="W339" s="1" t="s">
        <v>74</v>
      </c>
      <c r="X339" s="1" t="s">
        <v>74</v>
      </c>
      <c r="Y339" s="1" t="s">
        <v>74</v>
      </c>
      <c r="Z339" s="1" t="s">
        <v>74</v>
      </c>
      <c r="AA339" s="1" t="s">
        <v>2006</v>
      </c>
      <c r="AB339" s="1" t="s">
        <v>2007</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3243</v>
      </c>
      <c r="AP339" s="1" t="s">
        <v>3244</v>
      </c>
      <c r="AQ339" s="1" t="s">
        <v>74</v>
      </c>
      <c r="AR339" s="1" t="s">
        <v>74</v>
      </c>
      <c r="AS339" s="1" t="s">
        <v>74</v>
      </c>
      <c r="AT339" s="1" t="s">
        <v>3245</v>
      </c>
      <c r="AU339" s="1">
        <v>2012.0</v>
      </c>
      <c r="AV339" s="1">
        <v>86.0</v>
      </c>
      <c r="AW339" s="1">
        <v>8.0</v>
      </c>
      <c r="AX339" s="1" t="s">
        <v>74</v>
      </c>
      <c r="AY339" s="1" t="s">
        <v>74</v>
      </c>
      <c r="AZ339" s="1" t="s">
        <v>74</v>
      </c>
      <c r="BA339" s="1" t="s">
        <v>74</v>
      </c>
      <c r="BB339" s="1" t="s">
        <v>74</v>
      </c>
      <c r="BC339" s="1" t="s">
        <v>74</v>
      </c>
      <c r="BD339" s="1">
        <v>85028.0</v>
      </c>
      <c r="BE339" s="1" t="s">
        <v>3246</v>
      </c>
      <c r="BF339" s="2" t="str">
        <f>HYPERLINK("http://dx.doi.org/10.1103/PhysRevD.86.085028","http://dx.doi.org/10.1103/PhysRevD.86.085028")</f>
        <v>http://dx.doi.org/10.1103/PhysRevD.86.085028</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3247</v>
      </c>
      <c r="BT339" s="1" t="str">
        <f>HYPERLINK("https%3A%2F%2Fwww.webofscience.com%2Fwos%2Fwoscc%2Ffull-record%2FWOS:000309859300004","View Full Record in Web of Science")</f>
        <v>View Full Record in Web of Science</v>
      </c>
    </row>
    <row r="340" ht="12.75" customHeight="1">
      <c r="A340" s="1" t="s">
        <v>72</v>
      </c>
      <c r="B340" s="1" t="s">
        <v>3248</v>
      </c>
      <c r="C340" s="1" t="s">
        <v>74</v>
      </c>
      <c r="D340" s="1" t="s">
        <v>74</v>
      </c>
      <c r="E340" s="1" t="s">
        <v>74</v>
      </c>
      <c r="F340" s="1" t="s">
        <v>3249</v>
      </c>
      <c r="G340" s="1" t="s">
        <v>74</v>
      </c>
      <c r="H340" s="1" t="s">
        <v>74</v>
      </c>
      <c r="I340" s="1" t="s">
        <v>3250</v>
      </c>
      <c r="J340" s="1" t="s">
        <v>3251</v>
      </c>
      <c r="K340" s="1" t="s">
        <v>74</v>
      </c>
      <c r="L340" s="1" t="s">
        <v>74</v>
      </c>
      <c r="M340" s="1" t="s">
        <v>74</v>
      </c>
      <c r="N340" s="1" t="s">
        <v>74</v>
      </c>
      <c r="O340" s="1" t="s">
        <v>74</v>
      </c>
      <c r="P340" s="1" t="s">
        <v>74</v>
      </c>
      <c r="Q340" s="1" t="s">
        <v>74</v>
      </c>
      <c r="R340" s="1" t="s">
        <v>74</v>
      </c>
      <c r="S340" s="1" t="s">
        <v>74</v>
      </c>
      <c r="T340" s="1" t="s">
        <v>74</v>
      </c>
      <c r="U340" s="1" t="s">
        <v>74</v>
      </c>
      <c r="V340" s="1" t="s">
        <v>74</v>
      </c>
      <c r="W340" s="1" t="s">
        <v>74</v>
      </c>
      <c r="X340" s="1" t="s">
        <v>74</v>
      </c>
      <c r="Y340" s="1" t="s">
        <v>74</v>
      </c>
      <c r="Z340" s="1" t="s">
        <v>74</v>
      </c>
      <c r="AA340" s="1" t="s">
        <v>74</v>
      </c>
      <c r="AB340" s="1" t="s">
        <v>74</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3252</v>
      </c>
      <c r="AP340" s="1" t="s">
        <v>74</v>
      </c>
      <c r="AQ340" s="1" t="s">
        <v>74</v>
      </c>
      <c r="AR340" s="1" t="s">
        <v>74</v>
      </c>
      <c r="AS340" s="1" t="s">
        <v>74</v>
      </c>
      <c r="AT340" s="1" t="s">
        <v>343</v>
      </c>
      <c r="AU340" s="1">
        <v>2011.0</v>
      </c>
      <c r="AV340" s="1">
        <v>30.0</v>
      </c>
      <c r="AW340" s="1">
        <v>8.0</v>
      </c>
      <c r="AX340" s="1" t="s">
        <v>74</v>
      </c>
      <c r="AY340" s="1" t="s">
        <v>74</v>
      </c>
      <c r="AZ340" s="1" t="s">
        <v>74</v>
      </c>
      <c r="BA340" s="1" t="s">
        <v>74</v>
      </c>
      <c r="BB340" s="1">
        <v>1158.0</v>
      </c>
      <c r="BC340" s="1">
        <v>1161.0</v>
      </c>
      <c r="BD340" s="1" t="s">
        <v>74</v>
      </c>
      <c r="BE340" s="1" t="s">
        <v>74</v>
      </c>
      <c r="BF340" s="1" t="s">
        <v>74</v>
      </c>
      <c r="BG340" s="1" t="s">
        <v>74</v>
      </c>
      <c r="BH340" s="1" t="s">
        <v>74</v>
      </c>
      <c r="BI340" s="1" t="s">
        <v>74</v>
      </c>
      <c r="BJ340" s="1" t="s">
        <v>74</v>
      </c>
      <c r="BK340" s="1" t="s">
        <v>74</v>
      </c>
      <c r="BL340" s="1" t="s">
        <v>74</v>
      </c>
      <c r="BM340" s="1" t="s">
        <v>74</v>
      </c>
      <c r="BN340" s="1">
        <v>2.1795495E7</v>
      </c>
      <c r="BO340" s="1" t="s">
        <v>74</v>
      </c>
      <c r="BP340" s="1" t="s">
        <v>74</v>
      </c>
      <c r="BQ340" s="1" t="s">
        <v>74</v>
      </c>
      <c r="BR340" s="1" t="s">
        <v>74</v>
      </c>
      <c r="BS340" s="1" t="s">
        <v>3253</v>
      </c>
      <c r="BT340" s="1" t="str">
        <f>HYPERLINK("https%3A%2F%2Fwww.webofscience.com%2Fwos%2Fwoscc%2Ffull-record%2FWOS:000293603000017","View Full Record in Web of Science")</f>
        <v>View Full Record in Web of Science</v>
      </c>
    </row>
    <row r="341" ht="12.75" customHeight="1">
      <c r="A341" s="1" t="s">
        <v>72</v>
      </c>
      <c r="B341" s="1" t="s">
        <v>3254</v>
      </c>
      <c r="C341" s="1" t="s">
        <v>74</v>
      </c>
      <c r="D341" s="1" t="s">
        <v>74</v>
      </c>
      <c r="E341" s="1" t="s">
        <v>74</v>
      </c>
      <c r="F341" s="1" t="s">
        <v>3255</v>
      </c>
      <c r="G341" s="1" t="s">
        <v>74</v>
      </c>
      <c r="H341" s="1" t="s">
        <v>74</v>
      </c>
      <c r="I341" s="1" t="s">
        <v>3256</v>
      </c>
      <c r="J341" s="1" t="s">
        <v>1838</v>
      </c>
      <c r="K341" s="1" t="s">
        <v>74</v>
      </c>
      <c r="L341" s="1" t="s">
        <v>74</v>
      </c>
      <c r="M341" s="1" t="s">
        <v>74</v>
      </c>
      <c r="N341" s="1" t="s">
        <v>74</v>
      </c>
      <c r="O341" s="1" t="s">
        <v>74</v>
      </c>
      <c r="P341" s="1" t="s">
        <v>74</v>
      </c>
      <c r="Q341" s="1" t="s">
        <v>74</v>
      </c>
      <c r="R341" s="1" t="s">
        <v>74</v>
      </c>
      <c r="S341" s="1" t="s">
        <v>74</v>
      </c>
      <c r="T341" s="1" t="s">
        <v>74</v>
      </c>
      <c r="U341" s="1" t="s">
        <v>74</v>
      </c>
      <c r="V341" s="1" t="s">
        <v>3257</v>
      </c>
      <c r="W341" s="1" t="s">
        <v>74</v>
      </c>
      <c r="X341" s="1" t="s">
        <v>74</v>
      </c>
      <c r="Y341" s="1" t="s">
        <v>74</v>
      </c>
      <c r="Z341" s="1" t="s">
        <v>74</v>
      </c>
      <c r="AA341" s="1" t="s">
        <v>74</v>
      </c>
      <c r="AB341" s="1" t="s">
        <v>74</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1840</v>
      </c>
      <c r="AP341" s="1" t="s">
        <v>1841</v>
      </c>
      <c r="AQ341" s="1" t="s">
        <v>74</v>
      </c>
      <c r="AR341" s="1" t="s">
        <v>74</v>
      </c>
      <c r="AS341" s="1" t="s">
        <v>74</v>
      </c>
      <c r="AT341" s="1" t="s">
        <v>160</v>
      </c>
      <c r="AU341" s="1">
        <v>2009.0</v>
      </c>
      <c r="AV341" s="1">
        <v>22.0</v>
      </c>
      <c r="AW341" s="1">
        <v>12.0</v>
      </c>
      <c r="AX341" s="1" t="s">
        <v>74</v>
      </c>
      <c r="AY341" s="1" t="s">
        <v>74</v>
      </c>
      <c r="AZ341" s="1" t="s">
        <v>74</v>
      </c>
      <c r="BA341" s="1" t="s">
        <v>74</v>
      </c>
      <c r="BB341" s="1">
        <v>1208.0</v>
      </c>
      <c r="BC341" s="1">
        <v>1211.0</v>
      </c>
      <c r="BD341" s="1" t="s">
        <v>74</v>
      </c>
      <c r="BE341" s="1" t="s">
        <v>3258</v>
      </c>
      <c r="BF341" s="2" t="str">
        <f>HYPERLINK("http://dx.doi.org/10.1002/poc.1580","http://dx.doi.org/10.1002/poc.1580")</f>
        <v>http://dx.doi.org/10.1002/poc.1580</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3259</v>
      </c>
      <c r="BT341" s="1" t="str">
        <f>HYPERLINK("https%3A%2F%2Fwww.webofscience.com%2Fwos%2Fwoscc%2Ffull-record%2FWOS:000272727700011","View Full Record in Web of Science")</f>
        <v>View Full Record in Web of Science</v>
      </c>
    </row>
    <row r="342" ht="12.75" customHeight="1">
      <c r="A342" s="1" t="s">
        <v>72</v>
      </c>
      <c r="B342" s="1" t="s">
        <v>3260</v>
      </c>
      <c r="C342" s="1" t="s">
        <v>74</v>
      </c>
      <c r="D342" s="1" t="s">
        <v>74</v>
      </c>
      <c r="E342" s="1" t="s">
        <v>74</v>
      </c>
      <c r="F342" s="1" t="s">
        <v>3261</v>
      </c>
      <c r="G342" s="1" t="s">
        <v>74</v>
      </c>
      <c r="H342" s="1" t="s">
        <v>74</v>
      </c>
      <c r="I342" s="1" t="s">
        <v>3262</v>
      </c>
      <c r="J342" s="1" t="s">
        <v>1884</v>
      </c>
      <c r="K342" s="1" t="s">
        <v>74</v>
      </c>
      <c r="L342" s="1" t="s">
        <v>74</v>
      </c>
      <c r="M342" s="1" t="s">
        <v>74</v>
      </c>
      <c r="N342" s="1" t="s">
        <v>74</v>
      </c>
      <c r="O342" s="1" t="s">
        <v>74</v>
      </c>
      <c r="P342" s="1" t="s">
        <v>74</v>
      </c>
      <c r="Q342" s="1" t="s">
        <v>74</v>
      </c>
      <c r="R342" s="1" t="s">
        <v>74</v>
      </c>
      <c r="S342" s="1" t="s">
        <v>74</v>
      </c>
      <c r="T342" s="1" t="s">
        <v>74</v>
      </c>
      <c r="U342" s="1" t="s">
        <v>74</v>
      </c>
      <c r="V342" s="1" t="s">
        <v>3263</v>
      </c>
      <c r="W342" s="1" t="s">
        <v>74</v>
      </c>
      <c r="X342" s="1" t="s">
        <v>74</v>
      </c>
      <c r="Y342" s="1" t="s">
        <v>74</v>
      </c>
      <c r="Z342" s="1" t="s">
        <v>74</v>
      </c>
      <c r="AA342" s="1" t="s">
        <v>3264</v>
      </c>
      <c r="AB342" s="1" t="s">
        <v>1876</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1887</v>
      </c>
      <c r="AP342" s="1" t="s">
        <v>74</v>
      </c>
      <c r="AQ342" s="1" t="s">
        <v>74</v>
      </c>
      <c r="AR342" s="1" t="s">
        <v>74</v>
      </c>
      <c r="AS342" s="1" t="s">
        <v>74</v>
      </c>
      <c r="AT342" s="1" t="s">
        <v>607</v>
      </c>
      <c r="AU342" s="1">
        <v>2008.0</v>
      </c>
      <c r="AV342" s="1">
        <v>45.0</v>
      </c>
      <c r="AW342" s="1">
        <v>2.0</v>
      </c>
      <c r="AX342" s="1" t="s">
        <v>74</v>
      </c>
      <c r="AY342" s="1" t="s">
        <v>74</v>
      </c>
      <c r="AZ342" s="1" t="s">
        <v>74</v>
      </c>
      <c r="BA342" s="1" t="s">
        <v>74</v>
      </c>
      <c r="BB342" s="1">
        <v>248.0</v>
      </c>
      <c r="BC342" s="1">
        <v>259.0</v>
      </c>
      <c r="BD342" s="1" t="s">
        <v>74</v>
      </c>
      <c r="BE342" s="1" t="s">
        <v>3265</v>
      </c>
      <c r="BF342" s="2" t="str">
        <f>HYPERLINK("http://dx.doi.org/10.1016/j.ijrmms.2007.07.005","http://dx.doi.org/10.1016/j.ijrmms.2007.07.005")</f>
        <v>http://dx.doi.org/10.1016/j.ijrmms.2007.07.005</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3266</v>
      </c>
      <c r="BT342" s="1" t="str">
        <f>HYPERLINK("https%3A%2F%2Fwww.webofscience.com%2Fwos%2Fwoscc%2Ffull-record%2FWOS:000253723700011","View Full Record in Web of Science")</f>
        <v>View Full Record in Web of Science</v>
      </c>
    </row>
    <row r="343" ht="12.75" customHeight="1">
      <c r="A343" s="1" t="s">
        <v>72</v>
      </c>
      <c r="B343" s="1" t="s">
        <v>3267</v>
      </c>
      <c r="C343" s="1" t="s">
        <v>74</v>
      </c>
      <c r="D343" s="1" t="s">
        <v>74</v>
      </c>
      <c r="E343" s="1" t="s">
        <v>74</v>
      </c>
      <c r="F343" s="1" t="s">
        <v>3268</v>
      </c>
      <c r="G343" s="1" t="s">
        <v>74</v>
      </c>
      <c r="H343" s="1" t="s">
        <v>74</v>
      </c>
      <c r="I343" s="1" t="s">
        <v>3269</v>
      </c>
      <c r="J343" s="1" t="s">
        <v>3270</v>
      </c>
      <c r="K343" s="1" t="s">
        <v>74</v>
      </c>
      <c r="L343" s="1" t="s">
        <v>74</v>
      </c>
      <c r="M343" s="1" t="s">
        <v>74</v>
      </c>
      <c r="N343" s="1" t="s">
        <v>74</v>
      </c>
      <c r="O343" s="1" t="s">
        <v>74</v>
      </c>
      <c r="P343" s="1" t="s">
        <v>74</v>
      </c>
      <c r="Q343" s="1" t="s">
        <v>74</v>
      </c>
      <c r="R343" s="1" t="s">
        <v>74</v>
      </c>
      <c r="S343" s="1" t="s">
        <v>74</v>
      </c>
      <c r="T343" s="1" t="s">
        <v>74</v>
      </c>
      <c r="U343" s="1" t="s">
        <v>74</v>
      </c>
      <c r="V343" s="1" t="s">
        <v>3271</v>
      </c>
      <c r="W343" s="1" t="s">
        <v>74</v>
      </c>
      <c r="X343" s="1" t="s">
        <v>74</v>
      </c>
      <c r="Y343" s="1" t="s">
        <v>74</v>
      </c>
      <c r="Z343" s="1" t="s">
        <v>74</v>
      </c>
      <c r="AA343" s="1" t="s">
        <v>74</v>
      </c>
      <c r="AB343" s="1" t="s">
        <v>74</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3272</v>
      </c>
      <c r="AP343" s="1" t="s">
        <v>3273</v>
      </c>
      <c r="AQ343" s="1" t="s">
        <v>74</v>
      </c>
      <c r="AR343" s="1" t="s">
        <v>74</v>
      </c>
      <c r="AS343" s="1" t="s">
        <v>74</v>
      </c>
      <c r="AT343" s="1" t="s">
        <v>74</v>
      </c>
      <c r="AU343" s="1">
        <v>2008.0</v>
      </c>
      <c r="AV343" s="1">
        <v>3.0</v>
      </c>
      <c r="AW343" s="1">
        <v>4.0</v>
      </c>
      <c r="AX343" s="1" t="s">
        <v>74</v>
      </c>
      <c r="AY343" s="1" t="s">
        <v>74</v>
      </c>
      <c r="AZ343" s="1" t="s">
        <v>74</v>
      </c>
      <c r="BA343" s="1" t="s">
        <v>74</v>
      </c>
      <c r="BB343" s="1">
        <v>525.0</v>
      </c>
      <c r="BC343" s="1">
        <v>528.0</v>
      </c>
      <c r="BD343" s="1" t="s">
        <v>74</v>
      </c>
      <c r="BE343" s="1" t="s">
        <v>74</v>
      </c>
      <c r="BF343" s="1" t="s">
        <v>74</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3274</v>
      </c>
      <c r="BT343" s="1" t="str">
        <f>HYPERLINK("https%3A%2F%2Fwww.webofscience.com%2Fwos%2Fwoscc%2Ffull-record%2FWOS:000254644000012","View Full Record in Web of Science")</f>
        <v>View Full Record in Web of Science</v>
      </c>
    </row>
    <row r="344" ht="12.75" customHeight="1">
      <c r="A344" s="1" t="s">
        <v>72</v>
      </c>
      <c r="B344" s="1" t="s">
        <v>3275</v>
      </c>
      <c r="C344" s="1" t="s">
        <v>74</v>
      </c>
      <c r="D344" s="1" t="s">
        <v>74</v>
      </c>
      <c r="E344" s="1" t="s">
        <v>74</v>
      </c>
      <c r="F344" s="1" t="s">
        <v>3276</v>
      </c>
      <c r="G344" s="1" t="s">
        <v>74</v>
      </c>
      <c r="H344" s="1" t="s">
        <v>74</v>
      </c>
      <c r="I344" s="1" t="s">
        <v>3277</v>
      </c>
      <c r="J344" s="1" t="s">
        <v>3278</v>
      </c>
      <c r="K344" s="1" t="s">
        <v>74</v>
      </c>
      <c r="L344" s="1" t="s">
        <v>74</v>
      </c>
      <c r="M344" s="1" t="s">
        <v>74</v>
      </c>
      <c r="N344" s="1" t="s">
        <v>74</v>
      </c>
      <c r="O344" s="1" t="s">
        <v>74</v>
      </c>
      <c r="P344" s="1" t="s">
        <v>74</v>
      </c>
      <c r="Q344" s="1" t="s">
        <v>74</v>
      </c>
      <c r="R344" s="1" t="s">
        <v>74</v>
      </c>
      <c r="S344" s="1" t="s">
        <v>74</v>
      </c>
      <c r="T344" s="1" t="s">
        <v>74</v>
      </c>
      <c r="U344" s="1" t="s">
        <v>74</v>
      </c>
      <c r="V344" s="1" t="s">
        <v>3279</v>
      </c>
      <c r="W344" s="1" t="s">
        <v>74</v>
      </c>
      <c r="X344" s="1" t="s">
        <v>74</v>
      </c>
      <c r="Y344" s="1" t="s">
        <v>74</v>
      </c>
      <c r="Z344" s="1" t="s">
        <v>74</v>
      </c>
      <c r="AA344" s="1" t="s">
        <v>74</v>
      </c>
      <c r="AB344" s="1" t="s">
        <v>3280</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3281</v>
      </c>
      <c r="AP344" s="1" t="s">
        <v>3282</v>
      </c>
      <c r="AQ344" s="1" t="s">
        <v>74</v>
      </c>
      <c r="AR344" s="1" t="s">
        <v>74</v>
      </c>
      <c r="AS344" s="1" t="s">
        <v>74</v>
      </c>
      <c r="AT344" s="1" t="s">
        <v>174</v>
      </c>
      <c r="AU344" s="1">
        <v>2007.0</v>
      </c>
      <c r="AV344" s="1">
        <v>24.0</v>
      </c>
      <c r="AW344" s="1">
        <v>2.0</v>
      </c>
      <c r="AX344" s="1" t="s">
        <v>74</v>
      </c>
      <c r="AY344" s="1" t="s">
        <v>74</v>
      </c>
      <c r="AZ344" s="1" t="s">
        <v>74</v>
      </c>
      <c r="BA344" s="1" t="s">
        <v>74</v>
      </c>
      <c r="BB344" s="1">
        <v>149.0</v>
      </c>
      <c r="BC344" s="1">
        <v>152.0</v>
      </c>
      <c r="BD344" s="1" t="s">
        <v>74</v>
      </c>
      <c r="BE344" s="1" t="s">
        <v>74</v>
      </c>
      <c r="BF344" s="1" t="s">
        <v>74</v>
      </c>
      <c r="BG344" s="1" t="s">
        <v>74</v>
      </c>
      <c r="BH344" s="1" t="s">
        <v>74</v>
      </c>
      <c r="BI344" s="1" t="s">
        <v>74</v>
      </c>
      <c r="BJ344" s="1" t="s">
        <v>74</v>
      </c>
      <c r="BK344" s="1" t="s">
        <v>74</v>
      </c>
      <c r="BL344" s="1" t="s">
        <v>74</v>
      </c>
      <c r="BM344" s="1" t="s">
        <v>74</v>
      </c>
      <c r="BN344" s="1">
        <v>1.7453074E7</v>
      </c>
      <c r="BO344" s="1" t="s">
        <v>74</v>
      </c>
      <c r="BP344" s="1" t="s">
        <v>74</v>
      </c>
      <c r="BQ344" s="1" t="s">
        <v>74</v>
      </c>
      <c r="BR344" s="1" t="s">
        <v>74</v>
      </c>
      <c r="BS344" s="1" t="s">
        <v>3283</v>
      </c>
      <c r="BT344" s="1" t="str">
        <f>HYPERLINK("https%3A%2F%2Fwww.webofscience.com%2Fwos%2Fwoscc%2Ffull-record%2FWOS:000254580900010","View Full Record in Web of Science")</f>
        <v>View Full Record in Web of Science</v>
      </c>
    </row>
    <row r="345" ht="12.75" customHeight="1">
      <c r="A345" s="1" t="s">
        <v>72</v>
      </c>
      <c r="B345" s="1" t="s">
        <v>3284</v>
      </c>
      <c r="C345" s="1" t="s">
        <v>74</v>
      </c>
      <c r="D345" s="1" t="s">
        <v>74</v>
      </c>
      <c r="E345" s="1" t="s">
        <v>74</v>
      </c>
      <c r="F345" s="1" t="s">
        <v>3285</v>
      </c>
      <c r="G345" s="1" t="s">
        <v>74</v>
      </c>
      <c r="H345" s="1" t="s">
        <v>74</v>
      </c>
      <c r="I345" s="1" t="s">
        <v>3286</v>
      </c>
      <c r="J345" s="1" t="s">
        <v>3287</v>
      </c>
      <c r="K345" s="1" t="s">
        <v>74</v>
      </c>
      <c r="L345" s="1" t="s">
        <v>74</v>
      </c>
      <c r="M345" s="1" t="s">
        <v>74</v>
      </c>
      <c r="N345" s="1" t="s">
        <v>74</v>
      </c>
      <c r="O345" s="1" t="s">
        <v>74</v>
      </c>
      <c r="P345" s="1" t="s">
        <v>74</v>
      </c>
      <c r="Q345" s="1" t="s">
        <v>74</v>
      </c>
      <c r="R345" s="1" t="s">
        <v>74</v>
      </c>
      <c r="S345" s="1" t="s">
        <v>74</v>
      </c>
      <c r="T345" s="1" t="s">
        <v>74</v>
      </c>
      <c r="U345" s="1" t="s">
        <v>74</v>
      </c>
      <c r="V345" s="1" t="s">
        <v>3288</v>
      </c>
      <c r="W345" s="1" t="s">
        <v>74</v>
      </c>
      <c r="X345" s="1" t="s">
        <v>74</v>
      </c>
      <c r="Y345" s="1" t="s">
        <v>74</v>
      </c>
      <c r="Z345" s="1" t="s">
        <v>74</v>
      </c>
      <c r="AA345" s="1" t="s">
        <v>74</v>
      </c>
      <c r="AB345" s="1" t="s">
        <v>2402</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3289</v>
      </c>
      <c r="AP345" s="1" t="s">
        <v>74</v>
      </c>
      <c r="AQ345" s="1" t="s">
        <v>74</v>
      </c>
      <c r="AR345" s="1" t="s">
        <v>74</v>
      </c>
      <c r="AS345" s="1" t="s">
        <v>74</v>
      </c>
      <c r="AT345" s="1" t="s">
        <v>174</v>
      </c>
      <c r="AU345" s="1">
        <v>2007.0</v>
      </c>
      <c r="AV345" s="1">
        <v>43.0</v>
      </c>
      <c r="AW345" s="1">
        <v>4.0</v>
      </c>
      <c r="AX345" s="1" t="s">
        <v>74</v>
      </c>
      <c r="AY345" s="1" t="s">
        <v>74</v>
      </c>
      <c r="AZ345" s="1" t="s">
        <v>74</v>
      </c>
      <c r="BA345" s="1" t="s">
        <v>74</v>
      </c>
      <c r="BB345" s="1">
        <v>233.0</v>
      </c>
      <c r="BC345" s="1">
        <v>238.0</v>
      </c>
      <c r="BD345" s="1" t="s">
        <v>74</v>
      </c>
      <c r="BE345" s="1" t="s">
        <v>3290</v>
      </c>
      <c r="BF345" s="2" t="str">
        <f>HYPERLINK("http://dx.doi.org/10.1157/13100543","http://dx.doi.org/10.1157/13100543")</f>
        <v>http://dx.doi.org/10.1157/13100543</v>
      </c>
      <c r="BG345" s="1" t="s">
        <v>74</v>
      </c>
      <c r="BH345" s="1" t="s">
        <v>74</v>
      </c>
      <c r="BI345" s="1" t="s">
        <v>74</v>
      </c>
      <c r="BJ345" s="1" t="s">
        <v>74</v>
      </c>
      <c r="BK345" s="1" t="s">
        <v>74</v>
      </c>
      <c r="BL345" s="1" t="s">
        <v>74</v>
      </c>
      <c r="BM345" s="1" t="s">
        <v>74</v>
      </c>
      <c r="BN345" s="1">
        <v>1.7397588E7</v>
      </c>
      <c r="BO345" s="1" t="s">
        <v>74</v>
      </c>
      <c r="BP345" s="1" t="s">
        <v>74</v>
      </c>
      <c r="BQ345" s="1" t="s">
        <v>74</v>
      </c>
      <c r="BR345" s="1" t="s">
        <v>74</v>
      </c>
      <c r="BS345" s="1" t="s">
        <v>3291</v>
      </c>
      <c r="BT345" s="1" t="str">
        <f>HYPERLINK("https%3A%2F%2Fwww.webofscience.com%2Fwos%2Fwoscc%2Ffull-record%2FWOS:000245378500008","View Full Record in Web of Science")</f>
        <v>View Full Record in Web of Science</v>
      </c>
    </row>
    <row r="346" ht="12.75" customHeight="1">
      <c r="A346" s="1" t="s">
        <v>72</v>
      </c>
      <c r="B346" s="1" t="s">
        <v>3292</v>
      </c>
      <c r="C346" s="1" t="s">
        <v>74</v>
      </c>
      <c r="D346" s="1" t="s">
        <v>74</v>
      </c>
      <c r="E346" s="1" t="s">
        <v>74</v>
      </c>
      <c r="F346" s="1" t="s">
        <v>3293</v>
      </c>
      <c r="G346" s="1" t="s">
        <v>74</v>
      </c>
      <c r="H346" s="1" t="s">
        <v>74</v>
      </c>
      <c r="I346" s="1" t="s">
        <v>3294</v>
      </c>
      <c r="J346" s="1" t="s">
        <v>3295</v>
      </c>
      <c r="K346" s="1" t="s">
        <v>74</v>
      </c>
      <c r="L346" s="1" t="s">
        <v>74</v>
      </c>
      <c r="M346" s="1" t="s">
        <v>74</v>
      </c>
      <c r="N346" s="1" t="s">
        <v>74</v>
      </c>
      <c r="O346" s="1" t="s">
        <v>74</v>
      </c>
      <c r="P346" s="1" t="s">
        <v>74</v>
      </c>
      <c r="Q346" s="1" t="s">
        <v>74</v>
      </c>
      <c r="R346" s="1" t="s">
        <v>74</v>
      </c>
      <c r="S346" s="1" t="s">
        <v>74</v>
      </c>
      <c r="T346" s="1" t="s">
        <v>74</v>
      </c>
      <c r="U346" s="1" t="s">
        <v>74</v>
      </c>
      <c r="V346" s="1" t="s">
        <v>3296</v>
      </c>
      <c r="W346" s="1" t="s">
        <v>74</v>
      </c>
      <c r="X346" s="1" t="s">
        <v>74</v>
      </c>
      <c r="Y346" s="1" t="s">
        <v>74</v>
      </c>
      <c r="Z346" s="1" t="s">
        <v>74</v>
      </c>
      <c r="AA346" s="1" t="s">
        <v>3297</v>
      </c>
      <c r="AB346" s="1" t="s">
        <v>3298</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3299</v>
      </c>
      <c r="AP346" s="1" t="s">
        <v>74</v>
      </c>
      <c r="AQ346" s="1" t="s">
        <v>74</v>
      </c>
      <c r="AR346" s="1" t="s">
        <v>74</v>
      </c>
      <c r="AS346" s="1" t="s">
        <v>74</v>
      </c>
      <c r="AT346" s="1" t="s">
        <v>106</v>
      </c>
      <c r="AU346" s="1">
        <v>2006.0</v>
      </c>
      <c r="AV346" s="1" t="s">
        <v>74</v>
      </c>
      <c r="AW346" s="1" t="s">
        <v>74</v>
      </c>
      <c r="AX346" s="1" t="s">
        <v>74</v>
      </c>
      <c r="AY346" s="1" t="s">
        <v>74</v>
      </c>
      <c r="AZ346" s="1" t="s">
        <v>74</v>
      </c>
      <c r="BA346" s="1" t="s">
        <v>74</v>
      </c>
      <c r="BB346" s="1" t="s">
        <v>74</v>
      </c>
      <c r="BC346" s="1" t="s">
        <v>74</v>
      </c>
      <c r="BD346" s="1" t="s">
        <v>3300</v>
      </c>
      <c r="BE346" s="1" t="s">
        <v>3301</v>
      </c>
      <c r="BF346" s="2" t="str">
        <f>HYPERLINK("http://dx.doi.org/10.1088/1742-5468/2006/09/P09014","http://dx.doi.org/10.1088/1742-5468/2006/09/P09014")</f>
        <v>http://dx.doi.org/10.1088/1742-5468/2006/09/P09014</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3302</v>
      </c>
      <c r="BT346" s="1" t="str">
        <f>HYPERLINK("https%3A%2F%2Fwww.webofscience.com%2Fwos%2Fwoscc%2Ffull-record%2FWOS:000241413300014","View Full Record in Web of Science")</f>
        <v>View Full Record in Web of Science</v>
      </c>
    </row>
    <row r="347" ht="12.75" customHeight="1">
      <c r="A347" s="1" t="s">
        <v>72</v>
      </c>
      <c r="B347" s="1" t="s">
        <v>3303</v>
      </c>
      <c r="C347" s="1" t="s">
        <v>74</v>
      </c>
      <c r="D347" s="1" t="s">
        <v>74</v>
      </c>
      <c r="E347" s="1" t="s">
        <v>74</v>
      </c>
      <c r="F347" s="1" t="s">
        <v>3303</v>
      </c>
      <c r="G347" s="1" t="s">
        <v>74</v>
      </c>
      <c r="H347" s="1" t="s">
        <v>74</v>
      </c>
      <c r="I347" s="1" t="s">
        <v>3304</v>
      </c>
      <c r="J347" s="1" t="s">
        <v>337</v>
      </c>
      <c r="K347" s="1" t="s">
        <v>74</v>
      </c>
      <c r="L347" s="1" t="s">
        <v>74</v>
      </c>
      <c r="M347" s="1" t="s">
        <v>74</v>
      </c>
      <c r="N347" s="1" t="s">
        <v>74</v>
      </c>
      <c r="O347" s="1" t="s">
        <v>74</v>
      </c>
      <c r="P347" s="1" t="s">
        <v>74</v>
      </c>
      <c r="Q347" s="1" t="s">
        <v>74</v>
      </c>
      <c r="R347" s="1" t="s">
        <v>74</v>
      </c>
      <c r="S347" s="1" t="s">
        <v>74</v>
      </c>
      <c r="T347" s="1" t="s">
        <v>74</v>
      </c>
      <c r="U347" s="1" t="s">
        <v>74</v>
      </c>
      <c r="V347" s="1" t="s">
        <v>3305</v>
      </c>
      <c r="W347" s="1" t="s">
        <v>74</v>
      </c>
      <c r="X347" s="1" t="s">
        <v>74</v>
      </c>
      <c r="Y347" s="1" t="s">
        <v>74</v>
      </c>
      <c r="Z347" s="1" t="s">
        <v>74</v>
      </c>
      <c r="AA347" s="1" t="s">
        <v>3306</v>
      </c>
      <c r="AB347" s="1" t="s">
        <v>3307</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341</v>
      </c>
      <c r="AP347" s="1" t="s">
        <v>342</v>
      </c>
      <c r="AQ347" s="1" t="s">
        <v>74</v>
      </c>
      <c r="AR347" s="1" t="s">
        <v>74</v>
      </c>
      <c r="AS347" s="1" t="s">
        <v>74</v>
      </c>
      <c r="AT347" s="1" t="s">
        <v>343</v>
      </c>
      <c r="AU347" s="1">
        <v>2004.0</v>
      </c>
      <c r="AV347" s="1">
        <v>70.0</v>
      </c>
      <c r="AW347" s="1">
        <v>2.0</v>
      </c>
      <c r="AX347" s="1">
        <v>2.0</v>
      </c>
      <c r="AY347" s="1" t="s">
        <v>74</v>
      </c>
      <c r="AZ347" s="1" t="s">
        <v>74</v>
      </c>
      <c r="BA347" s="1" t="s">
        <v>74</v>
      </c>
      <c r="BB347" s="1" t="s">
        <v>74</v>
      </c>
      <c r="BC347" s="1" t="s">
        <v>74</v>
      </c>
      <c r="BD347" s="1">
        <v>26607.0</v>
      </c>
      <c r="BE347" s="1" t="s">
        <v>3308</v>
      </c>
      <c r="BF347" s="2" t="str">
        <f>HYPERLINK("http://dx.doi.org/10.1103/PhysRevE.70.026607","http://dx.doi.org/10.1103/PhysRevE.70.026607")</f>
        <v>http://dx.doi.org/10.1103/PhysRevE.70.026607</v>
      </c>
      <c r="BG347" s="1" t="s">
        <v>74</v>
      </c>
      <c r="BH347" s="1" t="s">
        <v>74</v>
      </c>
      <c r="BI347" s="1" t="s">
        <v>74</v>
      </c>
      <c r="BJ347" s="1" t="s">
        <v>74</v>
      </c>
      <c r="BK347" s="1" t="s">
        <v>74</v>
      </c>
      <c r="BL347" s="1" t="s">
        <v>74</v>
      </c>
      <c r="BM347" s="1" t="s">
        <v>74</v>
      </c>
      <c r="BN347" s="1">
        <v>1.544761E7</v>
      </c>
      <c r="BO347" s="1" t="s">
        <v>74</v>
      </c>
      <c r="BP347" s="1" t="s">
        <v>74</v>
      </c>
      <c r="BQ347" s="1" t="s">
        <v>74</v>
      </c>
      <c r="BR347" s="1" t="s">
        <v>74</v>
      </c>
      <c r="BS347" s="1" t="s">
        <v>3309</v>
      </c>
      <c r="BT347" s="1" t="str">
        <f>HYPERLINK("https%3A%2F%2Fwww.webofscience.com%2Fwos%2Fwoscc%2Ffull-record%2FWOS:000223784600081","View Full Record in Web of Science")</f>
        <v>View Full Record in Web of Science</v>
      </c>
    </row>
    <row r="348" ht="12.75" customHeight="1">
      <c r="A348" s="1" t="s">
        <v>72</v>
      </c>
      <c r="B348" s="1" t="s">
        <v>3310</v>
      </c>
      <c r="C348" s="1" t="s">
        <v>74</v>
      </c>
      <c r="D348" s="1" t="s">
        <v>74</v>
      </c>
      <c r="E348" s="1" t="s">
        <v>74</v>
      </c>
      <c r="F348" s="1" t="s">
        <v>3310</v>
      </c>
      <c r="G348" s="1" t="s">
        <v>74</v>
      </c>
      <c r="H348" s="1" t="s">
        <v>74</v>
      </c>
      <c r="I348" s="1" t="s">
        <v>3311</v>
      </c>
      <c r="J348" s="1" t="s">
        <v>3312</v>
      </c>
      <c r="K348" s="1" t="s">
        <v>74</v>
      </c>
      <c r="L348" s="1" t="s">
        <v>74</v>
      </c>
      <c r="M348" s="1" t="s">
        <v>74</v>
      </c>
      <c r="N348" s="1" t="s">
        <v>74</v>
      </c>
      <c r="O348" s="1" t="s">
        <v>3313</v>
      </c>
      <c r="P348" s="1" t="s">
        <v>3314</v>
      </c>
      <c r="Q348" s="1" t="s">
        <v>3315</v>
      </c>
      <c r="R348" s="1" t="s">
        <v>74</v>
      </c>
      <c r="S348" s="1" t="s">
        <v>3316</v>
      </c>
      <c r="T348" s="1" t="s">
        <v>74</v>
      </c>
      <c r="U348" s="1" t="s">
        <v>74</v>
      </c>
      <c r="V348" s="1" t="s">
        <v>3317</v>
      </c>
      <c r="W348" s="1" t="s">
        <v>74</v>
      </c>
      <c r="X348" s="1" t="s">
        <v>74</v>
      </c>
      <c r="Y348" s="1" t="s">
        <v>74</v>
      </c>
      <c r="Z348" s="1" t="s">
        <v>74</v>
      </c>
      <c r="AA348" s="1" t="s">
        <v>3318</v>
      </c>
      <c r="AB348" s="1" t="s">
        <v>3319</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3320</v>
      </c>
      <c r="AP348" s="1" t="s">
        <v>74</v>
      </c>
      <c r="AQ348" s="1" t="s">
        <v>74</v>
      </c>
      <c r="AR348" s="1" t="s">
        <v>74</v>
      </c>
      <c r="AS348" s="1" t="s">
        <v>74</v>
      </c>
      <c r="AT348" s="1" t="s">
        <v>106</v>
      </c>
      <c r="AU348" s="1">
        <v>2003.0</v>
      </c>
      <c r="AV348" s="1">
        <v>40.0</v>
      </c>
      <c r="AW348" s="1">
        <v>19.0</v>
      </c>
      <c r="AX348" s="1" t="s">
        <v>74</v>
      </c>
      <c r="AY348" s="1" t="s">
        <v>74</v>
      </c>
      <c r="AZ348" s="1" t="s">
        <v>74</v>
      </c>
      <c r="BA348" s="1" t="s">
        <v>74</v>
      </c>
      <c r="BB348" s="1">
        <v>4955.0</v>
      </c>
      <c r="BC348" s="1">
        <v>4963.0</v>
      </c>
      <c r="BD348" s="1" t="s">
        <v>74</v>
      </c>
      <c r="BE348" s="1" t="s">
        <v>3321</v>
      </c>
      <c r="BF348" s="2" t="str">
        <f>HYPERLINK("http://dx.doi.org/10.1016/S0020-7683(03)00248-8","http://dx.doi.org/10.1016/S0020-7683(03)00248-8")</f>
        <v>http://dx.doi.org/10.1016/S0020-7683(03)00248-8</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3322</v>
      </c>
      <c r="BT348" s="1" t="str">
        <f>HYPERLINK("https%3A%2F%2Fwww.webofscience.com%2Fwos%2Fwoscc%2Ffull-record%2FWOS:000184674700003","View Full Record in Web of Science")</f>
        <v>View Full Record in Web of Science</v>
      </c>
    </row>
    <row r="349" ht="12.75" customHeight="1">
      <c r="A349" s="1" t="s">
        <v>72</v>
      </c>
      <c r="B349" s="1" t="s">
        <v>3323</v>
      </c>
      <c r="C349" s="1" t="s">
        <v>74</v>
      </c>
      <c r="D349" s="1" t="s">
        <v>74</v>
      </c>
      <c r="E349" s="1" t="s">
        <v>74</v>
      </c>
      <c r="F349" s="1" t="s">
        <v>3323</v>
      </c>
      <c r="G349" s="1" t="s">
        <v>74</v>
      </c>
      <c r="H349" s="1" t="s">
        <v>74</v>
      </c>
      <c r="I349" s="1" t="s">
        <v>3324</v>
      </c>
      <c r="J349" s="1" t="s">
        <v>1042</v>
      </c>
      <c r="K349" s="1" t="s">
        <v>74</v>
      </c>
      <c r="L349" s="1" t="s">
        <v>74</v>
      </c>
      <c r="M349" s="1" t="s">
        <v>74</v>
      </c>
      <c r="N349" s="1" t="s">
        <v>74</v>
      </c>
      <c r="O349" s="1" t="s">
        <v>74</v>
      </c>
      <c r="P349" s="1" t="s">
        <v>74</v>
      </c>
      <c r="Q349" s="1" t="s">
        <v>74</v>
      </c>
      <c r="R349" s="1" t="s">
        <v>74</v>
      </c>
      <c r="S349" s="1" t="s">
        <v>74</v>
      </c>
      <c r="T349" s="1" t="s">
        <v>74</v>
      </c>
      <c r="U349" s="1" t="s">
        <v>74</v>
      </c>
      <c r="V349" s="1" t="s">
        <v>3325</v>
      </c>
      <c r="W349" s="1" t="s">
        <v>74</v>
      </c>
      <c r="X349" s="1" t="s">
        <v>74</v>
      </c>
      <c r="Y349" s="1" t="s">
        <v>74</v>
      </c>
      <c r="Z349" s="1" t="s">
        <v>74</v>
      </c>
      <c r="AA349" s="1" t="s">
        <v>74</v>
      </c>
      <c r="AB349" s="1" t="s">
        <v>74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1043</v>
      </c>
      <c r="AP349" s="1" t="s">
        <v>74</v>
      </c>
      <c r="AQ349" s="1" t="s">
        <v>74</v>
      </c>
      <c r="AR349" s="1" t="s">
        <v>74</v>
      </c>
      <c r="AS349" s="1" t="s">
        <v>74</v>
      </c>
      <c r="AT349" s="1" t="s">
        <v>106</v>
      </c>
      <c r="AU349" s="1">
        <v>2001.0</v>
      </c>
      <c r="AV349" s="1">
        <v>46.0</v>
      </c>
      <c r="AW349" s="1">
        <v>3.0</v>
      </c>
      <c r="AX349" s="1" t="s">
        <v>74</v>
      </c>
      <c r="AY349" s="1" t="s">
        <v>74</v>
      </c>
      <c r="AZ349" s="1" t="s">
        <v>74</v>
      </c>
      <c r="BA349" s="1" t="s">
        <v>74</v>
      </c>
      <c r="BB349" s="1">
        <v>281.0</v>
      </c>
      <c r="BC349" s="1">
        <v>285.0</v>
      </c>
      <c r="BD349" s="1" t="s">
        <v>74</v>
      </c>
      <c r="BE349" s="1" t="s">
        <v>74</v>
      </c>
      <c r="BF349" s="1" t="s">
        <v>74</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3326</v>
      </c>
      <c r="BT349" s="1" t="str">
        <f>HYPERLINK("https%3A%2F%2Fwww.webofscience.com%2Fwos%2Fwoscc%2Ffull-record%2FWOS:000172210200007","View Full Record in Web of Science")</f>
        <v>View Full Record in Web of Science</v>
      </c>
    </row>
    <row r="350" ht="12.75" customHeight="1">
      <c r="A350" s="1" t="s">
        <v>72</v>
      </c>
      <c r="B350" s="1" t="s">
        <v>3327</v>
      </c>
      <c r="C350" s="1" t="s">
        <v>74</v>
      </c>
      <c r="D350" s="1" t="s">
        <v>74</v>
      </c>
      <c r="E350" s="1" t="s">
        <v>74</v>
      </c>
      <c r="F350" s="1" t="s">
        <v>3327</v>
      </c>
      <c r="G350" s="1" t="s">
        <v>74</v>
      </c>
      <c r="H350" s="1" t="s">
        <v>74</v>
      </c>
      <c r="I350" s="1" t="s">
        <v>3328</v>
      </c>
      <c r="J350" s="1" t="s">
        <v>155</v>
      </c>
      <c r="K350" s="1" t="s">
        <v>74</v>
      </c>
      <c r="L350" s="1" t="s">
        <v>74</v>
      </c>
      <c r="M350" s="1" t="s">
        <v>74</v>
      </c>
      <c r="N350" s="1" t="s">
        <v>74</v>
      </c>
      <c r="O350" s="1" t="s">
        <v>74</v>
      </c>
      <c r="P350" s="1" t="s">
        <v>74</v>
      </c>
      <c r="Q350" s="1" t="s">
        <v>74</v>
      </c>
      <c r="R350" s="1" t="s">
        <v>74</v>
      </c>
      <c r="S350" s="1" t="s">
        <v>74</v>
      </c>
      <c r="T350" s="1" t="s">
        <v>74</v>
      </c>
      <c r="U350" s="1" t="s">
        <v>74</v>
      </c>
      <c r="V350" s="1" t="s">
        <v>3329</v>
      </c>
      <c r="W350" s="1" t="s">
        <v>74</v>
      </c>
      <c r="X350" s="1" t="s">
        <v>74</v>
      </c>
      <c r="Y350" s="1" t="s">
        <v>74</v>
      </c>
      <c r="Z350" s="1" t="s">
        <v>74</v>
      </c>
      <c r="AA350" s="1" t="s">
        <v>3330</v>
      </c>
      <c r="AB350" s="1" t="s">
        <v>1155</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159</v>
      </c>
      <c r="AP350" s="1" t="s">
        <v>3331</v>
      </c>
      <c r="AQ350" s="1" t="s">
        <v>74</v>
      </c>
      <c r="AR350" s="1" t="s">
        <v>74</v>
      </c>
      <c r="AS350" s="1" t="s">
        <v>74</v>
      </c>
      <c r="AT350" s="1" t="s">
        <v>501</v>
      </c>
      <c r="AU350" s="1">
        <v>1999.0</v>
      </c>
      <c r="AV350" s="1">
        <v>31.0</v>
      </c>
      <c r="AW350" s="1">
        <v>11.0</v>
      </c>
      <c r="AX350" s="1" t="s">
        <v>74</v>
      </c>
      <c r="AY350" s="1" t="s">
        <v>74</v>
      </c>
      <c r="AZ350" s="1" t="s">
        <v>74</v>
      </c>
      <c r="BA350" s="1" t="s">
        <v>74</v>
      </c>
      <c r="BB350" s="1">
        <v>819.0</v>
      </c>
      <c r="BC350" s="1">
        <v>825.0</v>
      </c>
      <c r="BD350" s="1" t="s">
        <v>74</v>
      </c>
      <c r="BE350" s="1" t="s">
        <v>74</v>
      </c>
      <c r="BF350" s="1" t="s">
        <v>74</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3332</v>
      </c>
      <c r="BT350" s="1" t="str">
        <f>HYPERLINK("https%3A%2F%2Fwww.webofscience.com%2Fwos%2Fwoscc%2Ffull-record%2FWOS:000083397500009","View Full Record in Web of Science")</f>
        <v>View Full Record in Web of Science</v>
      </c>
    </row>
    <row r="351" ht="12.75" customHeight="1">
      <c r="A351" s="1" t="s">
        <v>72</v>
      </c>
      <c r="B351" s="1" t="s">
        <v>3333</v>
      </c>
      <c r="C351" s="1" t="s">
        <v>74</v>
      </c>
      <c r="D351" s="1" t="s">
        <v>74</v>
      </c>
      <c r="E351" s="1" t="s">
        <v>74</v>
      </c>
      <c r="F351" s="1" t="s">
        <v>3333</v>
      </c>
      <c r="G351" s="1" t="s">
        <v>74</v>
      </c>
      <c r="H351" s="1" t="s">
        <v>74</v>
      </c>
      <c r="I351" s="1" t="s">
        <v>3334</v>
      </c>
      <c r="J351" s="1" t="s">
        <v>2677</v>
      </c>
      <c r="K351" s="1" t="s">
        <v>74</v>
      </c>
      <c r="L351" s="1" t="s">
        <v>74</v>
      </c>
      <c r="M351" s="1" t="s">
        <v>74</v>
      </c>
      <c r="N351" s="1" t="s">
        <v>74</v>
      </c>
      <c r="O351" s="1" t="s">
        <v>74</v>
      </c>
      <c r="P351" s="1" t="s">
        <v>74</v>
      </c>
      <c r="Q351" s="1" t="s">
        <v>74</v>
      </c>
      <c r="R351" s="1" t="s">
        <v>74</v>
      </c>
      <c r="S351" s="1" t="s">
        <v>74</v>
      </c>
      <c r="T351" s="1" t="s">
        <v>74</v>
      </c>
      <c r="U351" s="1" t="s">
        <v>74</v>
      </c>
      <c r="V351" s="1" t="s">
        <v>3335</v>
      </c>
      <c r="W351" s="1" t="s">
        <v>74</v>
      </c>
      <c r="X351" s="1" t="s">
        <v>74</v>
      </c>
      <c r="Y351" s="1" t="s">
        <v>74</v>
      </c>
      <c r="Z351" s="1" t="s">
        <v>74</v>
      </c>
      <c r="AA351" s="1" t="s">
        <v>74</v>
      </c>
      <c r="AB351" s="1" t="s">
        <v>74</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2681</v>
      </c>
      <c r="AP351" s="1" t="s">
        <v>2682</v>
      </c>
      <c r="AQ351" s="1" t="s">
        <v>74</v>
      </c>
      <c r="AR351" s="1" t="s">
        <v>74</v>
      </c>
      <c r="AS351" s="1" t="s">
        <v>74</v>
      </c>
      <c r="AT351" s="1" t="s">
        <v>2921</v>
      </c>
      <c r="AU351" s="1">
        <v>1998.0</v>
      </c>
      <c r="AV351" s="1">
        <v>58.0</v>
      </c>
      <c r="AW351" s="1">
        <v>4.0</v>
      </c>
      <c r="AX351" s="1" t="s">
        <v>74</v>
      </c>
      <c r="AY351" s="1" t="s">
        <v>74</v>
      </c>
      <c r="AZ351" s="1" t="s">
        <v>74</v>
      </c>
      <c r="BA351" s="1" t="s">
        <v>74</v>
      </c>
      <c r="BB351" s="1" t="s">
        <v>74</v>
      </c>
      <c r="BC351" s="1" t="s">
        <v>74</v>
      </c>
      <c r="BD351" s="1">
        <v>45014.0</v>
      </c>
      <c r="BE351" s="1" t="s">
        <v>3336</v>
      </c>
      <c r="BF351" s="2" t="str">
        <f>HYPERLINK("http://dx.doi.org/10.1103/PhysRevD.58.045014","http://dx.doi.org/10.1103/PhysRevD.58.045014")</f>
        <v>http://dx.doi.org/10.1103/PhysRevD.58.045014</v>
      </c>
      <c r="BG351" s="1" t="s">
        <v>74</v>
      </c>
      <c r="BH351" s="1" t="s">
        <v>74</v>
      </c>
      <c r="BI351" s="1" t="s">
        <v>74</v>
      </c>
      <c r="BJ351" s="1" t="s">
        <v>74</v>
      </c>
      <c r="BK351" s="1" t="s">
        <v>74</v>
      </c>
      <c r="BL351" s="1" t="s">
        <v>74</v>
      </c>
      <c r="BM351" s="1" t="s">
        <v>74</v>
      </c>
      <c r="BN351" s="1" t="s">
        <v>74</v>
      </c>
      <c r="BO351" s="1" t="s">
        <v>74</v>
      </c>
      <c r="BP351" s="1" t="s">
        <v>74</v>
      </c>
      <c r="BQ351" s="1" t="s">
        <v>74</v>
      </c>
      <c r="BR351" s="1" t="s">
        <v>74</v>
      </c>
      <c r="BS351" s="1" t="s">
        <v>3337</v>
      </c>
      <c r="BT351" s="1" t="str">
        <f>HYPERLINK("https%3A%2F%2Fwww.webofscience.com%2Fwos%2Fwoscc%2Ffull-record%2FWOS:000075521600054","View Full Record in Web of Science")</f>
        <v>View Full Record in Web of Science</v>
      </c>
    </row>
    <row r="352" ht="12.75" customHeight="1">
      <c r="A352" s="1" t="s">
        <v>72</v>
      </c>
      <c r="B352" s="1" t="s">
        <v>3338</v>
      </c>
      <c r="C352" s="1" t="s">
        <v>74</v>
      </c>
      <c r="D352" s="1" t="s">
        <v>74</v>
      </c>
      <c r="E352" s="1" t="s">
        <v>74</v>
      </c>
      <c r="F352" s="1" t="s">
        <v>3338</v>
      </c>
      <c r="G352" s="1" t="s">
        <v>74</v>
      </c>
      <c r="H352" s="1" t="s">
        <v>74</v>
      </c>
      <c r="I352" s="1" t="s">
        <v>3339</v>
      </c>
      <c r="J352" s="1" t="s">
        <v>2347</v>
      </c>
      <c r="K352" s="1" t="s">
        <v>74</v>
      </c>
      <c r="L352" s="1" t="s">
        <v>74</v>
      </c>
      <c r="M352" s="1" t="s">
        <v>74</v>
      </c>
      <c r="N352" s="1" t="s">
        <v>74</v>
      </c>
      <c r="O352" s="1" t="s">
        <v>74</v>
      </c>
      <c r="P352" s="1" t="s">
        <v>74</v>
      </c>
      <c r="Q352" s="1" t="s">
        <v>74</v>
      </c>
      <c r="R352" s="1" t="s">
        <v>74</v>
      </c>
      <c r="S352" s="1" t="s">
        <v>74</v>
      </c>
      <c r="T352" s="1" t="s">
        <v>74</v>
      </c>
      <c r="U352" s="1" t="s">
        <v>74</v>
      </c>
      <c r="V352" s="1" t="s">
        <v>3340</v>
      </c>
      <c r="W352" s="1" t="s">
        <v>74</v>
      </c>
      <c r="X352" s="1" t="s">
        <v>74</v>
      </c>
      <c r="Y352" s="1" t="s">
        <v>74</v>
      </c>
      <c r="Z352" s="1" t="s">
        <v>74</v>
      </c>
      <c r="AA352" s="1" t="s">
        <v>3341</v>
      </c>
      <c r="AB352" s="1" t="s">
        <v>3342</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2351</v>
      </c>
      <c r="AP352" s="1" t="s">
        <v>2352</v>
      </c>
      <c r="AQ352" s="1" t="s">
        <v>74</v>
      </c>
      <c r="AR352" s="1" t="s">
        <v>74</v>
      </c>
      <c r="AS352" s="1" t="s">
        <v>74</v>
      </c>
      <c r="AT352" s="1" t="s">
        <v>106</v>
      </c>
      <c r="AU352" s="1">
        <v>1997.0</v>
      </c>
      <c r="AV352" s="1">
        <v>1.0</v>
      </c>
      <c r="AW352" s="1">
        <v>2.0</v>
      </c>
      <c r="AX352" s="1" t="s">
        <v>74</v>
      </c>
      <c r="AY352" s="1" t="s">
        <v>74</v>
      </c>
      <c r="AZ352" s="1" t="s">
        <v>74</v>
      </c>
      <c r="BA352" s="1" t="s">
        <v>74</v>
      </c>
      <c r="BB352" s="1">
        <v>126.0</v>
      </c>
      <c r="BC352" s="1">
        <v>133.0</v>
      </c>
      <c r="BD352" s="1" t="s">
        <v>74</v>
      </c>
      <c r="BE352" s="1" t="s">
        <v>3343</v>
      </c>
      <c r="BF352" s="2" t="str">
        <f>HYPERLINK("http://dx.doi.org/10.1007/s100080050036","http://dx.doi.org/10.1007/s100080050036")</f>
        <v>http://dx.doi.org/10.1007/s100080050036</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3344</v>
      </c>
      <c r="BT352" s="1" t="str">
        <f>HYPERLINK("https%3A%2F%2Fwww.webofscience.com%2Fwos%2Fwoscc%2Ffull-record%2FWOS:000072091300003","View Full Record in Web of Science")</f>
        <v>View Full Record in Web of Science</v>
      </c>
    </row>
    <row r="353" ht="12.75" customHeight="1">
      <c r="A353" s="1" t="s">
        <v>72</v>
      </c>
      <c r="B353" s="1" t="s">
        <v>3345</v>
      </c>
      <c r="C353" s="1" t="s">
        <v>74</v>
      </c>
      <c r="D353" s="1" t="s">
        <v>74</v>
      </c>
      <c r="E353" s="1" t="s">
        <v>74</v>
      </c>
      <c r="F353" s="1" t="s">
        <v>3345</v>
      </c>
      <c r="G353" s="1" t="s">
        <v>74</v>
      </c>
      <c r="H353" s="1" t="s">
        <v>74</v>
      </c>
      <c r="I353" s="1" t="s">
        <v>3346</v>
      </c>
      <c r="J353" s="1" t="s">
        <v>635</v>
      </c>
      <c r="K353" s="1" t="s">
        <v>74</v>
      </c>
      <c r="L353" s="1" t="s">
        <v>74</v>
      </c>
      <c r="M353" s="1" t="s">
        <v>74</v>
      </c>
      <c r="N353" s="1" t="s">
        <v>74</v>
      </c>
      <c r="O353" s="1" t="s">
        <v>74</v>
      </c>
      <c r="P353" s="1" t="s">
        <v>74</v>
      </c>
      <c r="Q353" s="1" t="s">
        <v>74</v>
      </c>
      <c r="R353" s="1" t="s">
        <v>74</v>
      </c>
      <c r="S353" s="1" t="s">
        <v>74</v>
      </c>
      <c r="T353" s="1" t="s">
        <v>74</v>
      </c>
      <c r="U353" s="1" t="s">
        <v>74</v>
      </c>
      <c r="V353" s="1" t="s">
        <v>3347</v>
      </c>
      <c r="W353" s="1" t="s">
        <v>74</v>
      </c>
      <c r="X353" s="1" t="s">
        <v>74</v>
      </c>
      <c r="Y353" s="1" t="s">
        <v>74</v>
      </c>
      <c r="Z353" s="1" t="s">
        <v>74</v>
      </c>
      <c r="AA353" s="1" t="s">
        <v>74</v>
      </c>
      <c r="AB353" s="1" t="s">
        <v>74</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637</v>
      </c>
      <c r="AP353" s="1" t="s">
        <v>74</v>
      </c>
      <c r="AQ353" s="1" t="s">
        <v>74</v>
      </c>
      <c r="AR353" s="1" t="s">
        <v>74</v>
      </c>
      <c r="AS353" s="1" t="s">
        <v>74</v>
      </c>
      <c r="AT353" s="1" t="s">
        <v>2405</v>
      </c>
      <c r="AU353" s="1">
        <v>1995.0</v>
      </c>
      <c r="AV353" s="1">
        <v>31.0</v>
      </c>
      <c r="AW353" s="1">
        <v>2.0</v>
      </c>
      <c r="AX353" s="1" t="s">
        <v>74</v>
      </c>
      <c r="AY353" s="1" t="s">
        <v>74</v>
      </c>
      <c r="AZ353" s="1" t="s">
        <v>74</v>
      </c>
      <c r="BA353" s="1" t="s">
        <v>74</v>
      </c>
      <c r="BB353" s="1">
        <v>97.0</v>
      </c>
      <c r="BC353" s="1">
        <v>105.0</v>
      </c>
      <c r="BD353" s="1" t="s">
        <v>74</v>
      </c>
      <c r="BE353" s="1" t="s">
        <v>3348</v>
      </c>
      <c r="BF353" s="2" t="str">
        <f>HYPERLINK("http://dx.doi.org/10.3989/revmetalm.1995.v31.i2.972","http://dx.doi.org/10.3989/revmetalm.1995.v31.i2.972")</f>
        <v>http://dx.doi.org/10.3989/revmetalm.1995.v31.i2.972</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3349</v>
      </c>
      <c r="BT353" s="1" t="str">
        <f>HYPERLINK("https%3A%2F%2Fwww.webofscience.com%2Fwos%2Fwoscc%2Ffull-record%2FWOS:A1995RE29000005","View Full Record in Web of Science")</f>
        <v>View Full Record in Web of Science</v>
      </c>
    </row>
    <row r="354" ht="12.75" customHeight="1">
      <c r="A354" s="1" t="s">
        <v>72</v>
      </c>
      <c r="B354" s="1" t="s">
        <v>3350</v>
      </c>
      <c r="C354" s="1" t="s">
        <v>74</v>
      </c>
      <c r="D354" s="1" t="s">
        <v>74</v>
      </c>
      <c r="E354" s="1" t="s">
        <v>74</v>
      </c>
      <c r="F354" s="1" t="s">
        <v>3351</v>
      </c>
      <c r="G354" s="1" t="s">
        <v>74</v>
      </c>
      <c r="H354" s="1" t="s">
        <v>74</v>
      </c>
      <c r="I354" s="1" t="s">
        <v>3352</v>
      </c>
      <c r="J354" s="1" t="s">
        <v>1059</v>
      </c>
      <c r="K354" s="1" t="s">
        <v>74</v>
      </c>
      <c r="L354" s="1" t="s">
        <v>74</v>
      </c>
      <c r="M354" s="1" t="s">
        <v>74</v>
      </c>
      <c r="N354" s="1" t="s">
        <v>74</v>
      </c>
      <c r="O354" s="1" t="s">
        <v>74</v>
      </c>
      <c r="P354" s="1" t="s">
        <v>74</v>
      </c>
      <c r="Q354" s="1" t="s">
        <v>74</v>
      </c>
      <c r="R354" s="1" t="s">
        <v>74</v>
      </c>
      <c r="S354" s="1" t="s">
        <v>74</v>
      </c>
      <c r="T354" s="1" t="s">
        <v>74</v>
      </c>
      <c r="U354" s="1" t="s">
        <v>74</v>
      </c>
      <c r="V354" s="1" t="s">
        <v>3353</v>
      </c>
      <c r="W354" s="1" t="s">
        <v>74</v>
      </c>
      <c r="X354" s="1" t="s">
        <v>74</v>
      </c>
      <c r="Y354" s="1" t="s">
        <v>74</v>
      </c>
      <c r="Z354" s="1" t="s">
        <v>74</v>
      </c>
      <c r="AA354" s="1" t="s">
        <v>3354</v>
      </c>
      <c r="AB354" s="1" t="s">
        <v>3355</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74</v>
      </c>
      <c r="AP354" s="1" t="s">
        <v>1063</v>
      </c>
      <c r="AQ354" s="1" t="s">
        <v>74</v>
      </c>
      <c r="AR354" s="1" t="s">
        <v>74</v>
      </c>
      <c r="AS354" s="1" t="s">
        <v>74</v>
      </c>
      <c r="AT354" s="1" t="s">
        <v>3356</v>
      </c>
      <c r="AU354" s="1">
        <v>2022.0</v>
      </c>
      <c r="AV354" s="1">
        <v>4.0</v>
      </c>
      <c r="AW354" s="1" t="s">
        <v>74</v>
      </c>
      <c r="AX354" s="1" t="s">
        <v>74</v>
      </c>
      <c r="AY354" s="1" t="s">
        <v>74</v>
      </c>
      <c r="AZ354" s="1" t="s">
        <v>74</v>
      </c>
      <c r="BA354" s="1" t="s">
        <v>74</v>
      </c>
      <c r="BB354" s="1" t="s">
        <v>74</v>
      </c>
      <c r="BC354" s="1" t="s">
        <v>74</v>
      </c>
      <c r="BD354" s="1">
        <v>928586.0</v>
      </c>
      <c r="BE354" s="1" t="s">
        <v>3357</v>
      </c>
      <c r="BF354" s="2" t="str">
        <f>HYPERLINK("http://dx.doi.org/10.3389/fpos.2022.928586","http://dx.doi.org/10.3389/fpos.2022.928586")</f>
        <v>http://dx.doi.org/10.3389/fpos.2022.928586</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3358</v>
      </c>
      <c r="BT354" s="1" t="str">
        <f>HYPERLINK("https%3A%2F%2Fwww.webofscience.com%2Fwos%2Fwoscc%2Ffull-record%2FWOS:000994976300001","View Full Record in Web of Science")</f>
        <v>View Full Record in Web of Science</v>
      </c>
    </row>
    <row r="355" ht="12.75" customHeight="1">
      <c r="A355" s="1" t="s">
        <v>72</v>
      </c>
      <c r="B355" s="1" t="s">
        <v>3359</v>
      </c>
      <c r="C355" s="1" t="s">
        <v>74</v>
      </c>
      <c r="D355" s="1" t="s">
        <v>74</v>
      </c>
      <c r="E355" s="1" t="s">
        <v>74</v>
      </c>
      <c r="F355" s="1" t="s">
        <v>3360</v>
      </c>
      <c r="G355" s="1" t="s">
        <v>74</v>
      </c>
      <c r="H355" s="1" t="s">
        <v>74</v>
      </c>
      <c r="I355" s="1" t="s">
        <v>3361</v>
      </c>
      <c r="J355" s="1" t="s">
        <v>325</v>
      </c>
      <c r="K355" s="1" t="s">
        <v>74</v>
      </c>
      <c r="L355" s="1" t="s">
        <v>74</v>
      </c>
      <c r="M355" s="1" t="s">
        <v>74</v>
      </c>
      <c r="N355" s="1" t="s">
        <v>74</v>
      </c>
      <c r="O355" s="1" t="s">
        <v>74</v>
      </c>
      <c r="P355" s="1" t="s">
        <v>74</v>
      </c>
      <c r="Q355" s="1" t="s">
        <v>74</v>
      </c>
      <c r="R355" s="1" t="s">
        <v>74</v>
      </c>
      <c r="S355" s="1" t="s">
        <v>74</v>
      </c>
      <c r="T355" s="1" t="s">
        <v>74</v>
      </c>
      <c r="U355" s="1" t="s">
        <v>74</v>
      </c>
      <c r="V355" s="1" t="s">
        <v>74</v>
      </c>
      <c r="W355" s="1" t="s">
        <v>74</v>
      </c>
      <c r="X355" s="1" t="s">
        <v>74</v>
      </c>
      <c r="Y355" s="1" t="s">
        <v>74</v>
      </c>
      <c r="Z355" s="1" t="s">
        <v>74</v>
      </c>
      <c r="AA355" s="1" t="s">
        <v>3362</v>
      </c>
      <c r="AB355" s="1" t="s">
        <v>3363</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329</v>
      </c>
      <c r="AP355" s="1" t="s">
        <v>74</v>
      </c>
      <c r="AQ355" s="1" t="s">
        <v>74</v>
      </c>
      <c r="AR355" s="1" t="s">
        <v>74</v>
      </c>
      <c r="AS355" s="1" t="s">
        <v>74</v>
      </c>
      <c r="AT355" s="1" t="s">
        <v>3364</v>
      </c>
      <c r="AU355" s="1">
        <v>2020.0</v>
      </c>
      <c r="AV355" s="1">
        <v>15.0</v>
      </c>
      <c r="AW355" s="1">
        <v>10.0</v>
      </c>
      <c r="AX355" s="1" t="s">
        <v>74</v>
      </c>
      <c r="AY355" s="1" t="s">
        <v>74</v>
      </c>
      <c r="AZ355" s="1" t="s">
        <v>74</v>
      </c>
      <c r="BA355" s="1" t="s">
        <v>74</v>
      </c>
      <c r="BB355" s="1" t="s">
        <v>74</v>
      </c>
      <c r="BC355" s="1" t="s">
        <v>74</v>
      </c>
      <c r="BD355" s="1" t="s">
        <v>3365</v>
      </c>
      <c r="BE355" s="1" t="s">
        <v>3366</v>
      </c>
      <c r="BF355" s="2" t="str">
        <f>HYPERLINK("http://dx.doi.org/10.1371/journal.pone.0241873","http://dx.doi.org/10.1371/journal.pone.0241873")</f>
        <v>http://dx.doi.org/10.1371/journal.pone.0241873</v>
      </c>
      <c r="BG355" s="1" t="s">
        <v>74</v>
      </c>
      <c r="BH355" s="1" t="s">
        <v>74</v>
      </c>
      <c r="BI355" s="1" t="s">
        <v>74</v>
      </c>
      <c r="BJ355" s="1" t="s">
        <v>74</v>
      </c>
      <c r="BK355" s="1" t="s">
        <v>74</v>
      </c>
      <c r="BL355" s="1" t="s">
        <v>74</v>
      </c>
      <c r="BM355" s="1" t="s">
        <v>74</v>
      </c>
      <c r="BN355" s="1">
        <v>3.3119714E7</v>
      </c>
      <c r="BO355" s="1" t="s">
        <v>74</v>
      </c>
      <c r="BP355" s="1" t="s">
        <v>74</v>
      </c>
      <c r="BQ355" s="1" t="s">
        <v>74</v>
      </c>
      <c r="BR355" s="1" t="s">
        <v>74</v>
      </c>
      <c r="BS355" s="1" t="s">
        <v>3367</v>
      </c>
      <c r="BT355" s="1" t="str">
        <f>HYPERLINK("https%3A%2F%2Fwww.webofscience.com%2Fwos%2Fwoscc%2Ffull-record%2FWOS:000600013600064","View Full Record in Web of Science")</f>
        <v>View Full Record in Web of Science</v>
      </c>
    </row>
    <row r="356" ht="12.75" customHeight="1">
      <c r="A356" s="1" t="s">
        <v>72</v>
      </c>
      <c r="B356" s="1" t="s">
        <v>3368</v>
      </c>
      <c r="C356" s="1" t="s">
        <v>74</v>
      </c>
      <c r="D356" s="1" t="s">
        <v>74</v>
      </c>
      <c r="E356" s="1" t="s">
        <v>74</v>
      </c>
      <c r="F356" s="1" t="s">
        <v>3369</v>
      </c>
      <c r="G356" s="1" t="s">
        <v>74</v>
      </c>
      <c r="H356" s="1" t="s">
        <v>74</v>
      </c>
      <c r="I356" s="1" t="s">
        <v>3370</v>
      </c>
      <c r="J356" s="1" t="s">
        <v>3371</v>
      </c>
      <c r="K356" s="1" t="s">
        <v>74</v>
      </c>
      <c r="L356" s="1" t="s">
        <v>74</v>
      </c>
      <c r="M356" s="1" t="s">
        <v>74</v>
      </c>
      <c r="N356" s="1" t="s">
        <v>74</v>
      </c>
      <c r="O356" s="1" t="s">
        <v>74</v>
      </c>
      <c r="P356" s="1" t="s">
        <v>74</v>
      </c>
      <c r="Q356" s="1" t="s">
        <v>74</v>
      </c>
      <c r="R356" s="1" t="s">
        <v>74</v>
      </c>
      <c r="S356" s="1" t="s">
        <v>74</v>
      </c>
      <c r="T356" s="1" t="s">
        <v>74</v>
      </c>
      <c r="U356" s="1" t="s">
        <v>74</v>
      </c>
      <c r="V356" s="1" t="s">
        <v>3372</v>
      </c>
      <c r="W356" s="1" t="s">
        <v>74</v>
      </c>
      <c r="X356" s="1" t="s">
        <v>74</v>
      </c>
      <c r="Y356" s="1" t="s">
        <v>74</v>
      </c>
      <c r="Z356" s="1" t="s">
        <v>74</v>
      </c>
      <c r="AA356" s="1" t="s">
        <v>935</v>
      </c>
      <c r="AB356" s="1" t="s">
        <v>74</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3373</v>
      </c>
      <c r="AP356" s="1" t="s">
        <v>3374</v>
      </c>
      <c r="AQ356" s="1" t="s">
        <v>74</v>
      </c>
      <c r="AR356" s="1" t="s">
        <v>74</v>
      </c>
      <c r="AS356" s="1" t="s">
        <v>74</v>
      </c>
      <c r="AT356" s="1" t="s">
        <v>391</v>
      </c>
      <c r="AU356" s="1">
        <v>2020.0</v>
      </c>
      <c r="AV356" s="1">
        <v>29.0</v>
      </c>
      <c r="AW356" s="1">
        <v>2.0</v>
      </c>
      <c r="AX356" s="1" t="s">
        <v>74</v>
      </c>
      <c r="AY356" s="1" t="s">
        <v>74</v>
      </c>
      <c r="AZ356" s="1" t="s">
        <v>74</v>
      </c>
      <c r="BA356" s="1" t="s">
        <v>74</v>
      </c>
      <c r="BB356" s="1">
        <v>43.0</v>
      </c>
      <c r="BC356" s="1">
        <v>50.0</v>
      </c>
      <c r="BD356" s="1" t="s">
        <v>74</v>
      </c>
      <c r="BE356" s="1" t="s">
        <v>74</v>
      </c>
      <c r="BF356" s="1" t="s">
        <v>74</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3375</v>
      </c>
      <c r="BT356" s="1" t="str">
        <f>HYPERLINK("https%3A%2F%2Fwww.webofscience.com%2Fwos%2Fwoscc%2Ffull-record%2FWOS:000615755700004","View Full Record in Web of Science")</f>
        <v>View Full Record in Web of Science</v>
      </c>
    </row>
    <row r="357" ht="12.75" customHeight="1">
      <c r="A357" s="1" t="s">
        <v>72</v>
      </c>
      <c r="B357" s="1" t="s">
        <v>3376</v>
      </c>
      <c r="C357" s="1" t="s">
        <v>74</v>
      </c>
      <c r="D357" s="1" t="s">
        <v>74</v>
      </c>
      <c r="E357" s="1" t="s">
        <v>74</v>
      </c>
      <c r="F357" s="1" t="s">
        <v>3377</v>
      </c>
      <c r="G357" s="1" t="s">
        <v>74</v>
      </c>
      <c r="H357" s="1" t="s">
        <v>74</v>
      </c>
      <c r="I357" s="1" t="s">
        <v>3378</v>
      </c>
      <c r="J357" s="1" t="s">
        <v>2347</v>
      </c>
      <c r="K357" s="1" t="s">
        <v>74</v>
      </c>
      <c r="L357" s="1" t="s">
        <v>74</v>
      </c>
      <c r="M357" s="1" t="s">
        <v>74</v>
      </c>
      <c r="N357" s="1" t="s">
        <v>74</v>
      </c>
      <c r="O357" s="1" t="s">
        <v>74</v>
      </c>
      <c r="P357" s="1" t="s">
        <v>74</v>
      </c>
      <c r="Q357" s="1" t="s">
        <v>74</v>
      </c>
      <c r="R357" s="1" t="s">
        <v>74</v>
      </c>
      <c r="S357" s="1" t="s">
        <v>74</v>
      </c>
      <c r="T357" s="1" t="s">
        <v>74</v>
      </c>
      <c r="U357" s="1" t="s">
        <v>74</v>
      </c>
      <c r="V357" s="1" t="s">
        <v>3379</v>
      </c>
      <c r="W357" s="1" t="s">
        <v>74</v>
      </c>
      <c r="X357" s="1" t="s">
        <v>74</v>
      </c>
      <c r="Y357" s="1" t="s">
        <v>74</v>
      </c>
      <c r="Z357" s="1" t="s">
        <v>74</v>
      </c>
      <c r="AA357" s="1" t="s">
        <v>3380</v>
      </c>
      <c r="AB357" s="1" t="s">
        <v>3381</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2351</v>
      </c>
      <c r="AP357" s="1" t="s">
        <v>2352</v>
      </c>
      <c r="AQ357" s="1" t="s">
        <v>74</v>
      </c>
      <c r="AR357" s="1" t="s">
        <v>74</v>
      </c>
      <c r="AS357" s="1" t="s">
        <v>74</v>
      </c>
      <c r="AT357" s="1" t="s">
        <v>94</v>
      </c>
      <c r="AU357" s="1">
        <v>2017.0</v>
      </c>
      <c r="AV357" s="1">
        <v>21.0</v>
      </c>
      <c r="AW357" s="1">
        <v>1.0</v>
      </c>
      <c r="AX357" s="1" t="s">
        <v>74</v>
      </c>
      <c r="AY357" s="1" t="s">
        <v>74</v>
      </c>
      <c r="AZ357" s="1" t="s">
        <v>74</v>
      </c>
      <c r="BA357" s="1" t="s">
        <v>74</v>
      </c>
      <c r="BB357" s="1">
        <v>243.0</v>
      </c>
      <c r="BC357" s="1">
        <v>253.0</v>
      </c>
      <c r="BD357" s="1" t="s">
        <v>74</v>
      </c>
      <c r="BE357" s="1" t="s">
        <v>3382</v>
      </c>
      <c r="BF357" s="2" t="str">
        <f>HYPERLINK("http://dx.doi.org/10.1007/s10008-016-3367-4","http://dx.doi.org/10.1007/s10008-016-3367-4")</f>
        <v>http://dx.doi.org/10.1007/s10008-016-3367-4</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3383</v>
      </c>
      <c r="BT357" s="1" t="str">
        <f>HYPERLINK("https%3A%2F%2Fwww.webofscience.com%2Fwos%2Fwoscc%2Ffull-record%2FWOS:000391390500025","View Full Record in Web of Science")</f>
        <v>View Full Record in Web of Science</v>
      </c>
    </row>
    <row r="358" ht="12.75" customHeight="1">
      <c r="A358" s="1" t="s">
        <v>241</v>
      </c>
      <c r="B358" s="1" t="s">
        <v>3384</v>
      </c>
      <c r="C358" s="1" t="s">
        <v>74</v>
      </c>
      <c r="D358" s="1" t="s">
        <v>74</v>
      </c>
      <c r="E358" s="1" t="s">
        <v>814</v>
      </c>
      <c r="F358" s="1" t="s">
        <v>3385</v>
      </c>
      <c r="G358" s="1" t="s">
        <v>74</v>
      </c>
      <c r="H358" s="1" t="s">
        <v>74</v>
      </c>
      <c r="I358" s="1" t="s">
        <v>3386</v>
      </c>
      <c r="J358" s="1" t="s">
        <v>3387</v>
      </c>
      <c r="K358" s="1" t="s">
        <v>74</v>
      </c>
      <c r="L358" s="1" t="s">
        <v>74</v>
      </c>
      <c r="M358" s="1" t="s">
        <v>74</v>
      </c>
      <c r="N358" s="1" t="s">
        <v>74</v>
      </c>
      <c r="O358" s="1" t="s">
        <v>3388</v>
      </c>
      <c r="P358" s="1" t="s">
        <v>3389</v>
      </c>
      <c r="Q358" s="1" t="s">
        <v>3390</v>
      </c>
      <c r="R358" s="1" t="s">
        <v>3391</v>
      </c>
      <c r="S358" s="1" t="s">
        <v>74</v>
      </c>
      <c r="T358" s="1" t="s">
        <v>74</v>
      </c>
      <c r="U358" s="1" t="s">
        <v>74</v>
      </c>
      <c r="V358" s="1" t="s">
        <v>3392</v>
      </c>
      <c r="W358" s="1" t="s">
        <v>74</v>
      </c>
      <c r="X358" s="1" t="s">
        <v>74</v>
      </c>
      <c r="Y358" s="1" t="s">
        <v>74</v>
      </c>
      <c r="Z358" s="1" t="s">
        <v>74</v>
      </c>
      <c r="AA358" s="1" t="s">
        <v>74</v>
      </c>
      <c r="AB358" s="1" t="s">
        <v>74</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74</v>
      </c>
      <c r="AP358" s="1" t="s">
        <v>74</v>
      </c>
      <c r="AQ358" s="1" t="s">
        <v>3393</v>
      </c>
      <c r="AR358" s="1" t="s">
        <v>74</v>
      </c>
      <c r="AS358" s="1" t="s">
        <v>74</v>
      </c>
      <c r="AT358" s="1" t="s">
        <v>74</v>
      </c>
      <c r="AU358" s="1">
        <v>2017.0</v>
      </c>
      <c r="AV358" s="1" t="s">
        <v>74</v>
      </c>
      <c r="AW358" s="1" t="s">
        <v>74</v>
      </c>
      <c r="AX358" s="1" t="s">
        <v>74</v>
      </c>
      <c r="AY358" s="1" t="s">
        <v>74</v>
      </c>
      <c r="AZ358" s="1" t="s">
        <v>74</v>
      </c>
      <c r="BA358" s="1" t="s">
        <v>74</v>
      </c>
      <c r="BB358" s="1" t="s">
        <v>74</v>
      </c>
      <c r="BC358" s="1" t="s">
        <v>74</v>
      </c>
      <c r="BD358" s="1" t="s">
        <v>3394</v>
      </c>
      <c r="BE358" s="1" t="s">
        <v>74</v>
      </c>
      <c r="BF358" s="1" t="s">
        <v>74</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3395</v>
      </c>
      <c r="BT358" s="1" t="str">
        <f>HYPERLINK("https%3A%2F%2Fwww.webofscience.com%2Fwos%2Fwoscc%2Ffull-record%2FWOS:000400877800025","View Full Record in Web of Science")</f>
        <v>View Full Record in Web of Science</v>
      </c>
    </row>
    <row r="359" ht="12.75" customHeight="1">
      <c r="A359" s="1" t="s">
        <v>72</v>
      </c>
      <c r="B359" s="1" t="s">
        <v>3396</v>
      </c>
      <c r="C359" s="1" t="s">
        <v>74</v>
      </c>
      <c r="D359" s="1" t="s">
        <v>74</v>
      </c>
      <c r="E359" s="1" t="s">
        <v>74</v>
      </c>
      <c r="F359" s="1" t="s">
        <v>3397</v>
      </c>
      <c r="G359" s="1" t="s">
        <v>74</v>
      </c>
      <c r="H359" s="1" t="s">
        <v>74</v>
      </c>
      <c r="I359" s="1" t="s">
        <v>3398</v>
      </c>
      <c r="J359" s="1" t="s">
        <v>3399</v>
      </c>
      <c r="K359" s="1" t="s">
        <v>74</v>
      </c>
      <c r="L359" s="1" t="s">
        <v>74</v>
      </c>
      <c r="M359" s="1" t="s">
        <v>74</v>
      </c>
      <c r="N359" s="1" t="s">
        <v>74</v>
      </c>
      <c r="O359" s="1" t="s">
        <v>74</v>
      </c>
      <c r="P359" s="1" t="s">
        <v>74</v>
      </c>
      <c r="Q359" s="1" t="s">
        <v>74</v>
      </c>
      <c r="R359" s="1" t="s">
        <v>74</v>
      </c>
      <c r="S359" s="1" t="s">
        <v>74</v>
      </c>
      <c r="T359" s="1" t="s">
        <v>74</v>
      </c>
      <c r="U359" s="1" t="s">
        <v>74</v>
      </c>
      <c r="V359" s="1" t="s">
        <v>3400</v>
      </c>
      <c r="W359" s="1" t="s">
        <v>74</v>
      </c>
      <c r="X359" s="1" t="s">
        <v>74</v>
      </c>
      <c r="Y359" s="1" t="s">
        <v>74</v>
      </c>
      <c r="Z359" s="1" t="s">
        <v>74</v>
      </c>
      <c r="AA359" s="1" t="s">
        <v>572</v>
      </c>
      <c r="AB359" s="1" t="s">
        <v>573</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3401</v>
      </c>
      <c r="AP359" s="1" t="s">
        <v>74</v>
      </c>
      <c r="AQ359" s="1" t="s">
        <v>74</v>
      </c>
      <c r="AR359" s="1" t="s">
        <v>74</v>
      </c>
      <c r="AS359" s="1" t="s">
        <v>74</v>
      </c>
      <c r="AT359" s="1" t="s">
        <v>74</v>
      </c>
      <c r="AU359" s="1">
        <v>2017.0</v>
      </c>
      <c r="AV359" s="1">
        <v>8.0</v>
      </c>
      <c r="AW359" s="1" t="s">
        <v>74</v>
      </c>
      <c r="AX359" s="1" t="s">
        <v>74</v>
      </c>
      <c r="AY359" s="1" t="s">
        <v>74</v>
      </c>
      <c r="AZ359" s="1" t="s">
        <v>74</v>
      </c>
      <c r="BA359" s="1" t="s">
        <v>74</v>
      </c>
      <c r="BB359" s="1" t="s">
        <v>74</v>
      </c>
      <c r="BC359" s="1" t="s">
        <v>74</v>
      </c>
      <c r="BD359" s="1">
        <v>4103004.0</v>
      </c>
      <c r="BE359" s="1" t="s">
        <v>3402</v>
      </c>
      <c r="BF359" s="2" t="str">
        <f>HYPERLINK("http://dx.doi.org/10.1109/LMAG.2016.2633419","http://dx.doi.org/10.1109/LMAG.2016.2633419")</f>
        <v>http://dx.doi.org/10.1109/LMAG.2016.2633419</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3403</v>
      </c>
      <c r="BT359" s="1" t="str">
        <f>HYPERLINK("https%3A%2F%2Fwww.webofscience.com%2Fwos%2Fwoscc%2Ffull-record%2FWOS:000398701600001","View Full Record in Web of Science")</f>
        <v>View Full Record in Web of Science</v>
      </c>
    </row>
    <row r="360" ht="12.75" customHeight="1">
      <c r="A360" s="1" t="s">
        <v>72</v>
      </c>
      <c r="B360" s="1" t="s">
        <v>3404</v>
      </c>
      <c r="C360" s="1" t="s">
        <v>74</v>
      </c>
      <c r="D360" s="1" t="s">
        <v>74</v>
      </c>
      <c r="E360" s="1" t="s">
        <v>74</v>
      </c>
      <c r="F360" s="1" t="s">
        <v>3405</v>
      </c>
      <c r="G360" s="1" t="s">
        <v>74</v>
      </c>
      <c r="H360" s="1" t="s">
        <v>74</v>
      </c>
      <c r="I360" s="1" t="s">
        <v>3406</v>
      </c>
      <c r="J360" s="1" t="s">
        <v>3407</v>
      </c>
      <c r="K360" s="1" t="s">
        <v>74</v>
      </c>
      <c r="L360" s="1" t="s">
        <v>74</v>
      </c>
      <c r="M360" s="1" t="s">
        <v>74</v>
      </c>
      <c r="N360" s="1" t="s">
        <v>74</v>
      </c>
      <c r="O360" s="1" t="s">
        <v>74</v>
      </c>
      <c r="P360" s="1" t="s">
        <v>74</v>
      </c>
      <c r="Q360" s="1" t="s">
        <v>74</v>
      </c>
      <c r="R360" s="1" t="s">
        <v>74</v>
      </c>
      <c r="S360" s="1" t="s">
        <v>74</v>
      </c>
      <c r="T360" s="1" t="s">
        <v>74</v>
      </c>
      <c r="U360" s="1" t="s">
        <v>74</v>
      </c>
      <c r="V360" s="1" t="s">
        <v>3408</v>
      </c>
      <c r="W360" s="1" t="s">
        <v>74</v>
      </c>
      <c r="X360" s="1" t="s">
        <v>74</v>
      </c>
      <c r="Y360" s="1" t="s">
        <v>74</v>
      </c>
      <c r="Z360" s="1" t="s">
        <v>74</v>
      </c>
      <c r="AA360" s="1" t="s">
        <v>3409</v>
      </c>
      <c r="AB360" s="1" t="s">
        <v>3410</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3411</v>
      </c>
      <c r="AP360" s="1" t="s">
        <v>74</v>
      </c>
      <c r="AQ360" s="1" t="s">
        <v>74</v>
      </c>
      <c r="AR360" s="1" t="s">
        <v>74</v>
      </c>
      <c r="AS360" s="1" t="s">
        <v>74</v>
      </c>
      <c r="AT360" s="1" t="s">
        <v>607</v>
      </c>
      <c r="AU360" s="1">
        <v>2016.0</v>
      </c>
      <c r="AV360" s="1">
        <v>6.0</v>
      </c>
      <c r="AW360" s="1">
        <v>2.0</v>
      </c>
      <c r="AX360" s="1" t="s">
        <v>74</v>
      </c>
      <c r="AY360" s="1" t="s">
        <v>74</v>
      </c>
      <c r="AZ360" s="1" t="s">
        <v>74</v>
      </c>
      <c r="BA360" s="1" t="s">
        <v>74</v>
      </c>
      <c r="BB360" s="1" t="s">
        <v>74</v>
      </c>
      <c r="BC360" s="1" t="s">
        <v>74</v>
      </c>
      <c r="BD360" s="1" t="s">
        <v>74</v>
      </c>
      <c r="BE360" s="1" t="s">
        <v>3412</v>
      </c>
      <c r="BF360" s="2" t="str">
        <f>HYPERLINK("http://dx.doi.org/10.3390/nano6020028","http://dx.doi.org/10.3390/nano6020028")</f>
        <v>http://dx.doi.org/10.3390/nano6020028</v>
      </c>
      <c r="BG360" s="1" t="s">
        <v>74</v>
      </c>
      <c r="BH360" s="1" t="s">
        <v>74</v>
      </c>
      <c r="BI360" s="1" t="s">
        <v>74</v>
      </c>
      <c r="BJ360" s="1" t="s">
        <v>74</v>
      </c>
      <c r="BK360" s="1" t="s">
        <v>74</v>
      </c>
      <c r="BL360" s="1" t="s">
        <v>74</v>
      </c>
      <c r="BM360" s="1" t="s">
        <v>74</v>
      </c>
      <c r="BN360" s="1">
        <v>2.8344285E7</v>
      </c>
      <c r="BO360" s="1" t="s">
        <v>74</v>
      </c>
      <c r="BP360" s="1" t="s">
        <v>74</v>
      </c>
      <c r="BQ360" s="1" t="s">
        <v>74</v>
      </c>
      <c r="BR360" s="1" t="s">
        <v>74</v>
      </c>
      <c r="BS360" s="1" t="s">
        <v>3413</v>
      </c>
      <c r="BT360" s="1" t="str">
        <f>HYPERLINK("https%3A%2F%2Fwww.webofscience.com%2Fwos%2Fwoscc%2Ffull-record%2FWOS:000371829300003","View Full Record in Web of Science")</f>
        <v>View Full Record in Web of Science</v>
      </c>
    </row>
    <row r="361" ht="12.75" customHeight="1">
      <c r="A361" s="1" t="s">
        <v>72</v>
      </c>
      <c r="B361" s="1" t="s">
        <v>3414</v>
      </c>
      <c r="C361" s="1" t="s">
        <v>74</v>
      </c>
      <c r="D361" s="1" t="s">
        <v>74</v>
      </c>
      <c r="E361" s="1" t="s">
        <v>74</v>
      </c>
      <c r="F361" s="1" t="s">
        <v>3415</v>
      </c>
      <c r="G361" s="1" t="s">
        <v>74</v>
      </c>
      <c r="H361" s="1" t="s">
        <v>74</v>
      </c>
      <c r="I361" s="1" t="s">
        <v>3416</v>
      </c>
      <c r="J361" s="1" t="s">
        <v>3417</v>
      </c>
      <c r="K361" s="1" t="s">
        <v>74</v>
      </c>
      <c r="L361" s="1" t="s">
        <v>74</v>
      </c>
      <c r="M361" s="1" t="s">
        <v>74</v>
      </c>
      <c r="N361" s="1" t="s">
        <v>74</v>
      </c>
      <c r="O361" s="1" t="s">
        <v>74</v>
      </c>
      <c r="P361" s="1" t="s">
        <v>74</v>
      </c>
      <c r="Q361" s="1" t="s">
        <v>74</v>
      </c>
      <c r="R361" s="1" t="s">
        <v>74</v>
      </c>
      <c r="S361" s="1" t="s">
        <v>74</v>
      </c>
      <c r="T361" s="1" t="s">
        <v>74</v>
      </c>
      <c r="U361" s="1" t="s">
        <v>74</v>
      </c>
      <c r="V361" s="1" t="s">
        <v>3418</v>
      </c>
      <c r="W361" s="1" t="s">
        <v>74</v>
      </c>
      <c r="X361" s="1" t="s">
        <v>74</v>
      </c>
      <c r="Y361" s="1" t="s">
        <v>74</v>
      </c>
      <c r="Z361" s="1" t="s">
        <v>74</v>
      </c>
      <c r="AA361" s="1" t="s">
        <v>3204</v>
      </c>
      <c r="AB361" s="1" t="s">
        <v>3205</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3419</v>
      </c>
      <c r="AP361" s="1" t="s">
        <v>74</v>
      </c>
      <c r="AQ361" s="1" t="s">
        <v>74</v>
      </c>
      <c r="AR361" s="1" t="s">
        <v>74</v>
      </c>
      <c r="AS361" s="1" t="s">
        <v>74</v>
      </c>
      <c r="AT361" s="1" t="s">
        <v>3420</v>
      </c>
      <c r="AU361" s="1">
        <v>2015.0</v>
      </c>
      <c r="AV361" s="1" t="s">
        <v>74</v>
      </c>
      <c r="AW361" s="1" t="s">
        <v>74</v>
      </c>
      <c r="AX361" s="1" t="s">
        <v>74</v>
      </c>
      <c r="AY361" s="1" t="s">
        <v>74</v>
      </c>
      <c r="AZ361" s="1" t="s">
        <v>74</v>
      </c>
      <c r="BA361" s="1" t="s">
        <v>74</v>
      </c>
      <c r="BB361" s="1" t="s">
        <v>74</v>
      </c>
      <c r="BC361" s="1" t="s">
        <v>74</v>
      </c>
      <c r="BD361" s="1">
        <v>31.0</v>
      </c>
      <c r="BE361" s="1" t="s">
        <v>3421</v>
      </c>
      <c r="BF361" s="2" t="str">
        <f>HYPERLINK("http://dx.doi.org/10.1186/s13662-015-0370-5","http://dx.doi.org/10.1186/s13662-015-0370-5")</f>
        <v>http://dx.doi.org/10.1186/s13662-015-0370-5</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3422</v>
      </c>
      <c r="BT361" s="1" t="str">
        <f>HYPERLINK("https%3A%2F%2Fwww.webofscience.com%2Fwos%2Fwoscc%2Ffull-record%2FWOS:000348985200005","View Full Record in Web of Science")</f>
        <v>View Full Record in Web of Science</v>
      </c>
    </row>
    <row r="362" ht="12.75" customHeight="1">
      <c r="A362" s="1" t="s">
        <v>72</v>
      </c>
      <c r="B362" s="1" t="s">
        <v>3423</v>
      </c>
      <c r="C362" s="1" t="s">
        <v>74</v>
      </c>
      <c r="D362" s="1" t="s">
        <v>74</v>
      </c>
      <c r="E362" s="1" t="s">
        <v>74</v>
      </c>
      <c r="F362" s="1" t="s">
        <v>3424</v>
      </c>
      <c r="G362" s="1" t="s">
        <v>74</v>
      </c>
      <c r="H362" s="1" t="s">
        <v>74</v>
      </c>
      <c r="I362" s="1" t="s">
        <v>3425</v>
      </c>
      <c r="J362" s="1" t="s">
        <v>3426</v>
      </c>
      <c r="K362" s="1" t="s">
        <v>74</v>
      </c>
      <c r="L362" s="1" t="s">
        <v>74</v>
      </c>
      <c r="M362" s="1" t="s">
        <v>74</v>
      </c>
      <c r="N362" s="1" t="s">
        <v>74</v>
      </c>
      <c r="O362" s="1" t="s">
        <v>74</v>
      </c>
      <c r="P362" s="1" t="s">
        <v>74</v>
      </c>
      <c r="Q362" s="1" t="s">
        <v>74</v>
      </c>
      <c r="R362" s="1" t="s">
        <v>74</v>
      </c>
      <c r="S362" s="1" t="s">
        <v>74</v>
      </c>
      <c r="T362" s="1" t="s">
        <v>74</v>
      </c>
      <c r="U362" s="1" t="s">
        <v>74</v>
      </c>
      <c r="V362" s="1" t="s">
        <v>3427</v>
      </c>
      <c r="W362" s="1" t="s">
        <v>74</v>
      </c>
      <c r="X362" s="1" t="s">
        <v>74</v>
      </c>
      <c r="Y362" s="1" t="s">
        <v>74</v>
      </c>
      <c r="Z362" s="1" t="s">
        <v>74</v>
      </c>
      <c r="AA362" s="1" t="s">
        <v>2960</v>
      </c>
      <c r="AB362" s="1" t="s">
        <v>2961</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3428</v>
      </c>
      <c r="AP362" s="1" t="s">
        <v>3429</v>
      </c>
      <c r="AQ362" s="1" t="s">
        <v>74</v>
      </c>
      <c r="AR362" s="1" t="s">
        <v>74</v>
      </c>
      <c r="AS362" s="1" t="s">
        <v>74</v>
      </c>
      <c r="AT362" s="1" t="s">
        <v>74</v>
      </c>
      <c r="AU362" s="1">
        <v>2013.0</v>
      </c>
      <c r="AV362" s="1">
        <v>33.0</v>
      </c>
      <c r="AW362" s="1">
        <v>3.0</v>
      </c>
      <c r="AX362" s="1" t="s">
        <v>74</v>
      </c>
      <c r="AY362" s="1" t="s">
        <v>74</v>
      </c>
      <c r="AZ362" s="1" t="s">
        <v>74</v>
      </c>
      <c r="BA362" s="1" t="s">
        <v>74</v>
      </c>
      <c r="BB362" s="1">
        <v>382.0</v>
      </c>
      <c r="BC362" s="1">
        <v>384.0</v>
      </c>
      <c r="BD362" s="1" t="s">
        <v>74</v>
      </c>
      <c r="BE362" s="1" t="s">
        <v>74</v>
      </c>
      <c r="BF362" s="1" t="s">
        <v>74</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3430</v>
      </c>
      <c r="BT362" s="1" t="str">
        <f>HYPERLINK("https%3A%2F%2Fwww.webofscience.com%2Fwos%2Fwoscc%2Ffull-record%2FWOS:000321701200025","View Full Record in Web of Science")</f>
        <v>View Full Record in Web of Science</v>
      </c>
    </row>
    <row r="363" ht="12.75" customHeight="1">
      <c r="A363" s="1" t="s">
        <v>72</v>
      </c>
      <c r="B363" s="1" t="s">
        <v>3431</v>
      </c>
      <c r="C363" s="1" t="s">
        <v>74</v>
      </c>
      <c r="D363" s="1" t="s">
        <v>74</v>
      </c>
      <c r="E363" s="1" t="s">
        <v>74</v>
      </c>
      <c r="F363" s="1" t="s">
        <v>3432</v>
      </c>
      <c r="G363" s="1" t="s">
        <v>74</v>
      </c>
      <c r="H363" s="1" t="s">
        <v>74</v>
      </c>
      <c r="I363" s="1" t="s">
        <v>3433</v>
      </c>
      <c r="J363" s="1" t="s">
        <v>3434</v>
      </c>
      <c r="K363" s="1" t="s">
        <v>74</v>
      </c>
      <c r="L363" s="1" t="s">
        <v>74</v>
      </c>
      <c r="M363" s="1" t="s">
        <v>74</v>
      </c>
      <c r="N363" s="1" t="s">
        <v>74</v>
      </c>
      <c r="O363" s="1" t="s">
        <v>74</v>
      </c>
      <c r="P363" s="1" t="s">
        <v>74</v>
      </c>
      <c r="Q363" s="1" t="s">
        <v>74</v>
      </c>
      <c r="R363" s="1" t="s">
        <v>74</v>
      </c>
      <c r="S363" s="1" t="s">
        <v>74</v>
      </c>
      <c r="T363" s="1" t="s">
        <v>74</v>
      </c>
      <c r="U363" s="1" t="s">
        <v>74</v>
      </c>
      <c r="V363" s="1" t="s">
        <v>3435</v>
      </c>
      <c r="W363" s="1" t="s">
        <v>74</v>
      </c>
      <c r="X363" s="1" t="s">
        <v>74</v>
      </c>
      <c r="Y363" s="1" t="s">
        <v>74</v>
      </c>
      <c r="Z363" s="1" t="s">
        <v>74</v>
      </c>
      <c r="AA363" s="1" t="s">
        <v>3436</v>
      </c>
      <c r="AB363" s="1" t="s">
        <v>3437</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3438</v>
      </c>
      <c r="AP363" s="1" t="s">
        <v>3439</v>
      </c>
      <c r="AQ363" s="1" t="s">
        <v>74</v>
      </c>
      <c r="AR363" s="1" t="s">
        <v>74</v>
      </c>
      <c r="AS363" s="1" t="s">
        <v>74</v>
      </c>
      <c r="AT363" s="1" t="s">
        <v>94</v>
      </c>
      <c r="AU363" s="1">
        <v>2012.0</v>
      </c>
      <c r="AV363" s="1">
        <v>81.0</v>
      </c>
      <c r="AW363" s="1">
        <v>1.0</v>
      </c>
      <c r="AX363" s="1" t="s">
        <v>74</v>
      </c>
      <c r="AY363" s="1" t="s">
        <v>74</v>
      </c>
      <c r="AZ363" s="1" t="s">
        <v>74</v>
      </c>
      <c r="BA363" s="1" t="s">
        <v>74</v>
      </c>
      <c r="BB363" s="1">
        <v>64.0</v>
      </c>
      <c r="BC363" s="1">
        <v>69.0</v>
      </c>
      <c r="BD363" s="1" t="s">
        <v>74</v>
      </c>
      <c r="BE363" s="1" t="s">
        <v>3440</v>
      </c>
      <c r="BF363" s="2" t="str">
        <f>HYPERLINK("http://dx.doi.org/10.1016/j.radphyschem.2011.08.008","http://dx.doi.org/10.1016/j.radphyschem.2011.08.008")</f>
        <v>http://dx.doi.org/10.1016/j.radphyschem.2011.08.008</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3441</v>
      </c>
      <c r="BT363" s="1" t="str">
        <f>HYPERLINK("https%3A%2F%2Fwww.webofscience.com%2Fwos%2Fwoscc%2Ffull-record%2FWOS:000297454000012","View Full Record in Web of Science")</f>
        <v>View Full Record in Web of Science</v>
      </c>
    </row>
    <row r="364" ht="12.75" customHeight="1">
      <c r="A364" s="1" t="s">
        <v>72</v>
      </c>
      <c r="B364" s="1" t="s">
        <v>3442</v>
      </c>
      <c r="C364" s="1" t="s">
        <v>74</v>
      </c>
      <c r="D364" s="1" t="s">
        <v>74</v>
      </c>
      <c r="E364" s="1" t="s">
        <v>74</v>
      </c>
      <c r="F364" s="1" t="s">
        <v>3443</v>
      </c>
      <c r="G364" s="1" t="s">
        <v>74</v>
      </c>
      <c r="H364" s="1" t="s">
        <v>74</v>
      </c>
      <c r="I364" s="1" t="s">
        <v>3444</v>
      </c>
      <c r="J364" s="1" t="s">
        <v>3237</v>
      </c>
      <c r="K364" s="1" t="s">
        <v>74</v>
      </c>
      <c r="L364" s="1" t="s">
        <v>74</v>
      </c>
      <c r="M364" s="1" t="s">
        <v>74</v>
      </c>
      <c r="N364" s="1" t="s">
        <v>74</v>
      </c>
      <c r="O364" s="1" t="s">
        <v>74</v>
      </c>
      <c r="P364" s="1" t="s">
        <v>74</v>
      </c>
      <c r="Q364" s="1" t="s">
        <v>74</v>
      </c>
      <c r="R364" s="1" t="s">
        <v>74</v>
      </c>
      <c r="S364" s="1" t="s">
        <v>74</v>
      </c>
      <c r="T364" s="1" t="s">
        <v>74</v>
      </c>
      <c r="U364" s="1" t="s">
        <v>74</v>
      </c>
      <c r="V364" s="1" t="s">
        <v>3445</v>
      </c>
      <c r="W364" s="1" t="s">
        <v>74</v>
      </c>
      <c r="X364" s="1" t="s">
        <v>74</v>
      </c>
      <c r="Y364" s="1" t="s">
        <v>74</v>
      </c>
      <c r="Z364" s="1" t="s">
        <v>74</v>
      </c>
      <c r="AA364" s="1" t="s">
        <v>3446</v>
      </c>
      <c r="AB364" s="1" t="s">
        <v>3447</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3238</v>
      </c>
      <c r="AP364" s="1" t="s">
        <v>74</v>
      </c>
      <c r="AQ364" s="1" t="s">
        <v>74</v>
      </c>
      <c r="AR364" s="1" t="s">
        <v>74</v>
      </c>
      <c r="AS364" s="1" t="s">
        <v>74</v>
      </c>
      <c r="AT364" s="1" t="s">
        <v>501</v>
      </c>
      <c r="AU364" s="1">
        <v>2011.0</v>
      </c>
      <c r="AV364" s="1">
        <v>84.0</v>
      </c>
      <c r="AW364" s="1">
        <v>5.0</v>
      </c>
      <c r="AX364" s="1" t="s">
        <v>74</v>
      </c>
      <c r="AY364" s="1" t="s">
        <v>74</v>
      </c>
      <c r="AZ364" s="1" t="s">
        <v>74</v>
      </c>
      <c r="BA364" s="1" t="s">
        <v>74</v>
      </c>
      <c r="BB364" s="1">
        <v>486.0</v>
      </c>
      <c r="BC364" s="1">
        <v>492.0</v>
      </c>
      <c r="BD364" s="1" t="s">
        <v>74</v>
      </c>
      <c r="BE364" s="1" t="s">
        <v>3448</v>
      </c>
      <c r="BF364" s="2" t="str">
        <f>HYPERLINK("http://dx.doi.org/10.1016/j.contraception.2011.03.006","http://dx.doi.org/10.1016/j.contraception.2011.03.006")</f>
        <v>http://dx.doi.org/10.1016/j.contraception.2011.03.006</v>
      </c>
      <c r="BG364" s="1" t="s">
        <v>74</v>
      </c>
      <c r="BH364" s="1" t="s">
        <v>74</v>
      </c>
      <c r="BI364" s="1" t="s">
        <v>74</v>
      </c>
      <c r="BJ364" s="1" t="s">
        <v>74</v>
      </c>
      <c r="BK364" s="1" t="s">
        <v>74</v>
      </c>
      <c r="BL364" s="1" t="s">
        <v>74</v>
      </c>
      <c r="BM364" s="1" t="s">
        <v>74</v>
      </c>
      <c r="BN364" s="1">
        <v>2.2018122E7</v>
      </c>
      <c r="BO364" s="1" t="s">
        <v>74</v>
      </c>
      <c r="BP364" s="1" t="s">
        <v>74</v>
      </c>
      <c r="BQ364" s="1" t="s">
        <v>74</v>
      </c>
      <c r="BR364" s="1" t="s">
        <v>74</v>
      </c>
      <c r="BS364" s="1" t="s">
        <v>3449</v>
      </c>
      <c r="BT364" s="1" t="str">
        <f>HYPERLINK("https%3A%2F%2Fwww.webofscience.com%2Fwos%2Fwoscc%2Ffull-record%2FWOS:000296930700008","View Full Record in Web of Science")</f>
        <v>View Full Record in Web of Science</v>
      </c>
    </row>
    <row r="365" ht="12.75" customHeight="1">
      <c r="A365" s="1" t="s">
        <v>72</v>
      </c>
      <c r="B365" s="1" t="s">
        <v>3450</v>
      </c>
      <c r="C365" s="1" t="s">
        <v>74</v>
      </c>
      <c r="D365" s="1" t="s">
        <v>74</v>
      </c>
      <c r="E365" s="1" t="s">
        <v>74</v>
      </c>
      <c r="F365" s="1" t="s">
        <v>3451</v>
      </c>
      <c r="G365" s="1" t="s">
        <v>74</v>
      </c>
      <c r="H365" s="1" t="s">
        <v>74</v>
      </c>
      <c r="I365" s="1" t="s">
        <v>3452</v>
      </c>
      <c r="J365" s="1" t="s">
        <v>3453</v>
      </c>
      <c r="K365" s="1" t="s">
        <v>74</v>
      </c>
      <c r="L365" s="1" t="s">
        <v>74</v>
      </c>
      <c r="M365" s="1" t="s">
        <v>74</v>
      </c>
      <c r="N365" s="1" t="s">
        <v>74</v>
      </c>
      <c r="O365" s="1" t="s">
        <v>74</v>
      </c>
      <c r="P365" s="1" t="s">
        <v>74</v>
      </c>
      <c r="Q365" s="1" t="s">
        <v>74</v>
      </c>
      <c r="R365" s="1" t="s">
        <v>74</v>
      </c>
      <c r="S365" s="1" t="s">
        <v>74</v>
      </c>
      <c r="T365" s="1" t="s">
        <v>74</v>
      </c>
      <c r="U365" s="1" t="s">
        <v>74</v>
      </c>
      <c r="V365" s="1" t="s">
        <v>3454</v>
      </c>
      <c r="W365" s="1" t="s">
        <v>74</v>
      </c>
      <c r="X365" s="1" t="s">
        <v>74</v>
      </c>
      <c r="Y365" s="1" t="s">
        <v>74</v>
      </c>
      <c r="Z365" s="1" t="s">
        <v>74</v>
      </c>
      <c r="AA365" s="1" t="s">
        <v>3455</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3456</v>
      </c>
      <c r="AP365" s="1" t="s">
        <v>3457</v>
      </c>
      <c r="AQ365" s="1" t="s">
        <v>74</v>
      </c>
      <c r="AR365" s="1" t="s">
        <v>74</v>
      </c>
      <c r="AS365" s="1" t="s">
        <v>74</v>
      </c>
      <c r="AT365" s="1" t="s">
        <v>2180</v>
      </c>
      <c r="AU365" s="1">
        <v>2010.0</v>
      </c>
      <c r="AV365" s="1">
        <v>366.0</v>
      </c>
      <c r="AW365" s="1">
        <v>1.0</v>
      </c>
      <c r="AX365" s="1" t="s">
        <v>74</v>
      </c>
      <c r="AY365" s="1" t="s">
        <v>74</v>
      </c>
      <c r="AZ365" s="1" t="s">
        <v>74</v>
      </c>
      <c r="BA365" s="1" t="s">
        <v>74</v>
      </c>
      <c r="BB365" s="1">
        <v>24.0</v>
      </c>
      <c r="BC365" s="1">
        <v>32.0</v>
      </c>
      <c r="BD365" s="1" t="s">
        <v>74</v>
      </c>
      <c r="BE365" s="1" t="s">
        <v>3458</v>
      </c>
      <c r="BF365" s="2" t="str">
        <f>HYPERLINK("http://dx.doi.org/10.1016/j.jmaa.2010.01.047","http://dx.doi.org/10.1016/j.jmaa.2010.01.047")</f>
        <v>http://dx.doi.org/10.1016/j.jmaa.2010.01.047</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3459</v>
      </c>
      <c r="BT365" s="1" t="str">
        <f>HYPERLINK("https%3A%2F%2Fwww.webofscience.com%2Fwos%2Fwoscc%2Ffull-record%2FWOS:000274647400003","View Full Record in Web of Science")</f>
        <v>View Full Record in Web of Science</v>
      </c>
    </row>
    <row r="366" ht="12.75" customHeight="1">
      <c r="A366" s="1" t="s">
        <v>72</v>
      </c>
      <c r="B366" s="1" t="s">
        <v>3460</v>
      </c>
      <c r="C366" s="1" t="s">
        <v>74</v>
      </c>
      <c r="D366" s="1" t="s">
        <v>74</v>
      </c>
      <c r="E366" s="1" t="s">
        <v>74</v>
      </c>
      <c r="F366" s="1" t="s">
        <v>3461</v>
      </c>
      <c r="G366" s="1" t="s">
        <v>74</v>
      </c>
      <c r="H366" s="1" t="s">
        <v>74</v>
      </c>
      <c r="I366" s="1" t="s">
        <v>3462</v>
      </c>
      <c r="J366" s="1" t="s">
        <v>3463</v>
      </c>
      <c r="K366" s="1" t="s">
        <v>74</v>
      </c>
      <c r="L366" s="1" t="s">
        <v>74</v>
      </c>
      <c r="M366" s="1" t="s">
        <v>74</v>
      </c>
      <c r="N366" s="1" t="s">
        <v>74</v>
      </c>
      <c r="O366" s="1" t="s">
        <v>74</v>
      </c>
      <c r="P366" s="1" t="s">
        <v>74</v>
      </c>
      <c r="Q366" s="1" t="s">
        <v>74</v>
      </c>
      <c r="R366" s="1" t="s">
        <v>74</v>
      </c>
      <c r="S366" s="1" t="s">
        <v>74</v>
      </c>
      <c r="T366" s="1" t="s">
        <v>74</v>
      </c>
      <c r="U366" s="1" t="s">
        <v>74</v>
      </c>
      <c r="V366" s="1" t="s">
        <v>3464</v>
      </c>
      <c r="W366" s="1" t="s">
        <v>74</v>
      </c>
      <c r="X366" s="1" t="s">
        <v>74</v>
      </c>
      <c r="Y366" s="1" t="s">
        <v>74</v>
      </c>
      <c r="Z366" s="1" t="s">
        <v>74</v>
      </c>
      <c r="AA366" s="1" t="s">
        <v>74</v>
      </c>
      <c r="AB366" s="1" t="s">
        <v>3465</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3466</v>
      </c>
      <c r="AP366" s="1" t="s">
        <v>3467</v>
      </c>
      <c r="AQ366" s="1" t="s">
        <v>74</v>
      </c>
      <c r="AR366" s="1" t="s">
        <v>74</v>
      </c>
      <c r="AS366" s="1" t="s">
        <v>74</v>
      </c>
      <c r="AT366" s="1" t="s">
        <v>74</v>
      </c>
      <c r="AU366" s="1">
        <v>2008.0</v>
      </c>
      <c r="AV366" s="1">
        <v>54.0</v>
      </c>
      <c r="AW366" s="1">
        <v>3.0</v>
      </c>
      <c r="AX366" s="1" t="s">
        <v>74</v>
      </c>
      <c r="AY366" s="1" t="s">
        <v>74</v>
      </c>
      <c r="AZ366" s="1" t="s">
        <v>74</v>
      </c>
      <c r="BA366" s="1" t="s">
        <v>74</v>
      </c>
      <c r="BB366" s="1">
        <v>255.0</v>
      </c>
      <c r="BC366" s="1">
        <v>278.0</v>
      </c>
      <c r="BD366" s="1" t="s">
        <v>74</v>
      </c>
      <c r="BE366" s="1" t="s">
        <v>3468</v>
      </c>
      <c r="BF366" s="2" t="str">
        <f>HYPERLINK("http://dx.doi.org/10.1080/10407780802084728","http://dx.doi.org/10.1080/10407780802084728")</f>
        <v>http://dx.doi.org/10.1080/10407780802084728</v>
      </c>
      <c r="BG366" s="1" t="s">
        <v>74</v>
      </c>
      <c r="BH366" s="1" t="s">
        <v>74</v>
      </c>
      <c r="BI366" s="1" t="s">
        <v>74</v>
      </c>
      <c r="BJ366" s="1" t="s">
        <v>74</v>
      </c>
      <c r="BK366" s="1" t="s">
        <v>74</v>
      </c>
      <c r="BL366" s="1" t="s">
        <v>74</v>
      </c>
      <c r="BM366" s="1" t="s">
        <v>74</v>
      </c>
      <c r="BN366" s="1" t="s">
        <v>74</v>
      </c>
      <c r="BO366" s="1" t="s">
        <v>74</v>
      </c>
      <c r="BP366" s="1" t="s">
        <v>74</v>
      </c>
      <c r="BQ366" s="1" t="s">
        <v>74</v>
      </c>
      <c r="BR366" s="1" t="s">
        <v>74</v>
      </c>
      <c r="BS366" s="1" t="s">
        <v>3469</v>
      </c>
      <c r="BT366" s="1" t="str">
        <f>HYPERLINK("https%3A%2F%2Fwww.webofscience.com%2Fwos%2Fwoscc%2Ffull-record%2FWOS:000256881500002","View Full Record in Web of Science")</f>
        <v>View Full Record in Web of Science</v>
      </c>
    </row>
    <row r="367" ht="12.75" customHeight="1">
      <c r="A367" s="1" t="s">
        <v>72</v>
      </c>
      <c r="B367" s="1" t="s">
        <v>3470</v>
      </c>
      <c r="C367" s="1" t="s">
        <v>74</v>
      </c>
      <c r="D367" s="1" t="s">
        <v>74</v>
      </c>
      <c r="E367" s="1" t="s">
        <v>74</v>
      </c>
      <c r="F367" s="1" t="s">
        <v>3470</v>
      </c>
      <c r="G367" s="1" t="s">
        <v>74</v>
      </c>
      <c r="H367" s="1" t="s">
        <v>74</v>
      </c>
      <c r="I367" s="1" t="s">
        <v>3471</v>
      </c>
      <c r="J367" s="1" t="s">
        <v>3472</v>
      </c>
      <c r="K367" s="1" t="s">
        <v>74</v>
      </c>
      <c r="L367" s="1" t="s">
        <v>74</v>
      </c>
      <c r="M367" s="1" t="s">
        <v>74</v>
      </c>
      <c r="N367" s="1" t="s">
        <v>74</v>
      </c>
      <c r="O367" s="1" t="s">
        <v>74</v>
      </c>
      <c r="P367" s="1" t="s">
        <v>74</v>
      </c>
      <c r="Q367" s="1" t="s">
        <v>74</v>
      </c>
      <c r="R367" s="1" t="s">
        <v>74</v>
      </c>
      <c r="S367" s="1" t="s">
        <v>74</v>
      </c>
      <c r="T367" s="1" t="s">
        <v>74</v>
      </c>
      <c r="U367" s="1" t="s">
        <v>74</v>
      </c>
      <c r="V367" s="1" t="s">
        <v>3473</v>
      </c>
      <c r="W367" s="1" t="s">
        <v>74</v>
      </c>
      <c r="X367" s="1" t="s">
        <v>74</v>
      </c>
      <c r="Y367" s="1" t="s">
        <v>74</v>
      </c>
      <c r="Z367" s="1" t="s">
        <v>74</v>
      </c>
      <c r="AA367" s="1" t="s">
        <v>3474</v>
      </c>
      <c r="AB367" s="1" t="s">
        <v>1876</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594</v>
      </c>
      <c r="AP367" s="1" t="s">
        <v>74</v>
      </c>
      <c r="AQ367" s="1" t="s">
        <v>74</v>
      </c>
      <c r="AR367" s="1" t="s">
        <v>74</v>
      </c>
      <c r="AS367" s="1" t="s">
        <v>74</v>
      </c>
      <c r="AT367" s="1" t="s">
        <v>607</v>
      </c>
      <c r="AU367" s="1">
        <v>2006.0</v>
      </c>
      <c r="AV367" s="1">
        <v>73.0</v>
      </c>
      <c r="AW367" s="1">
        <v>3.0</v>
      </c>
      <c r="AX367" s="1" t="s">
        <v>74</v>
      </c>
      <c r="AY367" s="1" t="s">
        <v>74</v>
      </c>
      <c r="AZ367" s="1" t="s">
        <v>74</v>
      </c>
      <c r="BA367" s="1" t="s">
        <v>74</v>
      </c>
      <c r="BB367" s="1">
        <v>356.0</v>
      </c>
      <c r="BC367" s="1">
        <v>362.0</v>
      </c>
      <c r="BD367" s="1" t="s">
        <v>74</v>
      </c>
      <c r="BE367" s="1" t="s">
        <v>3475</v>
      </c>
      <c r="BF367" s="2" t="str">
        <f>HYPERLINK("http://dx.doi.org/10.1209/epl/i2005-10412-8","http://dx.doi.org/10.1209/epl/i2005-10412-8")</f>
        <v>http://dx.doi.org/10.1209/epl/i2005-10412-8</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3476</v>
      </c>
      <c r="BT367" s="1" t="str">
        <f>HYPERLINK("https%3A%2F%2Fwww.webofscience.com%2Fwos%2Fwoscc%2Ffull-record%2FWOS:000234737800006","View Full Record in Web of Science")</f>
        <v>View Full Record in Web of Science</v>
      </c>
    </row>
    <row r="368" ht="12.75" customHeight="1">
      <c r="A368" s="1" t="s">
        <v>72</v>
      </c>
      <c r="B368" s="1" t="s">
        <v>3477</v>
      </c>
      <c r="C368" s="1" t="s">
        <v>74</v>
      </c>
      <c r="D368" s="1" t="s">
        <v>74</v>
      </c>
      <c r="E368" s="1" t="s">
        <v>74</v>
      </c>
      <c r="F368" s="1" t="s">
        <v>3477</v>
      </c>
      <c r="G368" s="1" t="s">
        <v>74</v>
      </c>
      <c r="H368" s="1" t="s">
        <v>74</v>
      </c>
      <c r="I368" s="1" t="s">
        <v>3478</v>
      </c>
      <c r="J368" s="1" t="s">
        <v>2058</v>
      </c>
      <c r="K368" s="1" t="s">
        <v>74</v>
      </c>
      <c r="L368" s="1" t="s">
        <v>74</v>
      </c>
      <c r="M368" s="1" t="s">
        <v>74</v>
      </c>
      <c r="N368" s="1" t="s">
        <v>74</v>
      </c>
      <c r="O368" s="1" t="s">
        <v>74</v>
      </c>
      <c r="P368" s="1" t="s">
        <v>74</v>
      </c>
      <c r="Q368" s="1" t="s">
        <v>74</v>
      </c>
      <c r="R368" s="1" t="s">
        <v>74</v>
      </c>
      <c r="S368" s="1" t="s">
        <v>74</v>
      </c>
      <c r="T368" s="1" t="s">
        <v>74</v>
      </c>
      <c r="U368" s="1" t="s">
        <v>74</v>
      </c>
      <c r="V368" s="1" t="s">
        <v>3479</v>
      </c>
      <c r="W368" s="1" t="s">
        <v>74</v>
      </c>
      <c r="X368" s="1" t="s">
        <v>74</v>
      </c>
      <c r="Y368" s="1" t="s">
        <v>74</v>
      </c>
      <c r="Z368" s="1" t="s">
        <v>74</v>
      </c>
      <c r="AA368" s="1" t="s">
        <v>74</v>
      </c>
      <c r="AB368" s="1" t="s">
        <v>74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2062</v>
      </c>
      <c r="AP368" s="1" t="s">
        <v>2063</v>
      </c>
      <c r="AQ368" s="1" t="s">
        <v>74</v>
      </c>
      <c r="AR368" s="1" t="s">
        <v>74</v>
      </c>
      <c r="AS368" s="1" t="s">
        <v>74</v>
      </c>
      <c r="AT368" s="1" t="s">
        <v>3480</v>
      </c>
      <c r="AU368" s="1">
        <v>2003.0</v>
      </c>
      <c r="AV368" s="1">
        <v>56.0</v>
      </c>
      <c r="AW368" s="1">
        <v>14.0</v>
      </c>
      <c r="AX368" s="1" t="s">
        <v>74</v>
      </c>
      <c r="AY368" s="1" t="s">
        <v>74</v>
      </c>
      <c r="AZ368" s="1" t="s">
        <v>74</v>
      </c>
      <c r="BA368" s="1" t="s">
        <v>74</v>
      </c>
      <c r="BB368" s="1">
        <v>1233.0</v>
      </c>
      <c r="BC368" s="1">
        <v>1244.0</v>
      </c>
      <c r="BD368" s="1" t="s">
        <v>74</v>
      </c>
      <c r="BE368" s="1" t="s">
        <v>3481</v>
      </c>
      <c r="BF368" s="2" t="str">
        <f>HYPERLINK("http://dx.doi.org/10.1080/00958970310001629118","http://dx.doi.org/10.1080/00958970310001629118")</f>
        <v>http://dx.doi.org/10.1080/00958970310001629118</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3482</v>
      </c>
      <c r="BT368" s="1" t="str">
        <f>HYPERLINK("https%3A%2F%2Fwww.webofscience.com%2Fwos%2Fwoscc%2Ffull-record%2FWOS:000188356200006","View Full Record in Web of Science")</f>
        <v>View Full Record in Web of Science</v>
      </c>
    </row>
    <row r="369" ht="12.75" customHeight="1">
      <c r="A369" s="1" t="s">
        <v>72</v>
      </c>
      <c r="B369" s="1" t="s">
        <v>3483</v>
      </c>
      <c r="C369" s="1" t="s">
        <v>74</v>
      </c>
      <c r="D369" s="1" t="s">
        <v>74</v>
      </c>
      <c r="E369" s="1" t="s">
        <v>74</v>
      </c>
      <c r="F369" s="1" t="s">
        <v>3483</v>
      </c>
      <c r="G369" s="1" t="s">
        <v>74</v>
      </c>
      <c r="H369" s="1" t="s">
        <v>74</v>
      </c>
      <c r="I369" s="1" t="s">
        <v>3484</v>
      </c>
      <c r="J369" s="1" t="s">
        <v>2262</v>
      </c>
      <c r="K369" s="1" t="s">
        <v>74</v>
      </c>
      <c r="L369" s="1" t="s">
        <v>74</v>
      </c>
      <c r="M369" s="1" t="s">
        <v>74</v>
      </c>
      <c r="N369" s="1" t="s">
        <v>74</v>
      </c>
      <c r="O369" s="1" t="s">
        <v>74</v>
      </c>
      <c r="P369" s="1" t="s">
        <v>74</v>
      </c>
      <c r="Q369" s="1" t="s">
        <v>74</v>
      </c>
      <c r="R369" s="1" t="s">
        <v>74</v>
      </c>
      <c r="S369" s="1" t="s">
        <v>74</v>
      </c>
      <c r="T369" s="1" t="s">
        <v>74</v>
      </c>
      <c r="U369" s="1" t="s">
        <v>74</v>
      </c>
      <c r="V369" s="1" t="s">
        <v>3485</v>
      </c>
      <c r="W369" s="1" t="s">
        <v>74</v>
      </c>
      <c r="X369" s="1" t="s">
        <v>74</v>
      </c>
      <c r="Y369" s="1" t="s">
        <v>74</v>
      </c>
      <c r="Z369" s="1" t="s">
        <v>74</v>
      </c>
      <c r="AA369" s="1" t="s">
        <v>808</v>
      </c>
      <c r="AB369" s="1" t="s">
        <v>809</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2264</v>
      </c>
      <c r="AP369" s="1" t="s">
        <v>74</v>
      </c>
      <c r="AQ369" s="1" t="s">
        <v>74</v>
      </c>
      <c r="AR369" s="1" t="s">
        <v>74</v>
      </c>
      <c r="AS369" s="1" t="s">
        <v>74</v>
      </c>
      <c r="AT369" s="1" t="s">
        <v>353</v>
      </c>
      <c r="AU369" s="1">
        <v>2001.0</v>
      </c>
      <c r="AV369" s="1">
        <v>16.0</v>
      </c>
      <c r="AW369" s="1">
        <v>4.0</v>
      </c>
      <c r="AX369" s="1" t="s">
        <v>74</v>
      </c>
      <c r="AY369" s="1" t="s">
        <v>74</v>
      </c>
      <c r="AZ369" s="1" t="s">
        <v>74</v>
      </c>
      <c r="BA369" s="1" t="s">
        <v>74</v>
      </c>
      <c r="BB369" s="1">
        <v>462.0</v>
      </c>
      <c r="BC369" s="1">
        <v>467.0</v>
      </c>
      <c r="BD369" s="1" t="s">
        <v>74</v>
      </c>
      <c r="BE369" s="1" t="s">
        <v>3486</v>
      </c>
      <c r="BF369" s="2" t="str">
        <f>HYPERLINK("http://dx.doi.org/10.1109/61.956721","http://dx.doi.org/10.1109/61.956721")</f>
        <v>http://dx.doi.org/10.1109/61.956721</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3487</v>
      </c>
      <c r="BT369" s="1" t="str">
        <f>HYPERLINK("https%3A%2F%2Fwww.webofscience.com%2Fwos%2Fwoscc%2Ffull-record%2FWOS:000171542300004","View Full Record in Web of Science")</f>
        <v>View Full Record in Web of Science</v>
      </c>
    </row>
    <row r="370" ht="12.75" customHeight="1">
      <c r="A370" s="1" t="s">
        <v>72</v>
      </c>
      <c r="B370" s="1" t="s">
        <v>3488</v>
      </c>
      <c r="C370" s="1" t="s">
        <v>74</v>
      </c>
      <c r="D370" s="1" t="s">
        <v>74</v>
      </c>
      <c r="E370" s="1" t="s">
        <v>74</v>
      </c>
      <c r="F370" s="1" t="s">
        <v>3488</v>
      </c>
      <c r="G370" s="1" t="s">
        <v>74</v>
      </c>
      <c r="H370" s="1" t="s">
        <v>74</v>
      </c>
      <c r="I370" s="1" t="s">
        <v>3489</v>
      </c>
      <c r="J370" s="1" t="s">
        <v>1042</v>
      </c>
      <c r="K370" s="1" t="s">
        <v>74</v>
      </c>
      <c r="L370" s="1" t="s">
        <v>74</v>
      </c>
      <c r="M370" s="1" t="s">
        <v>74</v>
      </c>
      <c r="N370" s="1" t="s">
        <v>74</v>
      </c>
      <c r="O370" s="1" t="s">
        <v>74</v>
      </c>
      <c r="P370" s="1" t="s">
        <v>74</v>
      </c>
      <c r="Q370" s="1" t="s">
        <v>74</v>
      </c>
      <c r="R370" s="1" t="s">
        <v>74</v>
      </c>
      <c r="S370" s="1" t="s">
        <v>74</v>
      </c>
      <c r="T370" s="1" t="s">
        <v>74</v>
      </c>
      <c r="U370" s="1" t="s">
        <v>74</v>
      </c>
      <c r="V370" s="1" t="s">
        <v>3490</v>
      </c>
      <c r="W370" s="1" t="s">
        <v>74</v>
      </c>
      <c r="X370" s="1" t="s">
        <v>74</v>
      </c>
      <c r="Y370" s="1" t="s">
        <v>74</v>
      </c>
      <c r="Z370" s="1" t="s">
        <v>74</v>
      </c>
      <c r="AA370" s="1" t="s">
        <v>508</v>
      </c>
      <c r="AB370" s="1" t="s">
        <v>74</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1043</v>
      </c>
      <c r="AP370" s="1" t="s">
        <v>74</v>
      </c>
      <c r="AQ370" s="1" t="s">
        <v>74</v>
      </c>
      <c r="AR370" s="1" t="s">
        <v>74</v>
      </c>
      <c r="AS370" s="1" t="s">
        <v>74</v>
      </c>
      <c r="AT370" s="1" t="s">
        <v>106</v>
      </c>
      <c r="AU370" s="1">
        <v>2001.0</v>
      </c>
      <c r="AV370" s="1">
        <v>46.0</v>
      </c>
      <c r="AW370" s="1">
        <v>3.0</v>
      </c>
      <c r="AX370" s="1" t="s">
        <v>74</v>
      </c>
      <c r="AY370" s="1" t="s">
        <v>74</v>
      </c>
      <c r="AZ370" s="1" t="s">
        <v>74</v>
      </c>
      <c r="BA370" s="1" t="s">
        <v>74</v>
      </c>
      <c r="BB370" s="1">
        <v>353.0</v>
      </c>
      <c r="BC370" s="1">
        <v>361.0</v>
      </c>
      <c r="BD370" s="1" t="s">
        <v>74</v>
      </c>
      <c r="BE370" s="1" t="s">
        <v>74</v>
      </c>
      <c r="BF370" s="1" t="s">
        <v>74</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3491</v>
      </c>
      <c r="BT370" s="1" t="str">
        <f>HYPERLINK("https%3A%2F%2Fwww.webofscience.com%2Fwos%2Fwoscc%2Ffull-record%2FWOS:000172210200014","View Full Record in Web of Science")</f>
        <v>View Full Record in Web of Science</v>
      </c>
    </row>
    <row r="371" ht="12.75" customHeight="1">
      <c r="A371" s="1" t="s">
        <v>72</v>
      </c>
      <c r="B371" s="1" t="s">
        <v>3492</v>
      </c>
      <c r="C371" s="1" t="s">
        <v>74</v>
      </c>
      <c r="D371" s="1" t="s">
        <v>74</v>
      </c>
      <c r="E371" s="1" t="s">
        <v>74</v>
      </c>
      <c r="F371" s="1" t="s">
        <v>3492</v>
      </c>
      <c r="G371" s="1" t="s">
        <v>74</v>
      </c>
      <c r="H371" s="1" t="s">
        <v>74</v>
      </c>
      <c r="I371" s="1" t="s">
        <v>3493</v>
      </c>
      <c r="J371" s="1" t="s">
        <v>3494</v>
      </c>
      <c r="K371" s="1" t="s">
        <v>74</v>
      </c>
      <c r="L371" s="1" t="s">
        <v>74</v>
      </c>
      <c r="M371" s="1" t="s">
        <v>74</v>
      </c>
      <c r="N371" s="1" t="s">
        <v>74</v>
      </c>
      <c r="O371" s="1" t="s">
        <v>74</v>
      </c>
      <c r="P371" s="1" t="s">
        <v>74</v>
      </c>
      <c r="Q371" s="1" t="s">
        <v>74</v>
      </c>
      <c r="R371" s="1" t="s">
        <v>74</v>
      </c>
      <c r="S371" s="1" t="s">
        <v>74</v>
      </c>
      <c r="T371" s="1" t="s">
        <v>74</v>
      </c>
      <c r="U371" s="1" t="s">
        <v>74</v>
      </c>
      <c r="V371" s="1" t="s">
        <v>3495</v>
      </c>
      <c r="W371" s="1" t="s">
        <v>74</v>
      </c>
      <c r="X371" s="1" t="s">
        <v>74</v>
      </c>
      <c r="Y371" s="1" t="s">
        <v>74</v>
      </c>
      <c r="Z371" s="1" t="s">
        <v>74</v>
      </c>
      <c r="AA371" s="1" t="s">
        <v>74</v>
      </c>
      <c r="AB371" s="1" t="s">
        <v>74</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3496</v>
      </c>
      <c r="AP371" s="1" t="s">
        <v>74</v>
      </c>
      <c r="AQ371" s="1" t="s">
        <v>74</v>
      </c>
      <c r="AR371" s="1" t="s">
        <v>74</v>
      </c>
      <c r="AS371" s="1" t="s">
        <v>74</v>
      </c>
      <c r="AT371" s="1" t="s">
        <v>74</v>
      </c>
      <c r="AU371" s="1">
        <v>2000.0</v>
      </c>
      <c r="AV371" s="1">
        <v>29.0</v>
      </c>
      <c r="AW371" s="1">
        <v>3.0</v>
      </c>
      <c r="AX371" s="1" t="s">
        <v>74</v>
      </c>
      <c r="AY371" s="1" t="s">
        <v>74</v>
      </c>
      <c r="AZ371" s="1" t="s">
        <v>74</v>
      </c>
      <c r="BA371" s="1" t="s">
        <v>74</v>
      </c>
      <c r="BB371" s="1">
        <v>955.0</v>
      </c>
      <c r="BC371" s="1">
        <v>970.0</v>
      </c>
      <c r="BD371" s="1" t="s">
        <v>74</v>
      </c>
      <c r="BE371" s="1" t="s">
        <v>3497</v>
      </c>
      <c r="BF371" s="2" t="str">
        <f>HYPERLINK("http://dx.doi.org/10.1080/03610910008813648","http://dx.doi.org/10.1080/03610910008813648")</f>
        <v>http://dx.doi.org/10.1080/03610910008813648</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3498</v>
      </c>
      <c r="BT371" s="1" t="str">
        <f>HYPERLINK("https%3A%2F%2Fwww.webofscience.com%2Fwos%2Fwoscc%2Ffull-record%2FWOS:000088992400014","View Full Record in Web of Science")</f>
        <v>View Full Record in Web of Science</v>
      </c>
    </row>
    <row r="372" ht="12.75" customHeight="1">
      <c r="A372" s="1" t="s">
        <v>72</v>
      </c>
      <c r="B372" s="1" t="s">
        <v>3499</v>
      </c>
      <c r="C372" s="1" t="s">
        <v>74</v>
      </c>
      <c r="D372" s="1" t="s">
        <v>74</v>
      </c>
      <c r="E372" s="1" t="s">
        <v>74</v>
      </c>
      <c r="F372" s="1" t="s">
        <v>3500</v>
      </c>
      <c r="G372" s="1" t="s">
        <v>74</v>
      </c>
      <c r="H372" s="1" t="s">
        <v>74</v>
      </c>
      <c r="I372" s="1" t="s">
        <v>3501</v>
      </c>
      <c r="J372" s="1" t="s">
        <v>3502</v>
      </c>
      <c r="K372" s="1" t="s">
        <v>74</v>
      </c>
      <c r="L372" s="1" t="s">
        <v>74</v>
      </c>
      <c r="M372" s="1" t="s">
        <v>74</v>
      </c>
      <c r="N372" s="1" t="s">
        <v>74</v>
      </c>
      <c r="O372" s="1" t="s">
        <v>74</v>
      </c>
      <c r="P372" s="1" t="s">
        <v>74</v>
      </c>
      <c r="Q372" s="1" t="s">
        <v>74</v>
      </c>
      <c r="R372" s="1" t="s">
        <v>74</v>
      </c>
      <c r="S372" s="1" t="s">
        <v>74</v>
      </c>
      <c r="T372" s="1" t="s">
        <v>74</v>
      </c>
      <c r="U372" s="1" t="s">
        <v>74</v>
      </c>
      <c r="V372" s="1" t="s">
        <v>3503</v>
      </c>
      <c r="W372" s="1" t="s">
        <v>74</v>
      </c>
      <c r="X372" s="1" t="s">
        <v>74</v>
      </c>
      <c r="Y372" s="1" t="s">
        <v>74</v>
      </c>
      <c r="Z372" s="1" t="s">
        <v>74</v>
      </c>
      <c r="AA372" s="1" t="s">
        <v>924</v>
      </c>
      <c r="AB372" s="1" t="s">
        <v>3504</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3505</v>
      </c>
      <c r="AP372" s="1" t="s">
        <v>3506</v>
      </c>
      <c r="AQ372" s="1" t="s">
        <v>74</v>
      </c>
      <c r="AR372" s="1" t="s">
        <v>74</v>
      </c>
      <c r="AS372" s="1" t="s">
        <v>74</v>
      </c>
      <c r="AT372" s="1" t="s">
        <v>3507</v>
      </c>
      <c r="AU372" s="1">
        <v>2023.0</v>
      </c>
      <c r="AV372" s="1">
        <v>392.0</v>
      </c>
      <c r="AW372" s="1" t="s">
        <v>74</v>
      </c>
      <c r="AX372" s="1">
        <v>1.0</v>
      </c>
      <c r="AY372" s="1" t="s">
        <v>74</v>
      </c>
      <c r="AZ372" s="1" t="s">
        <v>74</v>
      </c>
      <c r="BA372" s="1" t="s">
        <v>74</v>
      </c>
      <c r="BB372" s="1" t="s">
        <v>74</v>
      </c>
      <c r="BC372" s="1" t="s">
        <v>74</v>
      </c>
      <c r="BD372" s="1">
        <v>123446.0</v>
      </c>
      <c r="BE372" s="1" t="s">
        <v>3508</v>
      </c>
      <c r="BF372" s="2" t="str">
        <f>HYPERLINK("http://dx.doi.org/10.1016/j.molliq.2023.123446","http://dx.doi.org/10.1016/j.molliq.2023.123446")</f>
        <v>http://dx.doi.org/10.1016/j.molliq.2023.123446</v>
      </c>
      <c r="BG372" s="1" t="s">
        <v>74</v>
      </c>
      <c r="BH372" s="1" t="s">
        <v>2470</v>
      </c>
      <c r="BI372" s="1" t="s">
        <v>74</v>
      </c>
      <c r="BJ372" s="1" t="s">
        <v>74</v>
      </c>
      <c r="BK372" s="1" t="s">
        <v>74</v>
      </c>
      <c r="BL372" s="1" t="s">
        <v>74</v>
      </c>
      <c r="BM372" s="1" t="s">
        <v>74</v>
      </c>
      <c r="BN372" s="1" t="s">
        <v>74</v>
      </c>
      <c r="BO372" s="1" t="s">
        <v>74</v>
      </c>
      <c r="BP372" s="1" t="s">
        <v>74</v>
      </c>
      <c r="BQ372" s="1" t="s">
        <v>74</v>
      </c>
      <c r="BR372" s="1" t="s">
        <v>74</v>
      </c>
      <c r="BS372" s="1" t="s">
        <v>3509</v>
      </c>
      <c r="BT372" s="1" t="str">
        <f>HYPERLINK("https%3A%2F%2Fwww.webofscience.com%2Fwos%2Fwoscc%2Ffull-record%2FWOS:001109112900001","View Full Record in Web of Science")</f>
        <v>View Full Record in Web of Science</v>
      </c>
    </row>
    <row r="373" ht="12.75" customHeight="1">
      <c r="A373" s="1" t="s">
        <v>241</v>
      </c>
      <c r="B373" s="1" t="s">
        <v>3510</v>
      </c>
      <c r="C373" s="1" t="s">
        <v>74</v>
      </c>
      <c r="D373" s="1" t="s">
        <v>1322</v>
      </c>
      <c r="E373" s="1" t="s">
        <v>74</v>
      </c>
      <c r="F373" s="1" t="s">
        <v>3511</v>
      </c>
      <c r="G373" s="1" t="s">
        <v>74</v>
      </c>
      <c r="H373" s="1" t="s">
        <v>74</v>
      </c>
      <c r="I373" s="1" t="s">
        <v>3512</v>
      </c>
      <c r="J373" s="1" t="s">
        <v>1325</v>
      </c>
      <c r="K373" s="1" t="s">
        <v>1326</v>
      </c>
      <c r="L373" s="1" t="s">
        <v>74</v>
      </c>
      <c r="M373" s="1" t="s">
        <v>74</v>
      </c>
      <c r="N373" s="1" t="s">
        <v>74</v>
      </c>
      <c r="O373" s="1" t="s">
        <v>1327</v>
      </c>
      <c r="P373" s="1" t="s">
        <v>1328</v>
      </c>
      <c r="Q373" s="1" t="s">
        <v>1329</v>
      </c>
      <c r="R373" s="1" t="s">
        <v>74</v>
      </c>
      <c r="S373" s="1" t="s">
        <v>74</v>
      </c>
      <c r="T373" s="1" t="s">
        <v>74</v>
      </c>
      <c r="U373" s="1" t="s">
        <v>74</v>
      </c>
      <c r="V373" s="1" t="s">
        <v>3513</v>
      </c>
      <c r="W373" s="1" t="s">
        <v>74</v>
      </c>
      <c r="X373" s="1" t="s">
        <v>74</v>
      </c>
      <c r="Y373" s="1" t="s">
        <v>74</v>
      </c>
      <c r="Z373" s="1" t="s">
        <v>74</v>
      </c>
      <c r="AA373" s="1" t="s">
        <v>3514</v>
      </c>
      <c r="AB373" s="1" t="s">
        <v>2516</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1333</v>
      </c>
      <c r="AP373" s="1" t="s">
        <v>74</v>
      </c>
      <c r="AQ373" s="1" t="s">
        <v>74</v>
      </c>
      <c r="AR373" s="1" t="s">
        <v>74</v>
      </c>
      <c r="AS373" s="1" t="s">
        <v>74</v>
      </c>
      <c r="AT373" s="1" t="s">
        <v>74</v>
      </c>
      <c r="AU373" s="1">
        <v>2022.0</v>
      </c>
      <c r="AV373" s="1">
        <v>199.0</v>
      </c>
      <c r="AW373" s="1" t="s">
        <v>74</v>
      </c>
      <c r="AX373" s="1" t="s">
        <v>74</v>
      </c>
      <c r="AY373" s="1" t="s">
        <v>74</v>
      </c>
      <c r="AZ373" s="1" t="s">
        <v>74</v>
      </c>
      <c r="BA373" s="1" t="s">
        <v>74</v>
      </c>
      <c r="BB373" s="1">
        <v>1385.0</v>
      </c>
      <c r="BC373" s="1">
        <v>1392.0</v>
      </c>
      <c r="BD373" s="1" t="s">
        <v>74</v>
      </c>
      <c r="BE373" s="1" t="s">
        <v>3515</v>
      </c>
      <c r="BF373" s="2" t="str">
        <f>HYPERLINK("http://dx.doi.org/10.1016/j.procs.2022.01.175","http://dx.doi.org/10.1016/j.procs.2022.01.175")</f>
        <v>http://dx.doi.org/10.1016/j.procs.2022.01.175</v>
      </c>
      <c r="BG373" s="1" t="s">
        <v>74</v>
      </c>
      <c r="BH373" s="1" t="s">
        <v>1335</v>
      </c>
      <c r="BI373" s="1" t="s">
        <v>74</v>
      </c>
      <c r="BJ373" s="1" t="s">
        <v>74</v>
      </c>
      <c r="BK373" s="1" t="s">
        <v>74</v>
      </c>
      <c r="BL373" s="1" t="s">
        <v>74</v>
      </c>
      <c r="BM373" s="1" t="s">
        <v>74</v>
      </c>
      <c r="BN373" s="1" t="s">
        <v>74</v>
      </c>
      <c r="BO373" s="1" t="s">
        <v>74</v>
      </c>
      <c r="BP373" s="1" t="s">
        <v>74</v>
      </c>
      <c r="BQ373" s="1" t="s">
        <v>74</v>
      </c>
      <c r="BR373" s="1" t="s">
        <v>74</v>
      </c>
      <c r="BS373" s="1" t="s">
        <v>3516</v>
      </c>
      <c r="BT373" s="1" t="str">
        <f>HYPERLINK("https%3A%2F%2Fwww.webofscience.com%2Fwos%2Fwoscc%2Ffull-record%2FWOS:000765802100178","View Full Record in Web of Science")</f>
        <v>View Full Record in Web of Science</v>
      </c>
    </row>
    <row r="374" ht="12.75" customHeight="1">
      <c r="A374" s="1" t="s">
        <v>72</v>
      </c>
      <c r="B374" s="1" t="s">
        <v>3517</v>
      </c>
      <c r="C374" s="1" t="s">
        <v>74</v>
      </c>
      <c r="D374" s="1" t="s">
        <v>74</v>
      </c>
      <c r="E374" s="1" t="s">
        <v>74</v>
      </c>
      <c r="F374" s="1" t="s">
        <v>3518</v>
      </c>
      <c r="G374" s="1" t="s">
        <v>74</v>
      </c>
      <c r="H374" s="1" t="s">
        <v>74</v>
      </c>
      <c r="I374" s="1" t="s">
        <v>3519</v>
      </c>
      <c r="J374" s="1" t="s">
        <v>3520</v>
      </c>
      <c r="K374" s="1" t="s">
        <v>74</v>
      </c>
      <c r="L374" s="1" t="s">
        <v>74</v>
      </c>
      <c r="M374" s="1" t="s">
        <v>74</v>
      </c>
      <c r="N374" s="1" t="s">
        <v>74</v>
      </c>
      <c r="O374" s="1" t="s">
        <v>74</v>
      </c>
      <c r="P374" s="1" t="s">
        <v>74</v>
      </c>
      <c r="Q374" s="1" t="s">
        <v>74</v>
      </c>
      <c r="R374" s="1" t="s">
        <v>74</v>
      </c>
      <c r="S374" s="1" t="s">
        <v>74</v>
      </c>
      <c r="T374" s="1" t="s">
        <v>74</v>
      </c>
      <c r="U374" s="1" t="s">
        <v>74</v>
      </c>
      <c r="V374" s="1" t="s">
        <v>3521</v>
      </c>
      <c r="W374" s="1" t="s">
        <v>74</v>
      </c>
      <c r="X374" s="1" t="s">
        <v>74</v>
      </c>
      <c r="Y374" s="1" t="s">
        <v>74</v>
      </c>
      <c r="Z374" s="1" t="s">
        <v>74</v>
      </c>
      <c r="AA374" s="1" t="s">
        <v>3522</v>
      </c>
      <c r="AB374" s="1" t="s">
        <v>3523</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74</v>
      </c>
      <c r="AP374" s="1" t="s">
        <v>3524</v>
      </c>
      <c r="AQ374" s="1" t="s">
        <v>74</v>
      </c>
      <c r="AR374" s="1" t="s">
        <v>74</v>
      </c>
      <c r="AS374" s="1" t="s">
        <v>74</v>
      </c>
      <c r="AT374" s="1" t="s">
        <v>607</v>
      </c>
      <c r="AU374" s="1">
        <v>2022.0</v>
      </c>
      <c r="AV374" s="1">
        <v>10.0</v>
      </c>
      <c r="AW374" s="1">
        <v>2.0</v>
      </c>
      <c r="AX374" s="1" t="s">
        <v>74</v>
      </c>
      <c r="AY374" s="1" t="s">
        <v>74</v>
      </c>
      <c r="AZ374" s="1" t="s">
        <v>74</v>
      </c>
      <c r="BA374" s="1" t="s">
        <v>74</v>
      </c>
      <c r="BB374" s="1" t="s">
        <v>74</v>
      </c>
      <c r="BC374" s="1" t="s">
        <v>74</v>
      </c>
      <c r="BD374" s="1">
        <v>376.0</v>
      </c>
      <c r="BE374" s="1" t="s">
        <v>3525</v>
      </c>
      <c r="BF374" s="2" t="str">
        <f>HYPERLINK("http://dx.doi.org/10.3390/pr10020376","http://dx.doi.org/10.3390/pr10020376")</f>
        <v>http://dx.doi.org/10.3390/pr10020376</v>
      </c>
      <c r="BG374" s="1" t="s">
        <v>74</v>
      </c>
      <c r="BH374" s="1" t="s">
        <v>74</v>
      </c>
      <c r="BI374" s="1" t="s">
        <v>74</v>
      </c>
      <c r="BJ374" s="1" t="s">
        <v>74</v>
      </c>
      <c r="BK374" s="1" t="s">
        <v>74</v>
      </c>
      <c r="BL374" s="1" t="s">
        <v>74</v>
      </c>
      <c r="BM374" s="1" t="s">
        <v>74</v>
      </c>
      <c r="BN374" s="1" t="s">
        <v>74</v>
      </c>
      <c r="BO374" s="1" t="s">
        <v>74</v>
      </c>
      <c r="BP374" s="1" t="s">
        <v>74</v>
      </c>
      <c r="BQ374" s="1" t="s">
        <v>74</v>
      </c>
      <c r="BR374" s="1" t="s">
        <v>74</v>
      </c>
      <c r="BS374" s="1" t="s">
        <v>3526</v>
      </c>
      <c r="BT374" s="1" t="str">
        <f>HYPERLINK("https%3A%2F%2Fwww.webofscience.com%2Fwos%2Fwoscc%2Ffull-record%2FWOS:000765161600001","View Full Record in Web of Science")</f>
        <v>View Full Record in Web of Science</v>
      </c>
    </row>
    <row r="375" ht="12.75" customHeight="1">
      <c r="A375" s="1" t="s">
        <v>72</v>
      </c>
      <c r="B375" s="1" t="s">
        <v>3527</v>
      </c>
      <c r="C375" s="1" t="s">
        <v>74</v>
      </c>
      <c r="D375" s="1" t="s">
        <v>74</v>
      </c>
      <c r="E375" s="1" t="s">
        <v>74</v>
      </c>
      <c r="F375" s="1" t="s">
        <v>3528</v>
      </c>
      <c r="G375" s="1" t="s">
        <v>74</v>
      </c>
      <c r="H375" s="1" t="s">
        <v>74</v>
      </c>
      <c r="I375" s="1" t="s">
        <v>3529</v>
      </c>
      <c r="J375" s="1" t="s">
        <v>3530</v>
      </c>
      <c r="K375" s="1" t="s">
        <v>74</v>
      </c>
      <c r="L375" s="1" t="s">
        <v>74</v>
      </c>
      <c r="M375" s="1" t="s">
        <v>74</v>
      </c>
      <c r="N375" s="1" t="s">
        <v>74</v>
      </c>
      <c r="O375" s="1" t="s">
        <v>74</v>
      </c>
      <c r="P375" s="1" t="s">
        <v>74</v>
      </c>
      <c r="Q375" s="1" t="s">
        <v>74</v>
      </c>
      <c r="R375" s="1" t="s">
        <v>74</v>
      </c>
      <c r="S375" s="1" t="s">
        <v>74</v>
      </c>
      <c r="T375" s="1" t="s">
        <v>74</v>
      </c>
      <c r="U375" s="1" t="s">
        <v>74</v>
      </c>
      <c r="V375" s="1" t="s">
        <v>3531</v>
      </c>
      <c r="W375" s="1" t="s">
        <v>74</v>
      </c>
      <c r="X375" s="1" t="s">
        <v>74</v>
      </c>
      <c r="Y375" s="1" t="s">
        <v>74</v>
      </c>
      <c r="Z375" s="1" t="s">
        <v>74</v>
      </c>
      <c r="AA375" s="1" t="s">
        <v>3532</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3533</v>
      </c>
      <c r="AP375" s="1" t="s">
        <v>74</v>
      </c>
      <c r="AQ375" s="1" t="s">
        <v>74</v>
      </c>
      <c r="AR375" s="1" t="s">
        <v>74</v>
      </c>
      <c r="AS375" s="1" t="s">
        <v>74</v>
      </c>
      <c r="AT375" s="1" t="s">
        <v>391</v>
      </c>
      <c r="AU375" s="1">
        <v>2021.0</v>
      </c>
      <c r="AV375" s="1">
        <v>12.0</v>
      </c>
      <c r="AW375" s="1">
        <v>2.0</v>
      </c>
      <c r="AX375" s="1" t="s">
        <v>74</v>
      </c>
      <c r="AY375" s="1" t="s">
        <v>74</v>
      </c>
      <c r="AZ375" s="1" t="s">
        <v>74</v>
      </c>
      <c r="BA375" s="1" t="s">
        <v>74</v>
      </c>
      <c r="BB375" s="1">
        <v>58.0</v>
      </c>
      <c r="BC375" s="1">
        <v>80.0</v>
      </c>
      <c r="BD375" s="1" t="s">
        <v>74</v>
      </c>
      <c r="BE375" s="1" t="s">
        <v>74</v>
      </c>
      <c r="BF375" s="1" t="s">
        <v>74</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3534</v>
      </c>
      <c r="BT375" s="1" t="str">
        <f>HYPERLINK("https%3A%2F%2Fwww.webofscience.com%2Fwos%2Fwoscc%2Ffull-record%2FWOS:000719345900004","View Full Record in Web of Science")</f>
        <v>View Full Record in Web of Science</v>
      </c>
    </row>
    <row r="376" ht="12.75" customHeight="1">
      <c r="A376" s="1" t="s">
        <v>72</v>
      </c>
      <c r="B376" s="1" t="s">
        <v>3535</v>
      </c>
      <c r="C376" s="1" t="s">
        <v>74</v>
      </c>
      <c r="D376" s="1" t="s">
        <v>74</v>
      </c>
      <c r="E376" s="1" t="s">
        <v>74</v>
      </c>
      <c r="F376" s="1" t="s">
        <v>3536</v>
      </c>
      <c r="G376" s="1" t="s">
        <v>74</v>
      </c>
      <c r="H376" s="1" t="s">
        <v>74</v>
      </c>
      <c r="I376" s="1" t="s">
        <v>3537</v>
      </c>
      <c r="J376" s="1" t="s">
        <v>3538</v>
      </c>
      <c r="K376" s="1" t="s">
        <v>74</v>
      </c>
      <c r="L376" s="1" t="s">
        <v>74</v>
      </c>
      <c r="M376" s="1" t="s">
        <v>74</v>
      </c>
      <c r="N376" s="1" t="s">
        <v>74</v>
      </c>
      <c r="O376" s="1" t="s">
        <v>74</v>
      </c>
      <c r="P376" s="1" t="s">
        <v>74</v>
      </c>
      <c r="Q376" s="1" t="s">
        <v>74</v>
      </c>
      <c r="R376" s="1" t="s">
        <v>74</v>
      </c>
      <c r="S376" s="1" t="s">
        <v>74</v>
      </c>
      <c r="T376" s="1" t="s">
        <v>74</v>
      </c>
      <c r="U376" s="1" t="s">
        <v>74</v>
      </c>
      <c r="V376" s="1" t="s">
        <v>3539</v>
      </c>
      <c r="W376" s="1" t="s">
        <v>74</v>
      </c>
      <c r="X376" s="1" t="s">
        <v>74</v>
      </c>
      <c r="Y376" s="1" t="s">
        <v>74</v>
      </c>
      <c r="Z376" s="1" t="s">
        <v>74</v>
      </c>
      <c r="AA376" s="1" t="s">
        <v>3540</v>
      </c>
      <c r="AB376" s="1" t="s">
        <v>3541</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3542</v>
      </c>
      <c r="AP376" s="1" t="s">
        <v>74</v>
      </c>
      <c r="AQ376" s="1" t="s">
        <v>74</v>
      </c>
      <c r="AR376" s="1" t="s">
        <v>74</v>
      </c>
      <c r="AS376" s="1" t="s">
        <v>74</v>
      </c>
      <c r="AT376" s="1" t="s">
        <v>74</v>
      </c>
      <c r="AU376" s="1">
        <v>2021.0</v>
      </c>
      <c r="AV376" s="1">
        <v>9.0</v>
      </c>
      <c r="AW376" s="1" t="s">
        <v>74</v>
      </c>
      <c r="AX376" s="1" t="s">
        <v>74</v>
      </c>
      <c r="AY376" s="1" t="s">
        <v>74</v>
      </c>
      <c r="AZ376" s="1" t="s">
        <v>74</v>
      </c>
      <c r="BA376" s="1" t="s">
        <v>74</v>
      </c>
      <c r="BB376" s="1">
        <v>145161.0</v>
      </c>
      <c r="BC376" s="1">
        <v>145174.0</v>
      </c>
      <c r="BD376" s="1" t="s">
        <v>74</v>
      </c>
      <c r="BE376" s="1" t="s">
        <v>3543</v>
      </c>
      <c r="BF376" s="2" t="str">
        <f>HYPERLINK("http://dx.doi.org/10.1109/ACCESS.2021.3119567","http://dx.doi.org/10.1109/ACCESS.2021.3119567")</f>
        <v>http://dx.doi.org/10.1109/ACCESS.2021.3119567</v>
      </c>
      <c r="BG376" s="1" t="s">
        <v>74</v>
      </c>
      <c r="BH376" s="1" t="s">
        <v>74</v>
      </c>
      <c r="BI376" s="1" t="s">
        <v>74</v>
      </c>
      <c r="BJ376" s="1" t="s">
        <v>74</v>
      </c>
      <c r="BK376" s="1" t="s">
        <v>74</v>
      </c>
      <c r="BL376" s="1" t="s">
        <v>74</v>
      </c>
      <c r="BM376" s="1" t="s">
        <v>74</v>
      </c>
      <c r="BN376" s="1" t="s">
        <v>74</v>
      </c>
      <c r="BO376" s="1" t="s">
        <v>74</v>
      </c>
      <c r="BP376" s="1" t="s">
        <v>74</v>
      </c>
      <c r="BQ376" s="1" t="s">
        <v>74</v>
      </c>
      <c r="BR376" s="1" t="s">
        <v>74</v>
      </c>
      <c r="BS376" s="1" t="s">
        <v>3544</v>
      </c>
      <c r="BT376" s="1" t="str">
        <f>HYPERLINK("https%3A%2F%2Fwww.webofscience.com%2Fwos%2Fwoscc%2Ffull-record%2FWOS:000714194700001","View Full Record in Web of Science")</f>
        <v>View Full Record in Web of Science</v>
      </c>
    </row>
    <row r="377" ht="12.75" customHeight="1">
      <c r="A377" s="1" t="s">
        <v>72</v>
      </c>
      <c r="B377" s="1" t="s">
        <v>3545</v>
      </c>
      <c r="C377" s="1" t="s">
        <v>74</v>
      </c>
      <c r="D377" s="1" t="s">
        <v>74</v>
      </c>
      <c r="E377" s="1" t="s">
        <v>74</v>
      </c>
      <c r="F377" s="1" t="s">
        <v>3546</v>
      </c>
      <c r="G377" s="1" t="s">
        <v>74</v>
      </c>
      <c r="H377" s="1" t="s">
        <v>74</v>
      </c>
      <c r="I377" s="1" t="s">
        <v>3547</v>
      </c>
      <c r="J377" s="1" t="s">
        <v>3548</v>
      </c>
      <c r="K377" s="1" t="s">
        <v>74</v>
      </c>
      <c r="L377" s="1" t="s">
        <v>74</v>
      </c>
      <c r="M377" s="1" t="s">
        <v>74</v>
      </c>
      <c r="N377" s="1" t="s">
        <v>74</v>
      </c>
      <c r="O377" s="1" t="s">
        <v>74</v>
      </c>
      <c r="P377" s="1" t="s">
        <v>74</v>
      </c>
      <c r="Q377" s="1" t="s">
        <v>74</v>
      </c>
      <c r="R377" s="1" t="s">
        <v>74</v>
      </c>
      <c r="S377" s="1" t="s">
        <v>74</v>
      </c>
      <c r="T377" s="1" t="s">
        <v>74</v>
      </c>
      <c r="U377" s="1" t="s">
        <v>74</v>
      </c>
      <c r="V377" s="1" t="s">
        <v>3549</v>
      </c>
      <c r="W377" s="1" t="s">
        <v>74</v>
      </c>
      <c r="X377" s="1" t="s">
        <v>74</v>
      </c>
      <c r="Y377" s="1" t="s">
        <v>74</v>
      </c>
      <c r="Z377" s="1" t="s">
        <v>74</v>
      </c>
      <c r="AA377" s="1" t="s">
        <v>90</v>
      </c>
      <c r="AB377" s="1" t="s">
        <v>3550</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3551</v>
      </c>
      <c r="AP377" s="1" t="s">
        <v>3552</v>
      </c>
      <c r="AQ377" s="1" t="s">
        <v>74</v>
      </c>
      <c r="AR377" s="1" t="s">
        <v>74</v>
      </c>
      <c r="AS377" s="1" t="s">
        <v>74</v>
      </c>
      <c r="AT377" s="1" t="s">
        <v>116</v>
      </c>
      <c r="AU377" s="1">
        <v>2019.0</v>
      </c>
      <c r="AV377" s="1">
        <v>141.0</v>
      </c>
      <c r="AW377" s="1" t="s">
        <v>74</v>
      </c>
      <c r="AX377" s="1" t="s">
        <v>74</v>
      </c>
      <c r="AY377" s="1" t="s">
        <v>74</v>
      </c>
      <c r="AZ377" s="1" t="s">
        <v>74</v>
      </c>
      <c r="BA377" s="1" t="s">
        <v>74</v>
      </c>
      <c r="BB377" s="1">
        <v>150.0</v>
      </c>
      <c r="BC377" s="1">
        <v>159.0</v>
      </c>
      <c r="BD377" s="1" t="s">
        <v>74</v>
      </c>
      <c r="BE377" s="1" t="s">
        <v>3553</v>
      </c>
      <c r="BF377" s="2" t="str">
        <f>HYPERLINK("http://dx.doi.org/10.1016/j.ijthermalsci.2019.03.019","http://dx.doi.org/10.1016/j.ijthermalsci.2019.03.019")</f>
        <v>http://dx.doi.org/10.1016/j.ijthermalsci.2019.03.019</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3554</v>
      </c>
      <c r="BT377" s="1" t="str">
        <f>HYPERLINK("https%3A%2F%2Fwww.webofscience.com%2Fwos%2Fwoscc%2Ffull-record%2FWOS:000470681300014","View Full Record in Web of Science")</f>
        <v>View Full Record in Web of Science</v>
      </c>
    </row>
    <row r="378" ht="12.75" customHeight="1">
      <c r="A378" s="1" t="s">
        <v>241</v>
      </c>
      <c r="B378" s="1" t="s">
        <v>3555</v>
      </c>
      <c r="C378" s="1" t="s">
        <v>74</v>
      </c>
      <c r="D378" s="1" t="s">
        <v>74</v>
      </c>
      <c r="E378" s="1" t="s">
        <v>814</v>
      </c>
      <c r="F378" s="1" t="s">
        <v>3556</v>
      </c>
      <c r="G378" s="1" t="s">
        <v>74</v>
      </c>
      <c r="H378" s="1" t="s">
        <v>74</v>
      </c>
      <c r="I378" s="1" t="s">
        <v>3557</v>
      </c>
      <c r="J378" s="1" t="s">
        <v>3558</v>
      </c>
      <c r="K378" s="1" t="s">
        <v>74</v>
      </c>
      <c r="L378" s="1" t="s">
        <v>74</v>
      </c>
      <c r="M378" s="1" t="s">
        <v>74</v>
      </c>
      <c r="N378" s="1" t="s">
        <v>74</v>
      </c>
      <c r="O378" s="1" t="s">
        <v>3559</v>
      </c>
      <c r="P378" s="1" t="s">
        <v>3560</v>
      </c>
      <c r="Q378" s="1" t="s">
        <v>3561</v>
      </c>
      <c r="R378" s="1" t="s">
        <v>3391</v>
      </c>
      <c r="S378" s="1" t="s">
        <v>74</v>
      </c>
      <c r="T378" s="1" t="s">
        <v>74</v>
      </c>
      <c r="U378" s="1" t="s">
        <v>74</v>
      </c>
      <c r="V378" s="1" t="s">
        <v>3562</v>
      </c>
      <c r="W378" s="1" t="s">
        <v>74</v>
      </c>
      <c r="X378" s="1" t="s">
        <v>74</v>
      </c>
      <c r="Y378" s="1" t="s">
        <v>74</v>
      </c>
      <c r="Z378" s="1" t="s">
        <v>74</v>
      </c>
      <c r="AA378" s="1" t="s">
        <v>74</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74</v>
      </c>
      <c r="AP378" s="1" t="s">
        <v>74</v>
      </c>
      <c r="AQ378" s="1" t="s">
        <v>3563</v>
      </c>
      <c r="AR378" s="1" t="s">
        <v>74</v>
      </c>
      <c r="AS378" s="1" t="s">
        <v>74</v>
      </c>
      <c r="AT378" s="1" t="s">
        <v>74</v>
      </c>
      <c r="AU378" s="1">
        <v>2019.0</v>
      </c>
      <c r="AV378" s="1" t="s">
        <v>74</v>
      </c>
      <c r="AW378" s="1" t="s">
        <v>74</v>
      </c>
      <c r="AX378" s="1" t="s">
        <v>74</v>
      </c>
      <c r="AY378" s="1" t="s">
        <v>74</v>
      </c>
      <c r="AZ378" s="1" t="s">
        <v>74</v>
      </c>
      <c r="BA378" s="1" t="s">
        <v>74</v>
      </c>
      <c r="BB378" s="1" t="s">
        <v>74</v>
      </c>
      <c r="BC378" s="1" t="s">
        <v>74</v>
      </c>
      <c r="BD378" s="1" t="s">
        <v>3564</v>
      </c>
      <c r="BE378" s="1" t="s">
        <v>74</v>
      </c>
      <c r="BF378" s="1" t="s">
        <v>74</v>
      </c>
      <c r="BG378" s="1" t="s">
        <v>74</v>
      </c>
      <c r="BH378" s="1" t="s">
        <v>74</v>
      </c>
      <c r="BI378" s="1" t="s">
        <v>74</v>
      </c>
      <c r="BJ378" s="1" t="s">
        <v>74</v>
      </c>
      <c r="BK378" s="1" t="s">
        <v>74</v>
      </c>
      <c r="BL378" s="1" t="s">
        <v>74</v>
      </c>
      <c r="BM378" s="1" t="s">
        <v>74</v>
      </c>
      <c r="BN378" s="1" t="s">
        <v>74</v>
      </c>
      <c r="BO378" s="1" t="s">
        <v>74</v>
      </c>
      <c r="BP378" s="1" t="s">
        <v>74</v>
      </c>
      <c r="BQ378" s="1" t="s">
        <v>74</v>
      </c>
      <c r="BR378" s="1" t="s">
        <v>74</v>
      </c>
      <c r="BS378" s="1" t="s">
        <v>3565</v>
      </c>
      <c r="BT378" s="1" t="str">
        <f>HYPERLINK("https%3A%2F%2Fwww.webofscience.com%2Fwos%2Fwoscc%2Ffull-record%2FWOS:000465191000043","View Full Record in Web of Science")</f>
        <v>View Full Record in Web of Science</v>
      </c>
    </row>
    <row r="379" ht="12.75" customHeight="1">
      <c r="A379" s="1" t="s">
        <v>442</v>
      </c>
      <c r="B379" s="1" t="s">
        <v>3566</v>
      </c>
      <c r="C379" s="1" t="s">
        <v>74</v>
      </c>
      <c r="D379" s="1" t="s">
        <v>74</v>
      </c>
      <c r="E379" s="1" t="s">
        <v>962</v>
      </c>
      <c r="F379" s="1" t="s">
        <v>3567</v>
      </c>
      <c r="G379" s="1" t="s">
        <v>74</v>
      </c>
      <c r="H379" s="1" t="s">
        <v>74</v>
      </c>
      <c r="I379" s="1" t="s">
        <v>3568</v>
      </c>
      <c r="J379" s="1" t="s">
        <v>965</v>
      </c>
      <c r="K379" s="1" t="s">
        <v>74</v>
      </c>
      <c r="L379" s="1" t="s">
        <v>74</v>
      </c>
      <c r="M379" s="1" t="s">
        <v>74</v>
      </c>
      <c r="N379" s="1" t="s">
        <v>74</v>
      </c>
      <c r="O379" s="1" t="s">
        <v>74</v>
      </c>
      <c r="P379" s="1" t="s">
        <v>74</v>
      </c>
      <c r="Q379" s="1" t="s">
        <v>74</v>
      </c>
      <c r="R379" s="1" t="s">
        <v>74</v>
      </c>
      <c r="S379" s="1" t="s">
        <v>74</v>
      </c>
      <c r="T379" s="1" t="s">
        <v>74</v>
      </c>
      <c r="U379" s="1" t="s">
        <v>74</v>
      </c>
      <c r="V379" s="1" t="s">
        <v>3569</v>
      </c>
      <c r="W379" s="1" t="s">
        <v>74</v>
      </c>
      <c r="X379" s="1" t="s">
        <v>74</v>
      </c>
      <c r="Y379" s="1" t="s">
        <v>74</v>
      </c>
      <c r="Z379" s="1" t="s">
        <v>74</v>
      </c>
      <c r="AA379" s="1" t="s">
        <v>3570</v>
      </c>
      <c r="AB379" s="1" t="s">
        <v>74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74</v>
      </c>
      <c r="AP379" s="1" t="s">
        <v>74</v>
      </c>
      <c r="AQ379" s="1" t="s">
        <v>967</v>
      </c>
      <c r="AR379" s="1" t="s">
        <v>74</v>
      </c>
      <c r="AS379" s="1" t="s">
        <v>74</v>
      </c>
      <c r="AT379" s="1" t="s">
        <v>74</v>
      </c>
      <c r="AU379" s="1">
        <v>2019.0</v>
      </c>
      <c r="AV379" s="1" t="s">
        <v>74</v>
      </c>
      <c r="AW379" s="1" t="s">
        <v>74</v>
      </c>
      <c r="AX379" s="1" t="s">
        <v>74</v>
      </c>
      <c r="AY379" s="1" t="s">
        <v>74</v>
      </c>
      <c r="AZ379" s="1" t="s">
        <v>74</v>
      </c>
      <c r="BA379" s="1" t="s">
        <v>74</v>
      </c>
      <c r="BB379" s="1">
        <v>63.0</v>
      </c>
      <c r="BC379" s="1">
        <v>77.0</v>
      </c>
      <c r="BD379" s="1" t="s">
        <v>74</v>
      </c>
      <c r="BE379" s="1" t="s">
        <v>74</v>
      </c>
      <c r="BF379" s="1" t="s">
        <v>74</v>
      </c>
      <c r="BG379" s="1" t="s">
        <v>74</v>
      </c>
      <c r="BH379" s="1" t="s">
        <v>74</v>
      </c>
      <c r="BI379" s="1" t="s">
        <v>74</v>
      </c>
      <c r="BJ379" s="1" t="s">
        <v>74</v>
      </c>
      <c r="BK379" s="1" t="s">
        <v>74</v>
      </c>
      <c r="BL379" s="1" t="s">
        <v>74</v>
      </c>
      <c r="BM379" s="1" t="s">
        <v>74</v>
      </c>
      <c r="BN379" s="1" t="s">
        <v>74</v>
      </c>
      <c r="BO379" s="1" t="s">
        <v>74</v>
      </c>
      <c r="BP379" s="1" t="s">
        <v>74</v>
      </c>
      <c r="BQ379" s="1" t="s">
        <v>74</v>
      </c>
      <c r="BR379" s="1" t="s">
        <v>74</v>
      </c>
      <c r="BS379" s="1" t="s">
        <v>3571</v>
      </c>
      <c r="BT379" s="1" t="str">
        <f>HYPERLINK("https%3A%2F%2Fwww.webofscience.com%2Fwos%2Fwoscc%2Ffull-record%2FWOS:000886992800006","View Full Record in Web of Science")</f>
        <v>View Full Record in Web of Science</v>
      </c>
    </row>
    <row r="380" ht="12.75" customHeight="1">
      <c r="A380" s="1" t="s">
        <v>442</v>
      </c>
      <c r="B380" s="1" t="s">
        <v>3572</v>
      </c>
      <c r="C380" s="1" t="s">
        <v>74</v>
      </c>
      <c r="D380" s="1" t="s">
        <v>74</v>
      </c>
      <c r="E380" s="1" t="s">
        <v>962</v>
      </c>
      <c r="F380" s="1" t="s">
        <v>3573</v>
      </c>
      <c r="G380" s="1" t="s">
        <v>74</v>
      </c>
      <c r="H380" s="1" t="s">
        <v>74</v>
      </c>
      <c r="I380" s="1" t="s">
        <v>3574</v>
      </c>
      <c r="J380" s="1" t="s">
        <v>965</v>
      </c>
      <c r="K380" s="1" t="s">
        <v>74</v>
      </c>
      <c r="L380" s="1" t="s">
        <v>74</v>
      </c>
      <c r="M380" s="1" t="s">
        <v>74</v>
      </c>
      <c r="N380" s="1" t="s">
        <v>74</v>
      </c>
      <c r="O380" s="1" t="s">
        <v>74</v>
      </c>
      <c r="P380" s="1" t="s">
        <v>74</v>
      </c>
      <c r="Q380" s="1" t="s">
        <v>74</v>
      </c>
      <c r="R380" s="1" t="s">
        <v>74</v>
      </c>
      <c r="S380" s="1" t="s">
        <v>74</v>
      </c>
      <c r="T380" s="1" t="s">
        <v>74</v>
      </c>
      <c r="U380" s="1" t="s">
        <v>74</v>
      </c>
      <c r="V380" s="1" t="s">
        <v>3575</v>
      </c>
      <c r="W380" s="1" t="s">
        <v>74</v>
      </c>
      <c r="X380" s="1" t="s">
        <v>74</v>
      </c>
      <c r="Y380" s="1" t="s">
        <v>74</v>
      </c>
      <c r="Z380" s="1" t="s">
        <v>74</v>
      </c>
      <c r="AA380" s="1" t="s">
        <v>74</v>
      </c>
      <c r="AB380" s="1" t="s">
        <v>74</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74</v>
      </c>
      <c r="AP380" s="1" t="s">
        <v>74</v>
      </c>
      <c r="AQ380" s="1" t="s">
        <v>967</v>
      </c>
      <c r="AR380" s="1" t="s">
        <v>74</v>
      </c>
      <c r="AS380" s="1" t="s">
        <v>74</v>
      </c>
      <c r="AT380" s="1" t="s">
        <v>74</v>
      </c>
      <c r="AU380" s="1">
        <v>2019.0</v>
      </c>
      <c r="AV380" s="1" t="s">
        <v>74</v>
      </c>
      <c r="AW380" s="1" t="s">
        <v>74</v>
      </c>
      <c r="AX380" s="1" t="s">
        <v>74</v>
      </c>
      <c r="AY380" s="1" t="s">
        <v>74</v>
      </c>
      <c r="AZ380" s="1" t="s">
        <v>74</v>
      </c>
      <c r="BA380" s="1" t="s">
        <v>74</v>
      </c>
      <c r="BB380" s="1">
        <v>105.0</v>
      </c>
      <c r="BC380" s="1">
        <v>121.0</v>
      </c>
      <c r="BD380" s="1" t="s">
        <v>74</v>
      </c>
      <c r="BE380" s="1" t="s">
        <v>74</v>
      </c>
      <c r="BF380" s="1" t="s">
        <v>74</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3576</v>
      </c>
      <c r="BT380" s="1" t="str">
        <f>HYPERLINK("https%3A%2F%2Fwww.webofscience.com%2Fwos%2Fwoscc%2Ffull-record%2FWOS:000886992800009","View Full Record in Web of Science")</f>
        <v>View Full Record in Web of Science</v>
      </c>
    </row>
    <row r="381" ht="12.75" customHeight="1">
      <c r="A381" s="1" t="s">
        <v>72</v>
      </c>
      <c r="B381" s="1" t="s">
        <v>3577</v>
      </c>
      <c r="C381" s="1" t="s">
        <v>74</v>
      </c>
      <c r="D381" s="1" t="s">
        <v>74</v>
      </c>
      <c r="E381" s="1" t="s">
        <v>74</v>
      </c>
      <c r="F381" s="1" t="s">
        <v>3578</v>
      </c>
      <c r="G381" s="1" t="s">
        <v>74</v>
      </c>
      <c r="H381" s="1" t="s">
        <v>74</v>
      </c>
      <c r="I381" s="1" t="s">
        <v>3579</v>
      </c>
      <c r="J381" s="1" t="s">
        <v>3580</v>
      </c>
      <c r="K381" s="1" t="s">
        <v>74</v>
      </c>
      <c r="L381" s="1" t="s">
        <v>74</v>
      </c>
      <c r="M381" s="1" t="s">
        <v>74</v>
      </c>
      <c r="N381" s="1" t="s">
        <v>74</v>
      </c>
      <c r="O381" s="1" t="s">
        <v>74</v>
      </c>
      <c r="P381" s="1" t="s">
        <v>74</v>
      </c>
      <c r="Q381" s="1" t="s">
        <v>74</v>
      </c>
      <c r="R381" s="1" t="s">
        <v>74</v>
      </c>
      <c r="S381" s="1" t="s">
        <v>74</v>
      </c>
      <c r="T381" s="1" t="s">
        <v>74</v>
      </c>
      <c r="U381" s="1" t="s">
        <v>74</v>
      </c>
      <c r="V381" s="1" t="s">
        <v>3581</v>
      </c>
      <c r="W381" s="1" t="s">
        <v>74</v>
      </c>
      <c r="X381" s="1" t="s">
        <v>74</v>
      </c>
      <c r="Y381" s="1" t="s">
        <v>74</v>
      </c>
      <c r="Z381" s="1" t="s">
        <v>74</v>
      </c>
      <c r="AA381" s="1" t="s">
        <v>74</v>
      </c>
      <c r="AB381" s="1" t="s">
        <v>74</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3582</v>
      </c>
      <c r="AP381" s="1" t="s">
        <v>74</v>
      </c>
      <c r="AQ381" s="1" t="s">
        <v>74</v>
      </c>
      <c r="AR381" s="1" t="s">
        <v>74</v>
      </c>
      <c r="AS381" s="1" t="s">
        <v>74</v>
      </c>
      <c r="AT381" s="1" t="s">
        <v>74</v>
      </c>
      <c r="AU381" s="1">
        <v>2018.0</v>
      </c>
      <c r="AV381" s="1">
        <v>23.0</v>
      </c>
      <c r="AW381" s="1">
        <v>2.0</v>
      </c>
      <c r="AX381" s="1" t="s">
        <v>74</v>
      </c>
      <c r="AY381" s="1" t="s">
        <v>74</v>
      </c>
      <c r="AZ381" s="1" t="s">
        <v>74</v>
      </c>
      <c r="BA381" s="1" t="s">
        <v>74</v>
      </c>
      <c r="BB381" s="1" t="s">
        <v>74</v>
      </c>
      <c r="BC381" s="1" t="s">
        <v>74</v>
      </c>
      <c r="BD381" s="1" t="s">
        <v>3583</v>
      </c>
      <c r="BE381" s="1" t="s">
        <v>3584</v>
      </c>
      <c r="BF381" s="2" t="str">
        <f>HYPERLINK("http://dx.doi.org/10.1590/S1517-707620180002.0370","http://dx.doi.org/10.1590/S1517-707620180002.0370")</f>
        <v>http://dx.doi.org/10.1590/S1517-707620180002.0370</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3585</v>
      </c>
      <c r="BT381" s="1" t="str">
        <f>HYPERLINK("https%3A%2F%2Fwww.webofscience.com%2Fwos%2Fwoscc%2Ffull-record%2FWOS:000439159500044","View Full Record in Web of Science")</f>
        <v>View Full Record in Web of Science</v>
      </c>
    </row>
    <row r="382" ht="12.75" customHeight="1">
      <c r="A382" s="1" t="s">
        <v>72</v>
      </c>
      <c r="B382" s="1" t="s">
        <v>3586</v>
      </c>
      <c r="C382" s="1" t="s">
        <v>74</v>
      </c>
      <c r="D382" s="1" t="s">
        <v>74</v>
      </c>
      <c r="E382" s="1" t="s">
        <v>74</v>
      </c>
      <c r="F382" s="1" t="s">
        <v>3587</v>
      </c>
      <c r="G382" s="1" t="s">
        <v>74</v>
      </c>
      <c r="H382" s="1" t="s">
        <v>74</v>
      </c>
      <c r="I382" s="1" t="s">
        <v>3588</v>
      </c>
      <c r="J382" s="1" t="s">
        <v>3580</v>
      </c>
      <c r="K382" s="1" t="s">
        <v>74</v>
      </c>
      <c r="L382" s="1" t="s">
        <v>74</v>
      </c>
      <c r="M382" s="1" t="s">
        <v>74</v>
      </c>
      <c r="N382" s="1" t="s">
        <v>74</v>
      </c>
      <c r="O382" s="1" t="s">
        <v>74</v>
      </c>
      <c r="P382" s="1" t="s">
        <v>74</v>
      </c>
      <c r="Q382" s="1" t="s">
        <v>74</v>
      </c>
      <c r="R382" s="1" t="s">
        <v>74</v>
      </c>
      <c r="S382" s="1" t="s">
        <v>74</v>
      </c>
      <c r="T382" s="1" t="s">
        <v>74</v>
      </c>
      <c r="U382" s="1" t="s">
        <v>74</v>
      </c>
      <c r="V382" s="1" t="s">
        <v>3589</v>
      </c>
      <c r="W382" s="1" t="s">
        <v>74</v>
      </c>
      <c r="X382" s="1" t="s">
        <v>74</v>
      </c>
      <c r="Y382" s="1" t="s">
        <v>74</v>
      </c>
      <c r="Z382" s="1" t="s">
        <v>74</v>
      </c>
      <c r="AA382" s="1" t="s">
        <v>3590</v>
      </c>
      <c r="AB382" s="1" t="s">
        <v>74</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3582</v>
      </c>
      <c r="AP382" s="1" t="s">
        <v>74</v>
      </c>
      <c r="AQ382" s="1" t="s">
        <v>74</v>
      </c>
      <c r="AR382" s="1" t="s">
        <v>74</v>
      </c>
      <c r="AS382" s="1" t="s">
        <v>74</v>
      </c>
      <c r="AT382" s="1" t="s">
        <v>74</v>
      </c>
      <c r="AU382" s="1">
        <v>2018.0</v>
      </c>
      <c r="AV382" s="1">
        <v>23.0</v>
      </c>
      <c r="AW382" s="1">
        <v>4.0</v>
      </c>
      <c r="AX382" s="1" t="s">
        <v>74</v>
      </c>
      <c r="AY382" s="1" t="s">
        <v>74</v>
      </c>
      <c r="AZ382" s="1" t="s">
        <v>74</v>
      </c>
      <c r="BA382" s="1" t="s">
        <v>74</v>
      </c>
      <c r="BB382" s="1" t="s">
        <v>74</v>
      </c>
      <c r="BC382" s="1" t="s">
        <v>74</v>
      </c>
      <c r="BD382" s="1" t="s">
        <v>74</v>
      </c>
      <c r="BE382" s="1" t="s">
        <v>3591</v>
      </c>
      <c r="BF382" s="2" t="str">
        <f>HYPERLINK("http://dx.doi.org/10.1590/S1517-707620180004.0569","http://dx.doi.org/10.1590/S1517-707620180004.0569")</f>
        <v>http://dx.doi.org/10.1590/S1517-707620180004.0569</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3592</v>
      </c>
      <c r="BT382" s="1" t="str">
        <f>HYPERLINK("https%3A%2F%2Fwww.webofscience.com%2Fwos%2Fwoscc%2Ffull-record%2FWOS:000452418700026","View Full Record in Web of Science")</f>
        <v>View Full Record in Web of Science</v>
      </c>
    </row>
    <row r="383" ht="12.75" customHeight="1">
      <c r="A383" s="1" t="s">
        <v>72</v>
      </c>
      <c r="B383" s="1" t="s">
        <v>3593</v>
      </c>
      <c r="C383" s="1" t="s">
        <v>74</v>
      </c>
      <c r="D383" s="1" t="s">
        <v>74</v>
      </c>
      <c r="E383" s="1" t="s">
        <v>74</v>
      </c>
      <c r="F383" s="1" t="s">
        <v>3594</v>
      </c>
      <c r="G383" s="1" t="s">
        <v>74</v>
      </c>
      <c r="H383" s="1" t="s">
        <v>74</v>
      </c>
      <c r="I383" s="1" t="s">
        <v>3595</v>
      </c>
      <c r="J383" s="1" t="s">
        <v>3596</v>
      </c>
      <c r="K383" s="1" t="s">
        <v>74</v>
      </c>
      <c r="L383" s="1" t="s">
        <v>74</v>
      </c>
      <c r="M383" s="1" t="s">
        <v>74</v>
      </c>
      <c r="N383" s="1" t="s">
        <v>74</v>
      </c>
      <c r="O383" s="1" t="s">
        <v>74</v>
      </c>
      <c r="P383" s="1" t="s">
        <v>74</v>
      </c>
      <c r="Q383" s="1" t="s">
        <v>74</v>
      </c>
      <c r="R383" s="1" t="s">
        <v>74</v>
      </c>
      <c r="S383" s="1" t="s">
        <v>74</v>
      </c>
      <c r="T383" s="1" t="s">
        <v>74</v>
      </c>
      <c r="U383" s="1" t="s">
        <v>74</v>
      </c>
      <c r="V383" s="1" t="s">
        <v>3597</v>
      </c>
      <c r="W383" s="1" t="s">
        <v>74</v>
      </c>
      <c r="X383" s="1" t="s">
        <v>74</v>
      </c>
      <c r="Y383" s="1" t="s">
        <v>74</v>
      </c>
      <c r="Z383" s="1" t="s">
        <v>74</v>
      </c>
      <c r="AA383" s="1" t="s">
        <v>3598</v>
      </c>
      <c r="AB383" s="1" t="s">
        <v>3599</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3600</v>
      </c>
      <c r="AP383" s="1" t="s">
        <v>3601</v>
      </c>
      <c r="AQ383" s="1" t="s">
        <v>74</v>
      </c>
      <c r="AR383" s="1" t="s">
        <v>74</v>
      </c>
      <c r="AS383" s="1" t="s">
        <v>74</v>
      </c>
      <c r="AT383" s="1" t="s">
        <v>3602</v>
      </c>
      <c r="AU383" s="1">
        <v>2016.0</v>
      </c>
      <c r="AV383" s="1">
        <v>27.0</v>
      </c>
      <c r="AW383" s="1">
        <v>34.0</v>
      </c>
      <c r="AX383" s="1" t="s">
        <v>74</v>
      </c>
      <c r="AY383" s="1" t="s">
        <v>74</v>
      </c>
      <c r="AZ383" s="1" t="s">
        <v>74</v>
      </c>
      <c r="BA383" s="1" t="s">
        <v>74</v>
      </c>
      <c r="BB383" s="1" t="s">
        <v>74</v>
      </c>
      <c r="BC383" s="1" t="s">
        <v>74</v>
      </c>
      <c r="BD383" s="1">
        <v>345709.0</v>
      </c>
      <c r="BE383" s="1" t="s">
        <v>3603</v>
      </c>
      <c r="BF383" s="2" t="str">
        <f>HYPERLINK("http://dx.doi.org/10.1088/0957-4484/27/34/345709","http://dx.doi.org/10.1088/0957-4484/27/34/345709")</f>
        <v>http://dx.doi.org/10.1088/0957-4484/27/34/345709</v>
      </c>
      <c r="BG383" s="1" t="s">
        <v>74</v>
      </c>
      <c r="BH383" s="1" t="s">
        <v>74</v>
      </c>
      <c r="BI383" s="1" t="s">
        <v>74</v>
      </c>
      <c r="BJ383" s="1" t="s">
        <v>74</v>
      </c>
      <c r="BK383" s="1" t="s">
        <v>74</v>
      </c>
      <c r="BL383" s="1" t="s">
        <v>74</v>
      </c>
      <c r="BM383" s="1" t="s">
        <v>74</v>
      </c>
      <c r="BN383" s="1">
        <v>2.7454022E7</v>
      </c>
      <c r="BO383" s="1" t="s">
        <v>74</v>
      </c>
      <c r="BP383" s="1" t="s">
        <v>74</v>
      </c>
      <c r="BQ383" s="1" t="s">
        <v>74</v>
      </c>
      <c r="BR383" s="1" t="s">
        <v>74</v>
      </c>
      <c r="BS383" s="1" t="s">
        <v>3604</v>
      </c>
      <c r="BT383" s="1" t="str">
        <f>HYPERLINK("https%3A%2F%2Fwww.webofscience.com%2Fwos%2Fwoscc%2Ffull-record%2FWOS:000383963300023","View Full Record in Web of Science")</f>
        <v>View Full Record in Web of Science</v>
      </c>
    </row>
    <row r="384" ht="12.75" customHeight="1">
      <c r="A384" s="1" t="s">
        <v>72</v>
      </c>
      <c r="B384" s="1" t="s">
        <v>3605</v>
      </c>
      <c r="C384" s="1" t="s">
        <v>74</v>
      </c>
      <c r="D384" s="1" t="s">
        <v>74</v>
      </c>
      <c r="E384" s="1" t="s">
        <v>74</v>
      </c>
      <c r="F384" s="1" t="s">
        <v>3606</v>
      </c>
      <c r="G384" s="1" t="s">
        <v>74</v>
      </c>
      <c r="H384" s="1" t="s">
        <v>74</v>
      </c>
      <c r="I384" s="1" t="s">
        <v>3607</v>
      </c>
      <c r="J384" s="1" t="s">
        <v>3608</v>
      </c>
      <c r="K384" s="1" t="s">
        <v>74</v>
      </c>
      <c r="L384" s="1" t="s">
        <v>74</v>
      </c>
      <c r="M384" s="1" t="s">
        <v>74</v>
      </c>
      <c r="N384" s="1" t="s">
        <v>74</v>
      </c>
      <c r="O384" s="1" t="s">
        <v>74</v>
      </c>
      <c r="P384" s="1" t="s">
        <v>74</v>
      </c>
      <c r="Q384" s="1" t="s">
        <v>74</v>
      </c>
      <c r="R384" s="1" t="s">
        <v>74</v>
      </c>
      <c r="S384" s="1" t="s">
        <v>74</v>
      </c>
      <c r="T384" s="1" t="s">
        <v>74</v>
      </c>
      <c r="U384" s="1" t="s">
        <v>74</v>
      </c>
      <c r="V384" s="1" t="s">
        <v>74</v>
      </c>
      <c r="W384" s="1" t="s">
        <v>74</v>
      </c>
      <c r="X384" s="1" t="s">
        <v>74</v>
      </c>
      <c r="Y384" s="1" t="s">
        <v>74</v>
      </c>
      <c r="Z384" s="1" t="s">
        <v>74</v>
      </c>
      <c r="AA384" s="1" t="s">
        <v>74</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3609</v>
      </c>
      <c r="AP384" s="1" t="s">
        <v>74</v>
      </c>
      <c r="AQ384" s="1" t="s">
        <v>74</v>
      </c>
      <c r="AR384" s="1" t="s">
        <v>74</v>
      </c>
      <c r="AS384" s="1" t="s">
        <v>74</v>
      </c>
      <c r="AT384" s="1" t="s">
        <v>82</v>
      </c>
      <c r="AU384" s="1">
        <v>2016.0</v>
      </c>
      <c r="AV384" s="1">
        <v>73.0</v>
      </c>
      <c r="AW384" s="1">
        <v>1.0</v>
      </c>
      <c r="AX384" s="1" t="s">
        <v>74</v>
      </c>
      <c r="AY384" s="1" t="s">
        <v>74</v>
      </c>
      <c r="AZ384" s="1" t="s">
        <v>74</v>
      </c>
      <c r="BA384" s="1" t="s">
        <v>74</v>
      </c>
      <c r="BB384" s="1">
        <v>161.0</v>
      </c>
      <c r="BC384" s="1">
        <v>165.0</v>
      </c>
      <c r="BD384" s="1" t="s">
        <v>74</v>
      </c>
      <c r="BE384" s="1" t="s">
        <v>3610</v>
      </c>
      <c r="BF384" s="2" t="str">
        <f>HYPERLINK("http://dx.doi.org/10.4067/S0717-66432016000100019","http://dx.doi.org/10.4067/S0717-66432016000100019")</f>
        <v>http://dx.doi.org/10.4067/S0717-66432016000100019</v>
      </c>
      <c r="BG384" s="1" t="s">
        <v>74</v>
      </c>
      <c r="BH384" s="1" t="s">
        <v>74</v>
      </c>
      <c r="BI384" s="1" t="s">
        <v>74</v>
      </c>
      <c r="BJ384" s="1" t="s">
        <v>74</v>
      </c>
      <c r="BK384" s="1" t="s">
        <v>74</v>
      </c>
      <c r="BL384" s="1" t="s">
        <v>74</v>
      </c>
      <c r="BM384" s="1" t="s">
        <v>74</v>
      </c>
      <c r="BN384" s="1" t="s">
        <v>74</v>
      </c>
      <c r="BO384" s="1" t="s">
        <v>74</v>
      </c>
      <c r="BP384" s="1" t="s">
        <v>74</v>
      </c>
      <c r="BQ384" s="1" t="s">
        <v>74</v>
      </c>
      <c r="BR384" s="1" t="s">
        <v>74</v>
      </c>
      <c r="BS384" s="1" t="s">
        <v>3611</v>
      </c>
      <c r="BT384" s="1" t="str">
        <f>HYPERLINK("https%3A%2F%2Fwww.webofscience.com%2Fwos%2Fwoscc%2Ffull-record%2FWOS:000383443500019","View Full Record in Web of Science")</f>
        <v>View Full Record in Web of Science</v>
      </c>
    </row>
    <row r="385" ht="12.75" customHeight="1">
      <c r="A385" s="1" t="s">
        <v>241</v>
      </c>
      <c r="B385" s="1" t="s">
        <v>3612</v>
      </c>
      <c r="C385" s="1" t="s">
        <v>74</v>
      </c>
      <c r="D385" s="1" t="s">
        <v>463</v>
      </c>
      <c r="E385" s="1" t="s">
        <v>74</v>
      </c>
      <c r="F385" s="1" t="s">
        <v>3613</v>
      </c>
      <c r="G385" s="1" t="s">
        <v>74</v>
      </c>
      <c r="H385" s="1" t="s">
        <v>74</v>
      </c>
      <c r="I385" s="1" t="s">
        <v>3614</v>
      </c>
      <c r="J385" s="1" t="s">
        <v>466</v>
      </c>
      <c r="K385" s="1" t="s">
        <v>74</v>
      </c>
      <c r="L385" s="1" t="s">
        <v>74</v>
      </c>
      <c r="M385" s="1" t="s">
        <v>74</v>
      </c>
      <c r="N385" s="1" t="s">
        <v>74</v>
      </c>
      <c r="O385" s="1" t="s">
        <v>467</v>
      </c>
      <c r="P385" s="1" t="s">
        <v>468</v>
      </c>
      <c r="Q385" s="1" t="s">
        <v>469</v>
      </c>
      <c r="R385" s="1" t="s">
        <v>470</v>
      </c>
      <c r="S385" s="1" t="s">
        <v>74</v>
      </c>
      <c r="T385" s="1" t="s">
        <v>74</v>
      </c>
      <c r="U385" s="1" t="s">
        <v>74</v>
      </c>
      <c r="V385" s="1" t="s">
        <v>3615</v>
      </c>
      <c r="W385" s="1" t="s">
        <v>74</v>
      </c>
      <c r="X385" s="1" t="s">
        <v>74</v>
      </c>
      <c r="Y385" s="1" t="s">
        <v>74</v>
      </c>
      <c r="Z385" s="1" t="s">
        <v>74</v>
      </c>
      <c r="AA385" s="1" t="s">
        <v>74</v>
      </c>
      <c r="AB385" s="1" t="s">
        <v>3616</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74</v>
      </c>
      <c r="AP385" s="1" t="s">
        <v>74</v>
      </c>
      <c r="AQ385" s="1" t="s">
        <v>472</v>
      </c>
      <c r="AR385" s="1" t="s">
        <v>74</v>
      </c>
      <c r="AS385" s="1" t="s">
        <v>74</v>
      </c>
      <c r="AT385" s="1" t="s">
        <v>74</v>
      </c>
      <c r="AU385" s="1">
        <v>2015.0</v>
      </c>
      <c r="AV385" s="1" t="s">
        <v>74</v>
      </c>
      <c r="AW385" s="1" t="s">
        <v>74</v>
      </c>
      <c r="AX385" s="1" t="s">
        <v>74</v>
      </c>
      <c r="AY385" s="1" t="s">
        <v>74</v>
      </c>
      <c r="AZ385" s="1" t="s">
        <v>74</v>
      </c>
      <c r="BA385" s="1" t="s">
        <v>74</v>
      </c>
      <c r="BB385" s="1" t="s">
        <v>74</v>
      </c>
      <c r="BC385" s="1" t="s">
        <v>74</v>
      </c>
      <c r="BD385" s="1" t="s">
        <v>74</v>
      </c>
      <c r="BE385" s="1" t="s">
        <v>74</v>
      </c>
      <c r="BF385" s="1" t="s">
        <v>74</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3617</v>
      </c>
      <c r="BT385" s="1" t="str">
        <f>HYPERLINK("https%3A%2F%2Fwww.webofscience.com%2Fwos%2Fwoscc%2Ffull-record%2FWOS:000380396300018","View Full Record in Web of Science")</f>
        <v>View Full Record in Web of Science</v>
      </c>
    </row>
    <row r="386" ht="12.75" customHeight="1">
      <c r="A386" s="1" t="s">
        <v>241</v>
      </c>
      <c r="B386" s="1" t="s">
        <v>3618</v>
      </c>
      <c r="C386" s="1" t="s">
        <v>74</v>
      </c>
      <c r="D386" s="1" t="s">
        <v>3619</v>
      </c>
      <c r="E386" s="1" t="s">
        <v>74</v>
      </c>
      <c r="F386" s="1" t="s">
        <v>3620</v>
      </c>
      <c r="G386" s="1" t="s">
        <v>74</v>
      </c>
      <c r="H386" s="1" t="s">
        <v>74</v>
      </c>
      <c r="I386" s="1" t="s">
        <v>3621</v>
      </c>
      <c r="J386" s="1" t="s">
        <v>3622</v>
      </c>
      <c r="K386" s="1" t="s">
        <v>1326</v>
      </c>
      <c r="L386" s="1" t="s">
        <v>74</v>
      </c>
      <c r="M386" s="1" t="s">
        <v>74</v>
      </c>
      <c r="N386" s="1" t="s">
        <v>74</v>
      </c>
      <c r="O386" s="1" t="s">
        <v>3623</v>
      </c>
      <c r="P386" s="1" t="s">
        <v>3624</v>
      </c>
      <c r="Q386" s="1" t="s">
        <v>3625</v>
      </c>
      <c r="R386" s="1" t="s">
        <v>3626</v>
      </c>
      <c r="S386" s="1" t="s">
        <v>74</v>
      </c>
      <c r="T386" s="1" t="s">
        <v>74</v>
      </c>
      <c r="U386" s="1" t="s">
        <v>74</v>
      </c>
      <c r="V386" s="1" t="s">
        <v>3627</v>
      </c>
      <c r="W386" s="1" t="s">
        <v>74</v>
      </c>
      <c r="X386" s="1" t="s">
        <v>74</v>
      </c>
      <c r="Y386" s="1" t="s">
        <v>74</v>
      </c>
      <c r="Z386" s="1" t="s">
        <v>74</v>
      </c>
      <c r="AA386" s="1" t="s">
        <v>3628</v>
      </c>
      <c r="AB386" s="1" t="s">
        <v>3629</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1333</v>
      </c>
      <c r="AP386" s="1" t="s">
        <v>74</v>
      </c>
      <c r="AQ386" s="1" t="s">
        <v>74</v>
      </c>
      <c r="AR386" s="1" t="s">
        <v>74</v>
      </c>
      <c r="AS386" s="1" t="s">
        <v>74</v>
      </c>
      <c r="AT386" s="1" t="s">
        <v>74</v>
      </c>
      <c r="AU386" s="1">
        <v>2015.0</v>
      </c>
      <c r="AV386" s="1">
        <v>55.0</v>
      </c>
      <c r="AW386" s="1" t="s">
        <v>74</v>
      </c>
      <c r="AX386" s="1" t="s">
        <v>74</v>
      </c>
      <c r="AY386" s="1" t="s">
        <v>74</v>
      </c>
      <c r="AZ386" s="1" t="s">
        <v>74</v>
      </c>
      <c r="BA386" s="1" t="s">
        <v>74</v>
      </c>
      <c r="BB386" s="1">
        <v>1410.0</v>
      </c>
      <c r="BC386" s="1">
        <v>1419.0</v>
      </c>
      <c r="BD386" s="1" t="s">
        <v>74</v>
      </c>
      <c r="BE386" s="1" t="s">
        <v>3630</v>
      </c>
      <c r="BF386" s="2" t="str">
        <f>HYPERLINK("http://dx.doi.org/10.1016/j.procs.2015.07.135","http://dx.doi.org/10.1016/j.procs.2015.07.135")</f>
        <v>http://dx.doi.org/10.1016/j.procs.2015.07.135</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3631</v>
      </c>
      <c r="BT386" s="1" t="str">
        <f>HYPERLINK("https%3A%2F%2Fwww.webofscience.com%2Fwos%2Fwoscc%2Ffull-record%2FWOS:000360101400161","View Full Record in Web of Science")</f>
        <v>View Full Record in Web of Science</v>
      </c>
    </row>
    <row r="387" ht="12.75" customHeight="1">
      <c r="A387" s="1" t="s">
        <v>72</v>
      </c>
      <c r="B387" s="1" t="s">
        <v>3632</v>
      </c>
      <c r="C387" s="1" t="s">
        <v>74</v>
      </c>
      <c r="D387" s="1" t="s">
        <v>74</v>
      </c>
      <c r="E387" s="1" t="s">
        <v>74</v>
      </c>
      <c r="F387" s="1" t="s">
        <v>3633</v>
      </c>
      <c r="G387" s="1" t="s">
        <v>74</v>
      </c>
      <c r="H387" s="1" t="s">
        <v>74</v>
      </c>
      <c r="I387" s="1" t="s">
        <v>3634</v>
      </c>
      <c r="J387" s="1" t="s">
        <v>1282</v>
      </c>
      <c r="K387" s="1" t="s">
        <v>74</v>
      </c>
      <c r="L387" s="1" t="s">
        <v>74</v>
      </c>
      <c r="M387" s="1" t="s">
        <v>74</v>
      </c>
      <c r="N387" s="1" t="s">
        <v>74</v>
      </c>
      <c r="O387" s="1" t="s">
        <v>74</v>
      </c>
      <c r="P387" s="1" t="s">
        <v>74</v>
      </c>
      <c r="Q387" s="1" t="s">
        <v>74</v>
      </c>
      <c r="R387" s="1" t="s">
        <v>74</v>
      </c>
      <c r="S387" s="1" t="s">
        <v>74</v>
      </c>
      <c r="T387" s="1" t="s">
        <v>74</v>
      </c>
      <c r="U387" s="1" t="s">
        <v>74</v>
      </c>
      <c r="V387" s="1" t="s">
        <v>3635</v>
      </c>
      <c r="W387" s="1" t="s">
        <v>74</v>
      </c>
      <c r="X387" s="1" t="s">
        <v>74</v>
      </c>
      <c r="Y387" s="1" t="s">
        <v>74</v>
      </c>
      <c r="Z387" s="1" t="s">
        <v>74</v>
      </c>
      <c r="AA387" s="1" t="s">
        <v>3636</v>
      </c>
      <c r="AB387" s="1" t="s">
        <v>1768</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1285</v>
      </c>
      <c r="AP387" s="1" t="s">
        <v>3637</v>
      </c>
      <c r="AQ387" s="1" t="s">
        <v>74</v>
      </c>
      <c r="AR387" s="1" t="s">
        <v>74</v>
      </c>
      <c r="AS387" s="1" t="s">
        <v>74</v>
      </c>
      <c r="AT387" s="1" t="s">
        <v>160</v>
      </c>
      <c r="AU387" s="1">
        <v>2014.0</v>
      </c>
      <c r="AV387" s="1">
        <v>98.0</v>
      </c>
      <c r="AW387" s="1" t="s">
        <v>74</v>
      </c>
      <c r="AX387" s="1" t="s">
        <v>74</v>
      </c>
      <c r="AY387" s="1" t="s">
        <v>74</v>
      </c>
      <c r="AZ387" s="1" t="s">
        <v>74</v>
      </c>
      <c r="BA387" s="1" t="s">
        <v>74</v>
      </c>
      <c r="BB387" s="1">
        <v>290.0</v>
      </c>
      <c r="BC387" s="1">
        <v>298.0</v>
      </c>
      <c r="BD387" s="1" t="s">
        <v>74</v>
      </c>
      <c r="BE387" s="1" t="s">
        <v>3638</v>
      </c>
      <c r="BF387" s="2" t="str">
        <f>HYPERLINK("http://dx.doi.org/10.1016/j.atmosenv.2014.08.066","http://dx.doi.org/10.1016/j.atmosenv.2014.08.066")</f>
        <v>http://dx.doi.org/10.1016/j.atmosenv.2014.08.066</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3639</v>
      </c>
      <c r="BT387" s="1" t="str">
        <f>HYPERLINK("https%3A%2F%2Fwww.webofscience.com%2Fwos%2Fwoscc%2Ffull-record%2FWOS:000345475000031","View Full Record in Web of Science")</f>
        <v>View Full Record in Web of Science</v>
      </c>
    </row>
    <row r="388" ht="12.75" customHeight="1">
      <c r="A388" s="1" t="s">
        <v>72</v>
      </c>
      <c r="B388" s="1" t="s">
        <v>3640</v>
      </c>
      <c r="C388" s="1" t="s">
        <v>74</v>
      </c>
      <c r="D388" s="1" t="s">
        <v>74</v>
      </c>
      <c r="E388" s="1" t="s">
        <v>74</v>
      </c>
      <c r="F388" s="1" t="s">
        <v>3641</v>
      </c>
      <c r="G388" s="1" t="s">
        <v>74</v>
      </c>
      <c r="H388" s="1" t="s">
        <v>74</v>
      </c>
      <c r="I388" s="1" t="s">
        <v>3642</v>
      </c>
      <c r="J388" s="1" t="s">
        <v>301</v>
      </c>
      <c r="K388" s="1" t="s">
        <v>74</v>
      </c>
      <c r="L388" s="1" t="s">
        <v>74</v>
      </c>
      <c r="M388" s="1" t="s">
        <v>74</v>
      </c>
      <c r="N388" s="1" t="s">
        <v>74</v>
      </c>
      <c r="O388" s="1" t="s">
        <v>74</v>
      </c>
      <c r="P388" s="1" t="s">
        <v>74</v>
      </c>
      <c r="Q388" s="1" t="s">
        <v>74</v>
      </c>
      <c r="R388" s="1" t="s">
        <v>74</v>
      </c>
      <c r="S388" s="1" t="s">
        <v>74</v>
      </c>
      <c r="T388" s="1" t="s">
        <v>74</v>
      </c>
      <c r="U388" s="1" t="s">
        <v>74</v>
      </c>
      <c r="V388" s="1" t="s">
        <v>3643</v>
      </c>
      <c r="W388" s="1" t="s">
        <v>74</v>
      </c>
      <c r="X388" s="1" t="s">
        <v>74</v>
      </c>
      <c r="Y388" s="1" t="s">
        <v>74</v>
      </c>
      <c r="Z388" s="1" t="s">
        <v>74</v>
      </c>
      <c r="AA388" s="1" t="s">
        <v>3644</v>
      </c>
      <c r="AB388" s="1" t="s">
        <v>3645</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305</v>
      </c>
      <c r="AP388" s="1" t="s">
        <v>306</v>
      </c>
      <c r="AQ388" s="1" t="s">
        <v>74</v>
      </c>
      <c r="AR388" s="1" t="s">
        <v>74</v>
      </c>
      <c r="AS388" s="1" t="s">
        <v>74</v>
      </c>
      <c r="AT388" s="1" t="s">
        <v>3646</v>
      </c>
      <c r="AU388" s="1">
        <v>2012.0</v>
      </c>
      <c r="AV388" s="1">
        <v>112.0</v>
      </c>
      <c r="AW388" s="1">
        <v>8.0</v>
      </c>
      <c r="AX388" s="1" t="s">
        <v>74</v>
      </c>
      <c r="AY388" s="1" t="s">
        <v>74</v>
      </c>
      <c r="AZ388" s="1" t="s">
        <v>74</v>
      </c>
      <c r="BA388" s="1" t="s">
        <v>74</v>
      </c>
      <c r="BB388" s="1" t="s">
        <v>74</v>
      </c>
      <c r="BC388" s="1" t="s">
        <v>74</v>
      </c>
      <c r="BD388" s="1">
        <v>83906.0</v>
      </c>
      <c r="BE388" s="1" t="s">
        <v>3647</v>
      </c>
      <c r="BF388" s="2" t="str">
        <f>HYPERLINK("http://dx.doi.org/10.1063/1.4759141","http://dx.doi.org/10.1063/1.4759141")</f>
        <v>http://dx.doi.org/10.1063/1.4759141</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3648</v>
      </c>
      <c r="BT388" s="1" t="str">
        <f>HYPERLINK("https%3A%2F%2Fwww.webofscience.com%2Fwos%2Fwoscc%2Ffull-record%2FWOS:000310597500073","View Full Record in Web of Science")</f>
        <v>View Full Record in Web of Science</v>
      </c>
    </row>
    <row r="389" ht="12.75" customHeight="1">
      <c r="A389" s="1" t="s">
        <v>72</v>
      </c>
      <c r="B389" s="1" t="s">
        <v>3649</v>
      </c>
      <c r="C389" s="1" t="s">
        <v>74</v>
      </c>
      <c r="D389" s="1" t="s">
        <v>74</v>
      </c>
      <c r="E389" s="1" t="s">
        <v>74</v>
      </c>
      <c r="F389" s="1" t="s">
        <v>3650</v>
      </c>
      <c r="G389" s="1" t="s">
        <v>74</v>
      </c>
      <c r="H389" s="1" t="s">
        <v>74</v>
      </c>
      <c r="I389" s="1" t="s">
        <v>3651</v>
      </c>
      <c r="J389" s="1" t="s">
        <v>3652</v>
      </c>
      <c r="K389" s="1" t="s">
        <v>74</v>
      </c>
      <c r="L389" s="1" t="s">
        <v>74</v>
      </c>
      <c r="M389" s="1" t="s">
        <v>74</v>
      </c>
      <c r="N389" s="1" t="s">
        <v>74</v>
      </c>
      <c r="O389" s="1" t="s">
        <v>74</v>
      </c>
      <c r="P389" s="1" t="s">
        <v>74</v>
      </c>
      <c r="Q389" s="1" t="s">
        <v>74</v>
      </c>
      <c r="R389" s="1" t="s">
        <v>74</v>
      </c>
      <c r="S389" s="1" t="s">
        <v>74</v>
      </c>
      <c r="T389" s="1" t="s">
        <v>74</v>
      </c>
      <c r="U389" s="1" t="s">
        <v>74</v>
      </c>
      <c r="V389" s="1" t="s">
        <v>3653</v>
      </c>
      <c r="W389" s="1" t="s">
        <v>74</v>
      </c>
      <c r="X389" s="1" t="s">
        <v>74</v>
      </c>
      <c r="Y389" s="1" t="s">
        <v>74</v>
      </c>
      <c r="Z389" s="1" t="s">
        <v>74</v>
      </c>
      <c r="AA389" s="1" t="s">
        <v>3654</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3655</v>
      </c>
      <c r="AP389" s="1" t="s">
        <v>74</v>
      </c>
      <c r="AQ389" s="1" t="s">
        <v>74</v>
      </c>
      <c r="AR389" s="1" t="s">
        <v>74</v>
      </c>
      <c r="AS389" s="1" t="s">
        <v>74</v>
      </c>
      <c r="AT389" s="1" t="s">
        <v>3656</v>
      </c>
      <c r="AU389" s="1">
        <v>2012.0</v>
      </c>
      <c r="AV389" s="1">
        <v>46.0</v>
      </c>
      <c r="AW389" s="1">
        <v>2.0</v>
      </c>
      <c r="AX389" s="1" t="s">
        <v>74</v>
      </c>
      <c r="AY389" s="1" t="s">
        <v>74</v>
      </c>
      <c r="AZ389" s="1" t="s">
        <v>74</v>
      </c>
      <c r="BA389" s="1" t="s">
        <v>74</v>
      </c>
      <c r="BB389" s="1">
        <v>163.0</v>
      </c>
      <c r="BC389" s="1">
        <v>173.0</v>
      </c>
      <c r="BD389" s="1" t="s">
        <v>74</v>
      </c>
      <c r="BE389" s="1" t="s">
        <v>74</v>
      </c>
      <c r="BF389" s="1" t="s">
        <v>74</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3657</v>
      </c>
      <c r="BT389" s="1" t="str">
        <f>HYPERLINK("https%3A%2F%2Fwww.webofscience.com%2Fwos%2Fwoscc%2Ffull-record%2FWOS:000301622700006","View Full Record in Web of Science")</f>
        <v>View Full Record in Web of Science</v>
      </c>
    </row>
    <row r="390" ht="12.75" customHeight="1">
      <c r="A390" s="1" t="s">
        <v>72</v>
      </c>
      <c r="B390" s="1" t="s">
        <v>3658</v>
      </c>
      <c r="C390" s="1" t="s">
        <v>74</v>
      </c>
      <c r="D390" s="1" t="s">
        <v>74</v>
      </c>
      <c r="E390" s="1" t="s">
        <v>74</v>
      </c>
      <c r="F390" s="1" t="s">
        <v>3659</v>
      </c>
      <c r="G390" s="1" t="s">
        <v>74</v>
      </c>
      <c r="H390" s="1" t="s">
        <v>74</v>
      </c>
      <c r="I390" s="1" t="s">
        <v>3660</v>
      </c>
      <c r="J390" s="1" t="s">
        <v>280</v>
      </c>
      <c r="K390" s="1" t="s">
        <v>74</v>
      </c>
      <c r="L390" s="1" t="s">
        <v>74</v>
      </c>
      <c r="M390" s="1" t="s">
        <v>74</v>
      </c>
      <c r="N390" s="1" t="s">
        <v>74</v>
      </c>
      <c r="O390" s="1" t="s">
        <v>74</v>
      </c>
      <c r="P390" s="1" t="s">
        <v>74</v>
      </c>
      <c r="Q390" s="1" t="s">
        <v>74</v>
      </c>
      <c r="R390" s="1" t="s">
        <v>74</v>
      </c>
      <c r="S390" s="1" t="s">
        <v>74</v>
      </c>
      <c r="T390" s="1" t="s">
        <v>74</v>
      </c>
      <c r="U390" s="1" t="s">
        <v>74</v>
      </c>
      <c r="V390" s="1" t="s">
        <v>3661</v>
      </c>
      <c r="W390" s="1" t="s">
        <v>74</v>
      </c>
      <c r="X390" s="1" t="s">
        <v>74</v>
      </c>
      <c r="Y390" s="1" t="s">
        <v>74</v>
      </c>
      <c r="Z390" s="1" t="s">
        <v>74</v>
      </c>
      <c r="AA390" s="1" t="s">
        <v>3662</v>
      </c>
      <c r="AB390" s="1" t="s">
        <v>3663</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283</v>
      </c>
      <c r="AP390" s="1" t="s">
        <v>74</v>
      </c>
      <c r="AQ390" s="1" t="s">
        <v>74</v>
      </c>
      <c r="AR390" s="1" t="s">
        <v>74</v>
      </c>
      <c r="AS390" s="1" t="s">
        <v>74</v>
      </c>
      <c r="AT390" s="1" t="s">
        <v>160</v>
      </c>
      <c r="AU390" s="1">
        <v>2011.0</v>
      </c>
      <c r="AV390" s="1">
        <v>56.0</v>
      </c>
      <c r="AW390" s="1">
        <v>4.0</v>
      </c>
      <c r="AX390" s="1" t="s">
        <v>74</v>
      </c>
      <c r="AY390" s="1" t="s">
        <v>74</v>
      </c>
      <c r="AZ390" s="1" t="s">
        <v>74</v>
      </c>
      <c r="BA390" s="1" t="s">
        <v>74</v>
      </c>
      <c r="BB390" s="1">
        <v>948.0</v>
      </c>
      <c r="BC390" s="1">
        <v>950.0</v>
      </c>
      <c r="BD390" s="1" t="s">
        <v>74</v>
      </c>
      <c r="BE390" s="1" t="s">
        <v>3664</v>
      </c>
      <c r="BF390" s="2" t="str">
        <f>HYPERLINK("http://dx.doi.org/10.4067/S0717-97072011000400028","http://dx.doi.org/10.4067/S0717-97072011000400028")</f>
        <v>http://dx.doi.org/10.4067/S0717-97072011000400028</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3665</v>
      </c>
      <c r="BT390" s="1" t="str">
        <f>HYPERLINK("https%3A%2F%2Fwww.webofscience.com%2Fwos%2Fwoscc%2Ffull-record%2FWOS:000299756900028","View Full Record in Web of Science")</f>
        <v>View Full Record in Web of Science</v>
      </c>
    </row>
    <row r="391" ht="12.75" customHeight="1">
      <c r="A391" s="1" t="s">
        <v>72</v>
      </c>
      <c r="B391" s="1" t="s">
        <v>3666</v>
      </c>
      <c r="C391" s="1" t="s">
        <v>74</v>
      </c>
      <c r="D391" s="1" t="s">
        <v>74</v>
      </c>
      <c r="E391" s="1" t="s">
        <v>74</v>
      </c>
      <c r="F391" s="1" t="s">
        <v>3667</v>
      </c>
      <c r="G391" s="1" t="s">
        <v>74</v>
      </c>
      <c r="H391" s="1" t="s">
        <v>74</v>
      </c>
      <c r="I391" s="1" t="s">
        <v>3668</v>
      </c>
      <c r="J391" s="1" t="s">
        <v>1862</v>
      </c>
      <c r="K391" s="1" t="s">
        <v>74</v>
      </c>
      <c r="L391" s="1" t="s">
        <v>74</v>
      </c>
      <c r="M391" s="1" t="s">
        <v>74</v>
      </c>
      <c r="N391" s="1" t="s">
        <v>74</v>
      </c>
      <c r="O391" s="1" t="s">
        <v>74</v>
      </c>
      <c r="P391" s="1" t="s">
        <v>74</v>
      </c>
      <c r="Q391" s="1" t="s">
        <v>74</v>
      </c>
      <c r="R391" s="1" t="s">
        <v>74</v>
      </c>
      <c r="S391" s="1" t="s">
        <v>74</v>
      </c>
      <c r="T391" s="1" t="s">
        <v>74</v>
      </c>
      <c r="U391" s="1" t="s">
        <v>74</v>
      </c>
      <c r="V391" s="1" t="s">
        <v>3669</v>
      </c>
      <c r="W391" s="1" t="s">
        <v>74</v>
      </c>
      <c r="X391" s="1" t="s">
        <v>74</v>
      </c>
      <c r="Y391" s="1" t="s">
        <v>74</v>
      </c>
      <c r="Z391" s="1" t="s">
        <v>74</v>
      </c>
      <c r="AA391" s="1" t="s">
        <v>3670</v>
      </c>
      <c r="AB391" s="1" t="s">
        <v>3671</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1866</v>
      </c>
      <c r="AP391" s="1" t="s">
        <v>74</v>
      </c>
      <c r="AQ391" s="1" t="s">
        <v>74</v>
      </c>
      <c r="AR391" s="1" t="s">
        <v>74</v>
      </c>
      <c r="AS391" s="1" t="s">
        <v>74</v>
      </c>
      <c r="AT391" s="1" t="s">
        <v>343</v>
      </c>
      <c r="AU391" s="1">
        <v>2011.0</v>
      </c>
      <c r="AV391" s="1">
        <v>85.0</v>
      </c>
      <c r="AW391" s="1">
        <v>16.0</v>
      </c>
      <c r="AX391" s="1" t="s">
        <v>74</v>
      </c>
      <c r="AY391" s="1" t="s">
        <v>74</v>
      </c>
      <c r="AZ391" s="1" t="s">
        <v>74</v>
      </c>
      <c r="BA391" s="1" t="s">
        <v>74</v>
      </c>
      <c r="BB391" s="1">
        <v>8037.0</v>
      </c>
      <c r="BC391" s="1">
        <v>8045.0</v>
      </c>
      <c r="BD391" s="1" t="s">
        <v>74</v>
      </c>
      <c r="BE391" s="1" t="s">
        <v>3672</v>
      </c>
      <c r="BF391" s="2" t="str">
        <f>HYPERLINK("http://dx.doi.org/10.1128/JVI.00533-11","http://dx.doi.org/10.1128/JVI.00533-11")</f>
        <v>http://dx.doi.org/10.1128/JVI.00533-11</v>
      </c>
      <c r="BG391" s="1" t="s">
        <v>74</v>
      </c>
      <c r="BH391" s="1" t="s">
        <v>74</v>
      </c>
      <c r="BI391" s="1" t="s">
        <v>74</v>
      </c>
      <c r="BJ391" s="1" t="s">
        <v>74</v>
      </c>
      <c r="BK391" s="1" t="s">
        <v>74</v>
      </c>
      <c r="BL391" s="1" t="s">
        <v>74</v>
      </c>
      <c r="BM391" s="1" t="s">
        <v>74</v>
      </c>
      <c r="BN391" s="1">
        <v>2.1653663E7</v>
      </c>
      <c r="BO391" s="1" t="s">
        <v>74</v>
      </c>
      <c r="BP391" s="1" t="s">
        <v>74</v>
      </c>
      <c r="BQ391" s="1" t="s">
        <v>74</v>
      </c>
      <c r="BR391" s="1" t="s">
        <v>74</v>
      </c>
      <c r="BS391" s="1" t="s">
        <v>3673</v>
      </c>
      <c r="BT391" s="1" t="str">
        <f>HYPERLINK("https%3A%2F%2Fwww.webofscience.com%2Fwos%2Fwoscc%2Ffull-record%2FWOS:000292923100008","View Full Record in Web of Science")</f>
        <v>View Full Record in Web of Science</v>
      </c>
    </row>
    <row r="392" ht="12.75" customHeight="1">
      <c r="A392" s="1" t="s">
        <v>442</v>
      </c>
      <c r="B392" s="1" t="s">
        <v>3674</v>
      </c>
      <c r="C392" s="1" t="s">
        <v>74</v>
      </c>
      <c r="D392" s="1" t="s">
        <v>3675</v>
      </c>
      <c r="E392" s="1" t="s">
        <v>74</v>
      </c>
      <c r="F392" s="1" t="s">
        <v>3676</v>
      </c>
      <c r="G392" s="1" t="s">
        <v>74</v>
      </c>
      <c r="H392" s="1" t="s">
        <v>74</v>
      </c>
      <c r="I392" s="1" t="s">
        <v>3677</v>
      </c>
      <c r="J392" s="1" t="s">
        <v>3678</v>
      </c>
      <c r="K392" s="1" t="s">
        <v>74</v>
      </c>
      <c r="L392" s="1" t="s">
        <v>74</v>
      </c>
      <c r="M392" s="1" t="s">
        <v>74</v>
      </c>
      <c r="N392" s="1" t="s">
        <v>74</v>
      </c>
      <c r="O392" s="1" t="s">
        <v>74</v>
      </c>
      <c r="P392" s="1" t="s">
        <v>74</v>
      </c>
      <c r="Q392" s="1" t="s">
        <v>74</v>
      </c>
      <c r="R392" s="1" t="s">
        <v>74</v>
      </c>
      <c r="S392" s="1" t="s">
        <v>74</v>
      </c>
      <c r="T392" s="1" t="s">
        <v>74</v>
      </c>
      <c r="U392" s="1" t="s">
        <v>74</v>
      </c>
      <c r="V392" s="1" t="s">
        <v>74</v>
      </c>
      <c r="W392" s="1" t="s">
        <v>74</v>
      </c>
      <c r="X392" s="1" t="s">
        <v>74</v>
      </c>
      <c r="Y392" s="1" t="s">
        <v>74</v>
      </c>
      <c r="Z392" s="1" t="s">
        <v>74</v>
      </c>
      <c r="AA392" s="1" t="s">
        <v>74</v>
      </c>
      <c r="AB392" s="1" t="s">
        <v>74</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74</v>
      </c>
      <c r="AP392" s="1" t="s">
        <v>74</v>
      </c>
      <c r="AQ392" s="1" t="s">
        <v>3679</v>
      </c>
      <c r="AR392" s="1" t="s">
        <v>74</v>
      </c>
      <c r="AS392" s="1" t="s">
        <v>74</v>
      </c>
      <c r="AT392" s="1" t="s">
        <v>74</v>
      </c>
      <c r="AU392" s="1">
        <v>2011.0</v>
      </c>
      <c r="AV392" s="1" t="s">
        <v>74</v>
      </c>
      <c r="AW392" s="1" t="s">
        <v>74</v>
      </c>
      <c r="AX392" s="1" t="s">
        <v>74</v>
      </c>
      <c r="AY392" s="1" t="s">
        <v>74</v>
      </c>
      <c r="AZ392" s="1" t="s">
        <v>74</v>
      </c>
      <c r="BA392" s="1" t="s">
        <v>74</v>
      </c>
      <c r="BB392" s="1">
        <v>193.0</v>
      </c>
      <c r="BC392" s="1">
        <v>201.0</v>
      </c>
      <c r="BD392" s="1" t="s">
        <v>74</v>
      </c>
      <c r="BE392" s="1" t="s">
        <v>3680</v>
      </c>
      <c r="BF392" s="2" t="str">
        <f>HYPERLINK("http://dx.doi.org/10.1007/978-1-84996-369-5_12","http://dx.doi.org/10.1007/978-1-84996-369-5_12")</f>
        <v>http://dx.doi.org/10.1007/978-1-84996-369-5_12</v>
      </c>
      <c r="BG392" s="1" t="s">
        <v>3681</v>
      </c>
      <c r="BH392" s="1" t="s">
        <v>74</v>
      </c>
      <c r="BI392" s="1" t="s">
        <v>74</v>
      </c>
      <c r="BJ392" s="1" t="s">
        <v>74</v>
      </c>
      <c r="BK392" s="1" t="s">
        <v>74</v>
      </c>
      <c r="BL392" s="1" t="s">
        <v>74</v>
      </c>
      <c r="BM392" s="1" t="s">
        <v>74</v>
      </c>
      <c r="BN392" s="1" t="s">
        <v>74</v>
      </c>
      <c r="BO392" s="1" t="s">
        <v>74</v>
      </c>
      <c r="BP392" s="1" t="s">
        <v>74</v>
      </c>
      <c r="BQ392" s="1" t="s">
        <v>74</v>
      </c>
      <c r="BR392" s="1" t="s">
        <v>74</v>
      </c>
      <c r="BS392" s="1" t="s">
        <v>3682</v>
      </c>
      <c r="BT392" s="1" t="str">
        <f>HYPERLINK("https%3A%2F%2Fwww.webofscience.com%2Fwos%2Fwoscc%2Ffull-record%2FWOS:000283952400012","View Full Record in Web of Science")</f>
        <v>View Full Record in Web of Science</v>
      </c>
    </row>
    <row r="393" ht="12.75" customHeight="1">
      <c r="A393" s="1" t="s">
        <v>72</v>
      </c>
      <c r="B393" s="1" t="s">
        <v>3683</v>
      </c>
      <c r="C393" s="1" t="s">
        <v>74</v>
      </c>
      <c r="D393" s="1" t="s">
        <v>74</v>
      </c>
      <c r="E393" s="1" t="s">
        <v>74</v>
      </c>
      <c r="F393" s="1" t="s">
        <v>3684</v>
      </c>
      <c r="G393" s="1" t="s">
        <v>74</v>
      </c>
      <c r="H393" s="1" t="s">
        <v>74</v>
      </c>
      <c r="I393" s="1" t="s">
        <v>3685</v>
      </c>
      <c r="J393" s="1" t="s">
        <v>280</v>
      </c>
      <c r="K393" s="1" t="s">
        <v>74</v>
      </c>
      <c r="L393" s="1" t="s">
        <v>74</v>
      </c>
      <c r="M393" s="1" t="s">
        <v>74</v>
      </c>
      <c r="N393" s="1" t="s">
        <v>74</v>
      </c>
      <c r="O393" s="1" t="s">
        <v>74</v>
      </c>
      <c r="P393" s="1" t="s">
        <v>74</v>
      </c>
      <c r="Q393" s="1" t="s">
        <v>74</v>
      </c>
      <c r="R393" s="1" t="s">
        <v>74</v>
      </c>
      <c r="S393" s="1" t="s">
        <v>74</v>
      </c>
      <c r="T393" s="1" t="s">
        <v>74</v>
      </c>
      <c r="U393" s="1" t="s">
        <v>74</v>
      </c>
      <c r="V393" s="1" t="s">
        <v>3686</v>
      </c>
      <c r="W393" s="1" t="s">
        <v>74</v>
      </c>
      <c r="X393" s="1" t="s">
        <v>74</v>
      </c>
      <c r="Y393" s="1" t="s">
        <v>74</v>
      </c>
      <c r="Z393" s="1" t="s">
        <v>74</v>
      </c>
      <c r="AA393" s="1" t="s">
        <v>3687</v>
      </c>
      <c r="AB393" s="1" t="s">
        <v>3688</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283</v>
      </c>
      <c r="AP393" s="1" t="s">
        <v>74</v>
      </c>
      <c r="AQ393" s="1" t="s">
        <v>74</v>
      </c>
      <c r="AR393" s="1" t="s">
        <v>74</v>
      </c>
      <c r="AS393" s="1" t="s">
        <v>74</v>
      </c>
      <c r="AT393" s="1" t="s">
        <v>160</v>
      </c>
      <c r="AU393" s="1">
        <v>2009.0</v>
      </c>
      <c r="AV393" s="1">
        <v>54.0</v>
      </c>
      <c r="AW393" s="1">
        <v>4.0</v>
      </c>
      <c r="AX393" s="1" t="s">
        <v>74</v>
      </c>
      <c r="AY393" s="1" t="s">
        <v>74</v>
      </c>
      <c r="AZ393" s="1" t="s">
        <v>74</v>
      </c>
      <c r="BA393" s="1" t="s">
        <v>74</v>
      </c>
      <c r="BB393" s="1">
        <v>414.0</v>
      </c>
      <c r="BC393" s="1">
        <v>416.0</v>
      </c>
      <c r="BD393" s="1" t="s">
        <v>74</v>
      </c>
      <c r="BE393" s="1" t="s">
        <v>74</v>
      </c>
      <c r="BF393" s="1" t="s">
        <v>74</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3689</v>
      </c>
      <c r="BT393" s="1" t="str">
        <f>HYPERLINK("https%3A%2F%2Fwww.webofscience.com%2Fwos%2Fwoscc%2Ffull-record%2FWOS:000273751200020","View Full Record in Web of Science")</f>
        <v>View Full Record in Web of Science</v>
      </c>
    </row>
    <row r="394" ht="12.75" customHeight="1">
      <c r="A394" s="1" t="s">
        <v>72</v>
      </c>
      <c r="B394" s="1" t="s">
        <v>3690</v>
      </c>
      <c r="C394" s="1" t="s">
        <v>74</v>
      </c>
      <c r="D394" s="1" t="s">
        <v>74</v>
      </c>
      <c r="E394" s="1" t="s">
        <v>74</v>
      </c>
      <c r="F394" s="1" t="s">
        <v>3691</v>
      </c>
      <c r="G394" s="1" t="s">
        <v>74</v>
      </c>
      <c r="H394" s="1" t="s">
        <v>74</v>
      </c>
      <c r="I394" s="1" t="s">
        <v>3692</v>
      </c>
      <c r="J394" s="1" t="s">
        <v>669</v>
      </c>
      <c r="K394" s="1" t="s">
        <v>74</v>
      </c>
      <c r="L394" s="1" t="s">
        <v>74</v>
      </c>
      <c r="M394" s="1" t="s">
        <v>74</v>
      </c>
      <c r="N394" s="1" t="s">
        <v>74</v>
      </c>
      <c r="O394" s="1" t="s">
        <v>74</v>
      </c>
      <c r="P394" s="1" t="s">
        <v>74</v>
      </c>
      <c r="Q394" s="1" t="s">
        <v>74</v>
      </c>
      <c r="R394" s="1" t="s">
        <v>74</v>
      </c>
      <c r="S394" s="1" t="s">
        <v>74</v>
      </c>
      <c r="T394" s="1" t="s">
        <v>74</v>
      </c>
      <c r="U394" s="1" t="s">
        <v>74</v>
      </c>
      <c r="V394" s="1" t="s">
        <v>3693</v>
      </c>
      <c r="W394" s="1" t="s">
        <v>74</v>
      </c>
      <c r="X394" s="1" t="s">
        <v>74</v>
      </c>
      <c r="Y394" s="1" t="s">
        <v>74</v>
      </c>
      <c r="Z394" s="1" t="s">
        <v>74</v>
      </c>
      <c r="AA394" s="1" t="s">
        <v>3694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670</v>
      </c>
      <c r="AP394" s="1" t="s">
        <v>74</v>
      </c>
      <c r="AQ394" s="1" t="s">
        <v>74</v>
      </c>
      <c r="AR394" s="1" t="s">
        <v>74</v>
      </c>
      <c r="AS394" s="1" t="s">
        <v>74</v>
      </c>
      <c r="AT394" s="1" t="s">
        <v>800</v>
      </c>
      <c r="AU394" s="1">
        <v>2007.0</v>
      </c>
      <c r="AV394" s="1">
        <v>308.0</v>
      </c>
      <c r="AW394" s="1">
        <v>2.0</v>
      </c>
      <c r="AX394" s="1" t="s">
        <v>74</v>
      </c>
      <c r="AY394" s="1" t="s">
        <v>74</v>
      </c>
      <c r="AZ394" s="1" t="s">
        <v>74</v>
      </c>
      <c r="BA394" s="1" t="s">
        <v>74</v>
      </c>
      <c r="BB394" s="1">
        <v>573.0</v>
      </c>
      <c r="BC394" s="1">
        <v>576.0</v>
      </c>
      <c r="BD394" s="1" t="s">
        <v>74</v>
      </c>
      <c r="BE394" s="1" t="s">
        <v>3695</v>
      </c>
      <c r="BF394" s="2" t="str">
        <f>HYPERLINK("http://dx.doi.org/10.1016/j.jcis.2007.01.007","http://dx.doi.org/10.1016/j.jcis.2007.01.007")</f>
        <v>http://dx.doi.org/10.1016/j.jcis.2007.01.007</v>
      </c>
      <c r="BG394" s="1" t="s">
        <v>74</v>
      </c>
      <c r="BH394" s="1" t="s">
        <v>74</v>
      </c>
      <c r="BI394" s="1" t="s">
        <v>74</v>
      </c>
      <c r="BJ394" s="1" t="s">
        <v>74</v>
      </c>
      <c r="BK394" s="1" t="s">
        <v>74</v>
      </c>
      <c r="BL394" s="1" t="s">
        <v>74</v>
      </c>
      <c r="BM394" s="1" t="s">
        <v>74</v>
      </c>
      <c r="BN394" s="1">
        <v>1.7250849E7</v>
      </c>
      <c r="BO394" s="1" t="s">
        <v>74</v>
      </c>
      <c r="BP394" s="1" t="s">
        <v>74</v>
      </c>
      <c r="BQ394" s="1" t="s">
        <v>74</v>
      </c>
      <c r="BR394" s="1" t="s">
        <v>74</v>
      </c>
      <c r="BS394" s="1" t="s">
        <v>3696</v>
      </c>
      <c r="BT394" s="1" t="str">
        <f>HYPERLINK("https%3A%2F%2Fwww.webofscience.com%2Fwos%2Fwoscc%2Ffull-record%2FWOS:000244841500037","View Full Record in Web of Science")</f>
        <v>View Full Record in Web of Science</v>
      </c>
    </row>
    <row r="395" ht="12.75" customHeight="1">
      <c r="A395" s="1" t="s">
        <v>72</v>
      </c>
      <c r="B395" s="1" t="s">
        <v>3697</v>
      </c>
      <c r="C395" s="1" t="s">
        <v>74</v>
      </c>
      <c r="D395" s="1" t="s">
        <v>74</v>
      </c>
      <c r="E395" s="1" t="s">
        <v>74</v>
      </c>
      <c r="F395" s="1" t="s">
        <v>3697</v>
      </c>
      <c r="G395" s="1" t="s">
        <v>74</v>
      </c>
      <c r="H395" s="1" t="s">
        <v>74</v>
      </c>
      <c r="I395" s="1" t="s">
        <v>3698</v>
      </c>
      <c r="J395" s="1" t="s">
        <v>3699</v>
      </c>
      <c r="K395" s="1" t="s">
        <v>74</v>
      </c>
      <c r="L395" s="1" t="s">
        <v>74</v>
      </c>
      <c r="M395" s="1" t="s">
        <v>74</v>
      </c>
      <c r="N395" s="1" t="s">
        <v>74</v>
      </c>
      <c r="O395" s="1" t="s">
        <v>74</v>
      </c>
      <c r="P395" s="1" t="s">
        <v>74</v>
      </c>
      <c r="Q395" s="1" t="s">
        <v>74</v>
      </c>
      <c r="R395" s="1" t="s">
        <v>74</v>
      </c>
      <c r="S395" s="1" t="s">
        <v>74</v>
      </c>
      <c r="T395" s="1" t="s">
        <v>74</v>
      </c>
      <c r="U395" s="1" t="s">
        <v>74</v>
      </c>
      <c r="V395" s="1" t="s">
        <v>3700</v>
      </c>
      <c r="W395" s="1" t="s">
        <v>74</v>
      </c>
      <c r="X395" s="1" t="s">
        <v>74</v>
      </c>
      <c r="Y395" s="1" t="s">
        <v>74</v>
      </c>
      <c r="Z395" s="1" t="s">
        <v>74</v>
      </c>
      <c r="AA395" s="1" t="s">
        <v>74</v>
      </c>
      <c r="AB395" s="1" t="s">
        <v>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3701</v>
      </c>
      <c r="AP395" s="1" t="s">
        <v>74</v>
      </c>
      <c r="AQ395" s="1" t="s">
        <v>74</v>
      </c>
      <c r="AR395" s="1" t="s">
        <v>74</v>
      </c>
      <c r="AS395" s="1" t="s">
        <v>74</v>
      </c>
      <c r="AT395" s="1" t="s">
        <v>174</v>
      </c>
      <c r="AU395" s="1">
        <v>2005.0</v>
      </c>
      <c r="AV395" s="1">
        <v>31.0</v>
      </c>
      <c r="AW395" s="1">
        <v>4.0</v>
      </c>
      <c r="AX395" s="1" t="s">
        <v>74</v>
      </c>
      <c r="AY395" s="1" t="s">
        <v>74</v>
      </c>
      <c r="AZ395" s="1" t="s">
        <v>74</v>
      </c>
      <c r="BA395" s="1" t="s">
        <v>74</v>
      </c>
      <c r="BB395" s="1">
        <v>485.0</v>
      </c>
      <c r="BC395" s="1">
        <v>491.0</v>
      </c>
      <c r="BD395" s="1" t="s">
        <v>74</v>
      </c>
      <c r="BE395" s="1" t="s">
        <v>3702</v>
      </c>
      <c r="BF395" s="2" t="str">
        <f>HYPERLINK("http://dx.doi.org/10.1016/j.ultrasmedbio.2004.12.021","http://dx.doi.org/10.1016/j.ultrasmedbio.2004.12.021")</f>
        <v>http://dx.doi.org/10.1016/j.ultrasmedbio.2004.12.021</v>
      </c>
      <c r="BG395" s="1" t="s">
        <v>74</v>
      </c>
      <c r="BH395" s="1" t="s">
        <v>74</v>
      </c>
      <c r="BI395" s="1" t="s">
        <v>74</v>
      </c>
      <c r="BJ395" s="1" t="s">
        <v>74</v>
      </c>
      <c r="BK395" s="1" t="s">
        <v>74</v>
      </c>
      <c r="BL395" s="1" t="s">
        <v>74</v>
      </c>
      <c r="BM395" s="1" t="s">
        <v>74</v>
      </c>
      <c r="BN395" s="1">
        <v>1.5831327E7</v>
      </c>
      <c r="BO395" s="1" t="s">
        <v>74</v>
      </c>
      <c r="BP395" s="1" t="s">
        <v>74</v>
      </c>
      <c r="BQ395" s="1" t="s">
        <v>74</v>
      </c>
      <c r="BR395" s="1" t="s">
        <v>74</v>
      </c>
      <c r="BS395" s="1" t="s">
        <v>3703</v>
      </c>
      <c r="BT395" s="1" t="str">
        <f>HYPERLINK("https%3A%2F%2Fwww.webofscience.com%2Fwos%2Fwoscc%2Ffull-record%2FWOS:000228440800004","View Full Record in Web of Science")</f>
        <v>View Full Record in Web of Science</v>
      </c>
    </row>
    <row r="396" ht="12.75" customHeight="1">
      <c r="A396" s="1" t="s">
        <v>72</v>
      </c>
      <c r="B396" s="1" t="s">
        <v>3704</v>
      </c>
      <c r="C396" s="1" t="s">
        <v>74</v>
      </c>
      <c r="D396" s="1" t="s">
        <v>74</v>
      </c>
      <c r="E396" s="1" t="s">
        <v>74</v>
      </c>
      <c r="F396" s="1" t="s">
        <v>3704</v>
      </c>
      <c r="G396" s="1" t="s">
        <v>74</v>
      </c>
      <c r="H396" s="1" t="s">
        <v>74</v>
      </c>
      <c r="I396" s="1" t="s">
        <v>3705</v>
      </c>
      <c r="J396" s="1" t="s">
        <v>1553</v>
      </c>
      <c r="K396" s="1" t="s">
        <v>74</v>
      </c>
      <c r="L396" s="1" t="s">
        <v>74</v>
      </c>
      <c r="M396" s="1" t="s">
        <v>74</v>
      </c>
      <c r="N396" s="1" t="s">
        <v>74</v>
      </c>
      <c r="O396" s="1" t="s">
        <v>74</v>
      </c>
      <c r="P396" s="1" t="s">
        <v>74</v>
      </c>
      <c r="Q396" s="1" t="s">
        <v>74</v>
      </c>
      <c r="R396" s="1" t="s">
        <v>74</v>
      </c>
      <c r="S396" s="1" t="s">
        <v>74</v>
      </c>
      <c r="T396" s="1" t="s">
        <v>74</v>
      </c>
      <c r="U396" s="1" t="s">
        <v>74</v>
      </c>
      <c r="V396" s="1" t="s">
        <v>3706</v>
      </c>
      <c r="W396" s="1" t="s">
        <v>74</v>
      </c>
      <c r="X396" s="1" t="s">
        <v>74</v>
      </c>
      <c r="Y396" s="1" t="s">
        <v>74</v>
      </c>
      <c r="Z396" s="1" t="s">
        <v>74</v>
      </c>
      <c r="AA396" s="1" t="s">
        <v>3041</v>
      </c>
      <c r="AB396" s="1" t="s">
        <v>3042</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1557</v>
      </c>
      <c r="AP396" s="1" t="s">
        <v>74</v>
      </c>
      <c r="AQ396" s="1" t="s">
        <v>74</v>
      </c>
      <c r="AR396" s="1" t="s">
        <v>74</v>
      </c>
      <c r="AS396" s="1" t="s">
        <v>74</v>
      </c>
      <c r="AT396" s="1" t="s">
        <v>3707</v>
      </c>
      <c r="AU396" s="1">
        <v>2002.0</v>
      </c>
      <c r="AV396" s="1">
        <v>58.0</v>
      </c>
      <c r="AW396" s="1">
        <v>25.0</v>
      </c>
      <c r="AX396" s="1" t="s">
        <v>74</v>
      </c>
      <c r="AY396" s="1" t="s">
        <v>74</v>
      </c>
      <c r="AZ396" s="1" t="s">
        <v>74</v>
      </c>
      <c r="BA396" s="1" t="s">
        <v>74</v>
      </c>
      <c r="BB396" s="1">
        <v>5141.0</v>
      </c>
      <c r="BC396" s="1">
        <v>5145.0</v>
      </c>
      <c r="BD396" s="1" t="s">
        <v>3708</v>
      </c>
      <c r="BE396" s="1" t="s">
        <v>3709</v>
      </c>
      <c r="BF396" s="2" t="str">
        <f>HYPERLINK("http://dx.doi.org/10.1016/S0040-4020(02)00457-X","http://dx.doi.org/10.1016/S0040-4020(02)00457-X")</f>
        <v>http://dx.doi.org/10.1016/S0040-4020(02)00457-X</v>
      </c>
      <c r="BG396" s="1" t="s">
        <v>74</v>
      </c>
      <c r="BH396" s="1" t="s">
        <v>74</v>
      </c>
      <c r="BI396" s="1" t="s">
        <v>74</v>
      </c>
      <c r="BJ396" s="1" t="s">
        <v>74</v>
      </c>
      <c r="BK396" s="1" t="s">
        <v>74</v>
      </c>
      <c r="BL396" s="1" t="s">
        <v>74</v>
      </c>
      <c r="BM396" s="1" t="s">
        <v>74</v>
      </c>
      <c r="BN396" s="1" t="s">
        <v>74</v>
      </c>
      <c r="BO396" s="1" t="s">
        <v>74</v>
      </c>
      <c r="BP396" s="1" t="s">
        <v>74</v>
      </c>
      <c r="BQ396" s="1" t="s">
        <v>74</v>
      </c>
      <c r="BR396" s="1" t="s">
        <v>74</v>
      </c>
      <c r="BS396" s="1" t="s">
        <v>3710</v>
      </c>
      <c r="BT396" s="1" t="str">
        <f>HYPERLINK("https%3A%2F%2Fwww.webofscience.com%2Fwos%2Fwoscc%2Ffull-record%2FWOS:000176320500017","View Full Record in Web of Science")</f>
        <v>View Full Record in Web of Science</v>
      </c>
    </row>
    <row r="397" ht="12.75" customHeight="1">
      <c r="A397" s="1" t="s">
        <v>72</v>
      </c>
      <c r="B397" s="1" t="s">
        <v>3711</v>
      </c>
      <c r="C397" s="1" t="s">
        <v>74</v>
      </c>
      <c r="D397" s="1" t="s">
        <v>74</v>
      </c>
      <c r="E397" s="1" t="s">
        <v>74</v>
      </c>
      <c r="F397" s="1" t="s">
        <v>3711</v>
      </c>
      <c r="G397" s="1" t="s">
        <v>74</v>
      </c>
      <c r="H397" s="1" t="s">
        <v>74</v>
      </c>
      <c r="I397" s="1" t="s">
        <v>3712</v>
      </c>
      <c r="J397" s="1" t="s">
        <v>3713</v>
      </c>
      <c r="K397" s="1" t="s">
        <v>74</v>
      </c>
      <c r="L397" s="1" t="s">
        <v>74</v>
      </c>
      <c r="M397" s="1" t="s">
        <v>74</v>
      </c>
      <c r="N397" s="1" t="s">
        <v>74</v>
      </c>
      <c r="O397" s="1" t="s">
        <v>74</v>
      </c>
      <c r="P397" s="1" t="s">
        <v>74</v>
      </c>
      <c r="Q397" s="1" t="s">
        <v>74</v>
      </c>
      <c r="R397" s="1" t="s">
        <v>74</v>
      </c>
      <c r="S397" s="1" t="s">
        <v>74</v>
      </c>
      <c r="T397" s="1" t="s">
        <v>74</v>
      </c>
      <c r="U397" s="1" t="s">
        <v>74</v>
      </c>
      <c r="V397" s="1" t="s">
        <v>3714</v>
      </c>
      <c r="W397" s="1" t="s">
        <v>74</v>
      </c>
      <c r="X397" s="1" t="s">
        <v>74</v>
      </c>
      <c r="Y397" s="1" t="s">
        <v>74</v>
      </c>
      <c r="Z397" s="1" t="s">
        <v>74</v>
      </c>
      <c r="AA397" s="1" t="s">
        <v>74</v>
      </c>
      <c r="AB397" s="1" t="s">
        <v>3715</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3716</v>
      </c>
      <c r="AP397" s="1" t="s">
        <v>74</v>
      </c>
      <c r="AQ397" s="1" t="s">
        <v>74</v>
      </c>
      <c r="AR397" s="1" t="s">
        <v>74</v>
      </c>
      <c r="AS397" s="1" t="s">
        <v>74</v>
      </c>
      <c r="AT397" s="1" t="s">
        <v>800</v>
      </c>
      <c r="AU397" s="1">
        <v>2001.0</v>
      </c>
      <c r="AV397" s="1">
        <v>388.0</v>
      </c>
      <c r="AW397" s="1">
        <v>2.0</v>
      </c>
      <c r="AX397" s="1" t="s">
        <v>74</v>
      </c>
      <c r="AY397" s="1" t="s">
        <v>74</v>
      </c>
      <c r="AZ397" s="1" t="s">
        <v>74</v>
      </c>
      <c r="BA397" s="1" t="s">
        <v>74</v>
      </c>
      <c r="BB397" s="1">
        <v>231.0</v>
      </c>
      <c r="BC397" s="1">
        <v>236.0</v>
      </c>
      <c r="BD397" s="1" t="s">
        <v>74</v>
      </c>
      <c r="BE397" s="1" t="s">
        <v>3717</v>
      </c>
      <c r="BF397" s="2" t="str">
        <f>HYPERLINK("http://dx.doi.org/10.1006/abbi.2001.2289","http://dx.doi.org/10.1006/abbi.2001.2289")</f>
        <v>http://dx.doi.org/10.1006/abbi.2001.2289</v>
      </c>
      <c r="BG397" s="1" t="s">
        <v>74</v>
      </c>
      <c r="BH397" s="1" t="s">
        <v>74</v>
      </c>
      <c r="BI397" s="1" t="s">
        <v>74</v>
      </c>
      <c r="BJ397" s="1" t="s">
        <v>74</v>
      </c>
      <c r="BK397" s="1" t="s">
        <v>74</v>
      </c>
      <c r="BL397" s="1" t="s">
        <v>74</v>
      </c>
      <c r="BM397" s="1" t="s">
        <v>74</v>
      </c>
      <c r="BN397" s="1">
        <v>1.1368159E7</v>
      </c>
      <c r="BO397" s="1" t="s">
        <v>74</v>
      </c>
      <c r="BP397" s="1" t="s">
        <v>74</v>
      </c>
      <c r="BQ397" s="1" t="s">
        <v>74</v>
      </c>
      <c r="BR397" s="1" t="s">
        <v>74</v>
      </c>
      <c r="BS397" s="1" t="s">
        <v>3718</v>
      </c>
      <c r="BT397" s="1" t="str">
        <f>HYPERLINK("https%3A%2F%2Fwww.webofscience.com%2Fwos%2Fwoscc%2Ffull-record%2FWOS:000168254800007","View Full Record in Web of Science")</f>
        <v>View Full Record in Web of Science</v>
      </c>
    </row>
    <row r="398" ht="12.75" customHeight="1">
      <c r="A398" s="1" t="s">
        <v>72</v>
      </c>
      <c r="B398" s="1" t="s">
        <v>3719</v>
      </c>
      <c r="C398" s="1" t="s">
        <v>74</v>
      </c>
      <c r="D398" s="1" t="s">
        <v>74</v>
      </c>
      <c r="E398" s="1" t="s">
        <v>74</v>
      </c>
      <c r="F398" s="1" t="s">
        <v>3719</v>
      </c>
      <c r="G398" s="1" t="s">
        <v>74</v>
      </c>
      <c r="H398" s="1" t="s">
        <v>74</v>
      </c>
      <c r="I398" s="1" t="s">
        <v>3720</v>
      </c>
      <c r="J398" s="1" t="s">
        <v>2677</v>
      </c>
      <c r="K398" s="1" t="s">
        <v>74</v>
      </c>
      <c r="L398" s="1" t="s">
        <v>74</v>
      </c>
      <c r="M398" s="1" t="s">
        <v>74</v>
      </c>
      <c r="N398" s="1" t="s">
        <v>74</v>
      </c>
      <c r="O398" s="1" t="s">
        <v>74</v>
      </c>
      <c r="P398" s="1" t="s">
        <v>74</v>
      </c>
      <c r="Q398" s="1" t="s">
        <v>74</v>
      </c>
      <c r="R398" s="1" t="s">
        <v>74</v>
      </c>
      <c r="S398" s="1" t="s">
        <v>74</v>
      </c>
      <c r="T398" s="1" t="s">
        <v>74</v>
      </c>
      <c r="U398" s="1" t="s">
        <v>74</v>
      </c>
      <c r="V398" s="1" t="s">
        <v>3721</v>
      </c>
      <c r="W398" s="1" t="s">
        <v>74</v>
      </c>
      <c r="X398" s="1" t="s">
        <v>74</v>
      </c>
      <c r="Y398" s="1" t="s">
        <v>74</v>
      </c>
      <c r="Z398" s="1" t="s">
        <v>74</v>
      </c>
      <c r="AA398" s="1" t="s">
        <v>3722</v>
      </c>
      <c r="AB398" s="1" t="s">
        <v>3723</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3724</v>
      </c>
      <c r="AP398" s="1" t="s">
        <v>74</v>
      </c>
      <c r="AQ398" s="1" t="s">
        <v>74</v>
      </c>
      <c r="AR398" s="1" t="s">
        <v>74</v>
      </c>
      <c r="AS398" s="1" t="s">
        <v>74</v>
      </c>
      <c r="AT398" s="1" t="s">
        <v>565</v>
      </c>
      <c r="AU398" s="1">
        <v>1997.0</v>
      </c>
      <c r="AV398" s="1">
        <v>55.0</v>
      </c>
      <c r="AW398" s="1">
        <v>6.0</v>
      </c>
      <c r="AX398" s="1" t="s">
        <v>74</v>
      </c>
      <c r="AY398" s="1" t="s">
        <v>74</v>
      </c>
      <c r="AZ398" s="1" t="s">
        <v>74</v>
      </c>
      <c r="BA398" s="1" t="s">
        <v>74</v>
      </c>
      <c r="BB398" s="1">
        <v>3642.0</v>
      </c>
      <c r="BC398" s="1">
        <v>3646.0</v>
      </c>
      <c r="BD398" s="1" t="s">
        <v>74</v>
      </c>
      <c r="BE398" s="1" t="s">
        <v>3725</v>
      </c>
      <c r="BF398" s="2" t="str">
        <f>HYPERLINK("http://dx.doi.org/10.1103/PhysRevD.55.3642","http://dx.doi.org/10.1103/PhysRevD.55.3642")</f>
        <v>http://dx.doi.org/10.1103/PhysRevD.55.3642</v>
      </c>
      <c r="BG398" s="1" t="s">
        <v>74</v>
      </c>
      <c r="BH398" s="1" t="s">
        <v>74</v>
      </c>
      <c r="BI398" s="1" t="s">
        <v>74</v>
      </c>
      <c r="BJ398" s="1" t="s">
        <v>74</v>
      </c>
      <c r="BK398" s="1" t="s">
        <v>74</v>
      </c>
      <c r="BL398" s="1" t="s">
        <v>74</v>
      </c>
      <c r="BM398" s="1" t="s">
        <v>74</v>
      </c>
      <c r="BN398" s="1" t="s">
        <v>74</v>
      </c>
      <c r="BO398" s="1" t="s">
        <v>74</v>
      </c>
      <c r="BP398" s="1" t="s">
        <v>74</v>
      </c>
      <c r="BQ398" s="1" t="s">
        <v>74</v>
      </c>
      <c r="BR398" s="1" t="s">
        <v>74</v>
      </c>
      <c r="BS398" s="1" t="s">
        <v>3726</v>
      </c>
      <c r="BT398" s="1" t="str">
        <f>HYPERLINK("https%3A%2F%2Fwww.webofscience.com%2Fwos%2Fwoscc%2Ffull-record%2FWOS:A1997WQ10200042","View Full Record in Web of Science")</f>
        <v>View Full Record in Web of Science</v>
      </c>
    </row>
    <row r="399" ht="12.75" customHeight="1">
      <c r="A399" s="1" t="s">
        <v>72</v>
      </c>
      <c r="B399" s="1" t="s">
        <v>3727</v>
      </c>
      <c r="C399" s="1" t="s">
        <v>74</v>
      </c>
      <c r="D399" s="1" t="s">
        <v>74</v>
      </c>
      <c r="E399" s="1" t="s">
        <v>74</v>
      </c>
      <c r="F399" s="1" t="s">
        <v>3728</v>
      </c>
      <c r="G399" s="1" t="s">
        <v>74</v>
      </c>
      <c r="H399" s="1" t="s">
        <v>74</v>
      </c>
      <c r="I399" s="1" t="s">
        <v>3729</v>
      </c>
      <c r="J399" s="1" t="s">
        <v>3730</v>
      </c>
      <c r="K399" s="1" t="s">
        <v>74</v>
      </c>
      <c r="L399" s="1" t="s">
        <v>74</v>
      </c>
      <c r="M399" s="1" t="s">
        <v>74</v>
      </c>
      <c r="N399" s="1" t="s">
        <v>74</v>
      </c>
      <c r="O399" s="1" t="s">
        <v>74</v>
      </c>
      <c r="P399" s="1" t="s">
        <v>74</v>
      </c>
      <c r="Q399" s="1" t="s">
        <v>74</v>
      </c>
      <c r="R399" s="1" t="s">
        <v>74</v>
      </c>
      <c r="S399" s="1" t="s">
        <v>74</v>
      </c>
      <c r="T399" s="1" t="s">
        <v>74</v>
      </c>
      <c r="U399" s="1" t="s">
        <v>74</v>
      </c>
      <c r="V399" s="1" t="s">
        <v>74</v>
      </c>
      <c r="W399" s="1" t="s">
        <v>74</v>
      </c>
      <c r="X399" s="1" t="s">
        <v>74</v>
      </c>
      <c r="Y399" s="1" t="s">
        <v>74</v>
      </c>
      <c r="Z399" s="1" t="s">
        <v>74</v>
      </c>
      <c r="AA399" s="1" t="s">
        <v>74</v>
      </c>
      <c r="AB399" s="1" t="s">
        <v>74</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3731</v>
      </c>
      <c r="AP399" s="1" t="s">
        <v>3732</v>
      </c>
      <c r="AQ399" s="1" t="s">
        <v>74</v>
      </c>
      <c r="AR399" s="1" t="s">
        <v>74</v>
      </c>
      <c r="AS399" s="1" t="s">
        <v>74</v>
      </c>
      <c r="AT399" s="1" t="s">
        <v>160</v>
      </c>
      <c r="AU399" s="1">
        <v>2023.0</v>
      </c>
      <c r="AV399" s="1">
        <v>24.0</v>
      </c>
      <c r="AW399" s="1">
        <v>40.0</v>
      </c>
      <c r="AX399" s="1" t="s">
        <v>74</v>
      </c>
      <c r="AY399" s="1" t="s">
        <v>74</v>
      </c>
      <c r="AZ399" s="1" t="s">
        <v>74</v>
      </c>
      <c r="BA399" s="1" t="s">
        <v>74</v>
      </c>
      <c r="BB399" s="1">
        <v>317.0</v>
      </c>
      <c r="BC399" s="1">
        <v>320.0</v>
      </c>
      <c r="BD399" s="1" t="s">
        <v>74</v>
      </c>
      <c r="BE399" s="1" t="s">
        <v>74</v>
      </c>
      <c r="BF399" s="1" t="s">
        <v>74</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3733</v>
      </c>
      <c r="BT399" s="1" t="str">
        <f>HYPERLINK("https%3A%2F%2Fwww.webofscience.com%2Fwos%2Fwoscc%2Ffull-record%2FWOS:001178769900020","View Full Record in Web of Science")</f>
        <v>View Full Record in Web of Science</v>
      </c>
    </row>
    <row r="400" ht="12.75" customHeight="1">
      <c r="A400" s="1" t="s">
        <v>72</v>
      </c>
      <c r="B400" s="1" t="s">
        <v>3734</v>
      </c>
      <c r="C400" s="1" t="s">
        <v>74</v>
      </c>
      <c r="D400" s="1" t="s">
        <v>74</v>
      </c>
      <c r="E400" s="1" t="s">
        <v>74</v>
      </c>
      <c r="F400" s="1" t="s">
        <v>3735</v>
      </c>
      <c r="G400" s="1" t="s">
        <v>74</v>
      </c>
      <c r="H400" s="1" t="s">
        <v>74</v>
      </c>
      <c r="I400" s="1" t="s">
        <v>3736</v>
      </c>
      <c r="J400" s="1" t="s">
        <v>760</v>
      </c>
      <c r="K400" s="1" t="s">
        <v>74</v>
      </c>
      <c r="L400" s="1" t="s">
        <v>74</v>
      </c>
      <c r="M400" s="1" t="s">
        <v>74</v>
      </c>
      <c r="N400" s="1" t="s">
        <v>74</v>
      </c>
      <c r="O400" s="1" t="s">
        <v>74</v>
      </c>
      <c r="P400" s="1" t="s">
        <v>74</v>
      </c>
      <c r="Q400" s="1" t="s">
        <v>74</v>
      </c>
      <c r="R400" s="1" t="s">
        <v>74</v>
      </c>
      <c r="S400" s="1" t="s">
        <v>74</v>
      </c>
      <c r="T400" s="1" t="s">
        <v>74</v>
      </c>
      <c r="U400" s="1" t="s">
        <v>74</v>
      </c>
      <c r="V400" s="1" t="s">
        <v>74</v>
      </c>
      <c r="W400" s="1" t="s">
        <v>74</v>
      </c>
      <c r="X400" s="1" t="s">
        <v>74</v>
      </c>
      <c r="Y400" s="1" t="s">
        <v>74</v>
      </c>
      <c r="Z400" s="1" t="s">
        <v>74</v>
      </c>
      <c r="AA400" s="1" t="s">
        <v>74</v>
      </c>
      <c r="AB400" s="1" t="s">
        <v>74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762</v>
      </c>
      <c r="AP400" s="1" t="s">
        <v>74</v>
      </c>
      <c r="AQ400" s="1" t="s">
        <v>74</v>
      </c>
      <c r="AR400" s="1" t="s">
        <v>74</v>
      </c>
      <c r="AS400" s="1" t="s">
        <v>74</v>
      </c>
      <c r="AT400" s="1" t="s">
        <v>183</v>
      </c>
      <c r="AU400" s="1">
        <v>2023.0</v>
      </c>
      <c r="AV400" s="1">
        <v>10.0</v>
      </c>
      <c r="AW400" s="1">
        <v>29.0</v>
      </c>
      <c r="AX400" s="1" t="s">
        <v>74</v>
      </c>
      <c r="AY400" s="1" t="s">
        <v>74</v>
      </c>
      <c r="AZ400" s="1" t="s">
        <v>74</v>
      </c>
      <c r="BA400" s="1" t="s">
        <v>74</v>
      </c>
      <c r="BB400" s="1">
        <v>214.0</v>
      </c>
      <c r="BC400" s="1">
        <v>214.0</v>
      </c>
      <c r="BD400" s="1" t="s">
        <v>74</v>
      </c>
      <c r="BE400" s="1" t="s">
        <v>74</v>
      </c>
      <c r="BF400" s="1" t="s">
        <v>74</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3737</v>
      </c>
      <c r="BT400" s="1" t="str">
        <f>HYPERLINK("https%3A%2F%2Fwww.webofscience.com%2Fwos%2Fwoscc%2Ffull-record%2FWOS:000996243300017","View Full Record in Web of Science")</f>
        <v>View Full Record in Web of Science</v>
      </c>
    </row>
    <row r="401" ht="12.75" customHeight="1">
      <c r="A401" s="1" t="s">
        <v>72</v>
      </c>
      <c r="B401" s="1" t="s">
        <v>3738</v>
      </c>
      <c r="C401" s="1" t="s">
        <v>74</v>
      </c>
      <c r="D401" s="1" t="s">
        <v>74</v>
      </c>
      <c r="E401" s="1" t="s">
        <v>74</v>
      </c>
      <c r="F401" s="1" t="s">
        <v>3739</v>
      </c>
      <c r="G401" s="1" t="s">
        <v>74</v>
      </c>
      <c r="H401" s="1" t="s">
        <v>74</v>
      </c>
      <c r="I401" s="1" t="s">
        <v>3740</v>
      </c>
      <c r="J401" s="1" t="s">
        <v>3741</v>
      </c>
      <c r="K401" s="1" t="s">
        <v>74</v>
      </c>
      <c r="L401" s="1" t="s">
        <v>74</v>
      </c>
      <c r="M401" s="1" t="s">
        <v>74</v>
      </c>
      <c r="N401" s="1" t="s">
        <v>74</v>
      </c>
      <c r="O401" s="1" t="s">
        <v>74</v>
      </c>
      <c r="P401" s="1" t="s">
        <v>74</v>
      </c>
      <c r="Q401" s="1" t="s">
        <v>74</v>
      </c>
      <c r="R401" s="1" t="s">
        <v>74</v>
      </c>
      <c r="S401" s="1" t="s">
        <v>74</v>
      </c>
      <c r="T401" s="1" t="s">
        <v>74</v>
      </c>
      <c r="U401" s="1" t="s">
        <v>74</v>
      </c>
      <c r="V401" s="1" t="s">
        <v>3742</v>
      </c>
      <c r="W401" s="1" t="s">
        <v>74</v>
      </c>
      <c r="X401" s="1" t="s">
        <v>74</v>
      </c>
      <c r="Y401" s="1" t="s">
        <v>74</v>
      </c>
      <c r="Z401" s="1" t="s">
        <v>74</v>
      </c>
      <c r="AA401" s="1" t="s">
        <v>74</v>
      </c>
      <c r="AB401" s="1" t="s">
        <v>3743</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3744</v>
      </c>
      <c r="AP401" s="1" t="s">
        <v>3745</v>
      </c>
      <c r="AQ401" s="1" t="s">
        <v>74</v>
      </c>
      <c r="AR401" s="1" t="s">
        <v>74</v>
      </c>
      <c r="AS401" s="1" t="s">
        <v>74</v>
      </c>
      <c r="AT401" s="1" t="s">
        <v>353</v>
      </c>
      <c r="AU401" s="1">
        <v>2023.0</v>
      </c>
      <c r="AV401" s="1">
        <v>41.0</v>
      </c>
      <c r="AW401" s="1">
        <v>3.0</v>
      </c>
      <c r="AX401" s="1" t="s">
        <v>74</v>
      </c>
      <c r="AY401" s="1" t="s">
        <v>74</v>
      </c>
      <c r="AZ401" s="1" t="s">
        <v>74</v>
      </c>
      <c r="BA401" s="1" t="s">
        <v>74</v>
      </c>
      <c r="BB401" s="1">
        <v>408.0</v>
      </c>
      <c r="BC401" s="1">
        <v>426.0</v>
      </c>
      <c r="BD401" s="1" t="s">
        <v>74</v>
      </c>
      <c r="BE401" s="1" t="s">
        <v>3746</v>
      </c>
      <c r="BF401" s="2" t="str">
        <f>HYPERLINK("http://dx.doi.org/10.1177/01447394221124818","http://dx.doi.org/10.1177/01447394221124818")</f>
        <v>http://dx.doi.org/10.1177/01447394221124818</v>
      </c>
      <c r="BG401" s="1" t="s">
        <v>74</v>
      </c>
      <c r="BH401" s="1" t="s">
        <v>3747</v>
      </c>
      <c r="BI401" s="1" t="s">
        <v>74</v>
      </c>
      <c r="BJ401" s="1" t="s">
        <v>74</v>
      </c>
      <c r="BK401" s="1" t="s">
        <v>74</v>
      </c>
      <c r="BL401" s="1" t="s">
        <v>74</v>
      </c>
      <c r="BM401" s="1" t="s">
        <v>74</v>
      </c>
      <c r="BN401" s="1" t="s">
        <v>74</v>
      </c>
      <c r="BO401" s="1" t="s">
        <v>74</v>
      </c>
      <c r="BP401" s="1" t="s">
        <v>74</v>
      </c>
      <c r="BQ401" s="1" t="s">
        <v>74</v>
      </c>
      <c r="BR401" s="1" t="s">
        <v>74</v>
      </c>
      <c r="BS401" s="1" t="s">
        <v>3748</v>
      </c>
      <c r="BT401" s="1" t="str">
        <f>HYPERLINK("https%3A%2F%2Fwww.webofscience.com%2Fwos%2Fwoscc%2Ffull-record%2FWOS:000849428900001","View Full Record in Web of Science")</f>
        <v>View Full Record in Web of Science</v>
      </c>
    </row>
    <row r="402" ht="12.75" customHeight="1">
      <c r="A402" s="1" t="s">
        <v>442</v>
      </c>
      <c r="B402" s="1" t="s">
        <v>3749</v>
      </c>
      <c r="C402" s="1" t="s">
        <v>74</v>
      </c>
      <c r="D402" s="1" t="s">
        <v>3750</v>
      </c>
      <c r="E402" s="1" t="s">
        <v>74</v>
      </c>
      <c r="F402" s="1" t="s">
        <v>3751</v>
      </c>
      <c r="G402" s="1" t="s">
        <v>74</v>
      </c>
      <c r="H402" s="1" t="s">
        <v>74</v>
      </c>
      <c r="I402" s="1" t="s">
        <v>3752</v>
      </c>
      <c r="J402" s="1" t="s">
        <v>3753</v>
      </c>
      <c r="K402" s="1" t="s">
        <v>74</v>
      </c>
      <c r="L402" s="1" t="s">
        <v>74</v>
      </c>
      <c r="M402" s="1" t="s">
        <v>74</v>
      </c>
      <c r="N402" s="1" t="s">
        <v>74</v>
      </c>
      <c r="O402" s="1" t="s">
        <v>74</v>
      </c>
      <c r="P402" s="1" t="s">
        <v>74</v>
      </c>
      <c r="Q402" s="1" t="s">
        <v>74</v>
      </c>
      <c r="R402" s="1" t="s">
        <v>74</v>
      </c>
      <c r="S402" s="1" t="s">
        <v>74</v>
      </c>
      <c r="T402" s="1" t="s">
        <v>74</v>
      </c>
      <c r="U402" s="1" t="s">
        <v>74</v>
      </c>
      <c r="V402" s="1" t="s">
        <v>74</v>
      </c>
      <c r="W402" s="1" t="s">
        <v>74</v>
      </c>
      <c r="X402" s="1" t="s">
        <v>74</v>
      </c>
      <c r="Y402" s="1" t="s">
        <v>74</v>
      </c>
      <c r="Z402" s="1" t="s">
        <v>74</v>
      </c>
      <c r="AA402" s="1" t="s">
        <v>3754</v>
      </c>
      <c r="AB402" s="1" t="s">
        <v>74</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74</v>
      </c>
      <c r="AP402" s="1" t="s">
        <v>74</v>
      </c>
      <c r="AQ402" s="1" t="s">
        <v>3755</v>
      </c>
      <c r="AR402" s="1" t="s">
        <v>74</v>
      </c>
      <c r="AS402" s="1" t="s">
        <v>74</v>
      </c>
      <c r="AT402" s="1" t="s">
        <v>74</v>
      </c>
      <c r="AU402" s="1">
        <v>2022.0</v>
      </c>
      <c r="AV402" s="1" t="s">
        <v>74</v>
      </c>
      <c r="AW402" s="1" t="s">
        <v>74</v>
      </c>
      <c r="AX402" s="1" t="s">
        <v>74</v>
      </c>
      <c r="AY402" s="1" t="s">
        <v>74</v>
      </c>
      <c r="AZ402" s="1" t="s">
        <v>74</v>
      </c>
      <c r="BA402" s="1" t="s">
        <v>74</v>
      </c>
      <c r="BB402" s="1">
        <v>233.0</v>
      </c>
      <c r="BC402" s="1">
        <v>239.0</v>
      </c>
      <c r="BD402" s="1" t="s">
        <v>74</v>
      </c>
      <c r="BE402" s="1" t="s">
        <v>74</v>
      </c>
      <c r="BF402" s="1" t="s">
        <v>74</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3756</v>
      </c>
      <c r="BT402" s="1" t="str">
        <f>HYPERLINK("https%3A%2F%2Fwww.webofscience.com%2Fwos%2Fwoscc%2Ffull-record%2FWOS:001002683900031","View Full Record in Web of Science")</f>
        <v>View Full Record in Web of Science</v>
      </c>
    </row>
    <row r="403" ht="12.75" customHeight="1">
      <c r="A403" s="1" t="s">
        <v>72</v>
      </c>
      <c r="B403" s="1" t="s">
        <v>3757</v>
      </c>
      <c r="C403" s="1" t="s">
        <v>74</v>
      </c>
      <c r="D403" s="1" t="s">
        <v>74</v>
      </c>
      <c r="E403" s="1" t="s">
        <v>74</v>
      </c>
      <c r="F403" s="1" t="s">
        <v>3758</v>
      </c>
      <c r="G403" s="1" t="s">
        <v>74</v>
      </c>
      <c r="H403" s="1" t="s">
        <v>74</v>
      </c>
      <c r="I403" s="1" t="s">
        <v>3759</v>
      </c>
      <c r="J403" s="1" t="s">
        <v>3760</v>
      </c>
      <c r="K403" s="1" t="s">
        <v>74</v>
      </c>
      <c r="L403" s="1" t="s">
        <v>74</v>
      </c>
      <c r="M403" s="1" t="s">
        <v>74</v>
      </c>
      <c r="N403" s="1" t="s">
        <v>74</v>
      </c>
      <c r="O403" s="1" t="s">
        <v>74</v>
      </c>
      <c r="P403" s="1" t="s">
        <v>74</v>
      </c>
      <c r="Q403" s="1" t="s">
        <v>74</v>
      </c>
      <c r="R403" s="1" t="s">
        <v>74</v>
      </c>
      <c r="S403" s="1" t="s">
        <v>74</v>
      </c>
      <c r="T403" s="1" t="s">
        <v>74</v>
      </c>
      <c r="U403" s="1" t="s">
        <v>74</v>
      </c>
      <c r="V403" s="1" t="s">
        <v>3761</v>
      </c>
      <c r="W403" s="1" t="s">
        <v>74</v>
      </c>
      <c r="X403" s="1" t="s">
        <v>74</v>
      </c>
      <c r="Y403" s="1" t="s">
        <v>74</v>
      </c>
      <c r="Z403" s="1" t="s">
        <v>74</v>
      </c>
      <c r="AA403" s="1" t="s">
        <v>74</v>
      </c>
      <c r="AB403" s="1" t="s">
        <v>3762</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3763</v>
      </c>
      <c r="AP403" s="1" t="s">
        <v>3764</v>
      </c>
      <c r="AQ403" s="1" t="s">
        <v>74</v>
      </c>
      <c r="AR403" s="1" t="s">
        <v>74</v>
      </c>
      <c r="AS403" s="1" t="s">
        <v>74</v>
      </c>
      <c r="AT403" s="1" t="s">
        <v>501</v>
      </c>
      <c r="AU403" s="1">
        <v>2021.0</v>
      </c>
      <c r="AV403" s="1">
        <v>28.0</v>
      </c>
      <c r="AW403" s="1">
        <v>11.0</v>
      </c>
      <c r="AX403" s="1" t="s">
        <v>74</v>
      </c>
      <c r="AY403" s="1" t="s">
        <v>74</v>
      </c>
      <c r="AZ403" s="1" t="s">
        <v>74</v>
      </c>
      <c r="BA403" s="1" t="s">
        <v>74</v>
      </c>
      <c r="BB403" s="1" t="s">
        <v>74</v>
      </c>
      <c r="BC403" s="1" t="s">
        <v>74</v>
      </c>
      <c r="BD403" s="1">
        <v>443.0</v>
      </c>
      <c r="BE403" s="1" t="s">
        <v>3765</v>
      </c>
      <c r="BF403" s="2" t="str">
        <f>HYPERLINK("http://dx.doi.org/10.1007/s10965-021-02696-7","http://dx.doi.org/10.1007/s10965-021-02696-7")</f>
        <v>http://dx.doi.org/10.1007/s10965-021-02696-7</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3766</v>
      </c>
      <c r="BT403" s="1" t="str">
        <f>HYPERLINK("https%3A%2F%2Fwww.webofscience.com%2Fwos%2Fwoscc%2Ffull-record%2FWOS:000712252900001","View Full Record in Web of Science")</f>
        <v>View Full Record in Web of Science</v>
      </c>
    </row>
    <row r="404" ht="12.75" customHeight="1">
      <c r="A404" s="1" t="s">
        <v>72</v>
      </c>
      <c r="B404" s="1" t="s">
        <v>3767</v>
      </c>
      <c r="C404" s="1" t="s">
        <v>74</v>
      </c>
      <c r="D404" s="1" t="s">
        <v>74</v>
      </c>
      <c r="E404" s="1" t="s">
        <v>74</v>
      </c>
      <c r="F404" s="1" t="s">
        <v>3768</v>
      </c>
      <c r="G404" s="1" t="s">
        <v>74</v>
      </c>
      <c r="H404" s="1" t="s">
        <v>74</v>
      </c>
      <c r="I404" s="1" t="s">
        <v>3769</v>
      </c>
      <c r="J404" s="1" t="s">
        <v>3770</v>
      </c>
      <c r="K404" s="1" t="s">
        <v>74</v>
      </c>
      <c r="L404" s="1" t="s">
        <v>74</v>
      </c>
      <c r="M404" s="1" t="s">
        <v>74</v>
      </c>
      <c r="N404" s="1" t="s">
        <v>74</v>
      </c>
      <c r="O404" s="1" t="s">
        <v>74</v>
      </c>
      <c r="P404" s="1" t="s">
        <v>74</v>
      </c>
      <c r="Q404" s="1" t="s">
        <v>74</v>
      </c>
      <c r="R404" s="1" t="s">
        <v>74</v>
      </c>
      <c r="S404" s="1" t="s">
        <v>74</v>
      </c>
      <c r="T404" s="1" t="s">
        <v>74</v>
      </c>
      <c r="U404" s="1" t="s">
        <v>74</v>
      </c>
      <c r="V404" s="1" t="s">
        <v>3771</v>
      </c>
      <c r="W404" s="1" t="s">
        <v>74</v>
      </c>
      <c r="X404" s="1" t="s">
        <v>74</v>
      </c>
      <c r="Y404" s="1" t="s">
        <v>74</v>
      </c>
      <c r="Z404" s="1" t="s">
        <v>74</v>
      </c>
      <c r="AA404" s="1" t="s">
        <v>3772</v>
      </c>
      <c r="AB404" s="1" t="s">
        <v>3773</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3774</v>
      </c>
      <c r="AP404" s="1" t="s">
        <v>3775</v>
      </c>
      <c r="AQ404" s="1" t="s">
        <v>74</v>
      </c>
      <c r="AR404" s="1" t="s">
        <v>74</v>
      </c>
      <c r="AS404" s="1" t="s">
        <v>74</v>
      </c>
      <c r="AT404" s="1" t="s">
        <v>848</v>
      </c>
      <c r="AU404" s="1">
        <v>2020.0</v>
      </c>
      <c r="AV404" s="1">
        <v>278.0</v>
      </c>
      <c r="AW404" s="1" t="s">
        <v>74</v>
      </c>
      <c r="AX404" s="1" t="s">
        <v>74</v>
      </c>
      <c r="AY404" s="1" t="s">
        <v>74</v>
      </c>
      <c r="AZ404" s="1" t="s">
        <v>74</v>
      </c>
      <c r="BA404" s="1" t="s">
        <v>74</v>
      </c>
      <c r="BB404" s="1" t="s">
        <v>74</v>
      </c>
      <c r="BC404" s="1" t="s">
        <v>74</v>
      </c>
      <c r="BD404" s="1">
        <v>128403.0</v>
      </c>
      <c r="BE404" s="1" t="s">
        <v>3776</v>
      </c>
      <c r="BF404" s="2" t="str">
        <f>HYPERLINK("http://dx.doi.org/10.1016/j.matlet.2020.128403","http://dx.doi.org/10.1016/j.matlet.2020.128403")</f>
        <v>http://dx.doi.org/10.1016/j.matlet.2020.128403</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3777</v>
      </c>
      <c r="BT404" s="1" t="str">
        <f>HYPERLINK("https%3A%2F%2Fwww.webofscience.com%2Fwos%2Fwoscc%2Ffull-record%2FWOS:000569781200004","View Full Record in Web of Science")</f>
        <v>View Full Record in Web of Science</v>
      </c>
    </row>
    <row r="405" ht="12.75" customHeight="1">
      <c r="A405" s="1" t="s">
        <v>72</v>
      </c>
      <c r="B405" s="1" t="s">
        <v>3778</v>
      </c>
      <c r="C405" s="1" t="s">
        <v>74</v>
      </c>
      <c r="D405" s="1" t="s">
        <v>74</v>
      </c>
      <c r="E405" s="1" t="s">
        <v>74</v>
      </c>
      <c r="F405" s="1" t="s">
        <v>3779</v>
      </c>
      <c r="G405" s="1" t="s">
        <v>74</v>
      </c>
      <c r="H405" s="1" t="s">
        <v>74</v>
      </c>
      <c r="I405" s="1" t="s">
        <v>3780</v>
      </c>
      <c r="J405" s="1" t="s">
        <v>3781</v>
      </c>
      <c r="K405" s="1" t="s">
        <v>74</v>
      </c>
      <c r="L405" s="1" t="s">
        <v>74</v>
      </c>
      <c r="M405" s="1" t="s">
        <v>74</v>
      </c>
      <c r="N405" s="1" t="s">
        <v>74</v>
      </c>
      <c r="O405" s="1" t="s">
        <v>74</v>
      </c>
      <c r="P405" s="1" t="s">
        <v>74</v>
      </c>
      <c r="Q405" s="1" t="s">
        <v>74</v>
      </c>
      <c r="R405" s="1" t="s">
        <v>74</v>
      </c>
      <c r="S405" s="1" t="s">
        <v>74</v>
      </c>
      <c r="T405" s="1" t="s">
        <v>74</v>
      </c>
      <c r="U405" s="1" t="s">
        <v>74</v>
      </c>
      <c r="V405" s="1" t="s">
        <v>3782</v>
      </c>
      <c r="W405" s="1" t="s">
        <v>74</v>
      </c>
      <c r="X405" s="1" t="s">
        <v>74</v>
      </c>
      <c r="Y405" s="1" t="s">
        <v>74</v>
      </c>
      <c r="Z405" s="1" t="s">
        <v>74</v>
      </c>
      <c r="AA405" s="1" t="s">
        <v>213</v>
      </c>
      <c r="AB405" s="1" t="s">
        <v>214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3783</v>
      </c>
      <c r="AP405" s="1" t="s">
        <v>3784</v>
      </c>
      <c r="AQ405" s="1" t="s">
        <v>74</v>
      </c>
      <c r="AR405" s="1" t="s">
        <v>74</v>
      </c>
      <c r="AS405" s="1" t="s">
        <v>74</v>
      </c>
      <c r="AT405" s="1" t="s">
        <v>3785</v>
      </c>
      <c r="AU405" s="1">
        <v>2022.0</v>
      </c>
      <c r="AV405" s="1">
        <v>13.0</v>
      </c>
      <c r="AW405" s="1">
        <v>4.0</v>
      </c>
      <c r="AX405" s="1" t="s">
        <v>74</v>
      </c>
      <c r="AY405" s="1" t="s">
        <v>74</v>
      </c>
      <c r="AZ405" s="1" t="s">
        <v>74</v>
      </c>
      <c r="BA405" s="1" t="s">
        <v>74</v>
      </c>
      <c r="BB405" s="1">
        <v>461.0</v>
      </c>
      <c r="BC405" s="1">
        <v>466.0</v>
      </c>
      <c r="BD405" s="1" t="s">
        <v>74</v>
      </c>
      <c r="BE405" s="1" t="s">
        <v>3786</v>
      </c>
      <c r="BF405" s="2" t="str">
        <f>HYPERLINK("http://dx.doi.org/10.1080/17597269.2020.1759179","http://dx.doi.org/10.1080/17597269.2020.1759179")</f>
        <v>http://dx.doi.org/10.1080/17597269.2020.1759179</v>
      </c>
      <c r="BG405" s="1" t="s">
        <v>74</v>
      </c>
      <c r="BH405" s="1" t="s">
        <v>3787</v>
      </c>
      <c r="BI405" s="1" t="s">
        <v>74</v>
      </c>
      <c r="BJ405" s="1" t="s">
        <v>74</v>
      </c>
      <c r="BK405" s="1" t="s">
        <v>74</v>
      </c>
      <c r="BL405" s="1" t="s">
        <v>74</v>
      </c>
      <c r="BM405" s="1" t="s">
        <v>74</v>
      </c>
      <c r="BN405" s="1" t="s">
        <v>74</v>
      </c>
      <c r="BO405" s="1" t="s">
        <v>74</v>
      </c>
      <c r="BP405" s="1" t="s">
        <v>74</v>
      </c>
      <c r="BQ405" s="1" t="s">
        <v>74</v>
      </c>
      <c r="BR405" s="1" t="s">
        <v>74</v>
      </c>
      <c r="BS405" s="1" t="s">
        <v>3788</v>
      </c>
      <c r="BT405" s="1" t="str">
        <f>HYPERLINK("https%3A%2F%2Fwww.webofscience.com%2Fwos%2Fwoscc%2Ffull-record%2FWOS:000533388300001","View Full Record in Web of Science")</f>
        <v>View Full Record in Web of Science</v>
      </c>
    </row>
    <row r="406" ht="12.75" customHeight="1">
      <c r="A406" s="1" t="s">
        <v>241</v>
      </c>
      <c r="B406" s="1" t="s">
        <v>3789</v>
      </c>
      <c r="C406" s="1" t="s">
        <v>74</v>
      </c>
      <c r="D406" s="1" t="s">
        <v>74</v>
      </c>
      <c r="E406" s="1" t="s">
        <v>427</v>
      </c>
      <c r="F406" s="1" t="s">
        <v>3790</v>
      </c>
      <c r="G406" s="1" t="s">
        <v>74</v>
      </c>
      <c r="H406" s="1" t="s">
        <v>74</v>
      </c>
      <c r="I406" s="1" t="s">
        <v>3791</v>
      </c>
      <c r="J406" s="1" t="s">
        <v>430</v>
      </c>
      <c r="K406" s="1" t="s">
        <v>431</v>
      </c>
      <c r="L406" s="1" t="s">
        <v>74</v>
      </c>
      <c r="M406" s="1" t="s">
        <v>74</v>
      </c>
      <c r="N406" s="1" t="s">
        <v>74</v>
      </c>
      <c r="O406" s="1" t="s">
        <v>432</v>
      </c>
      <c r="P406" s="1" t="s">
        <v>433</v>
      </c>
      <c r="Q406" s="1" t="s">
        <v>434</v>
      </c>
      <c r="R406" s="1" t="s">
        <v>435</v>
      </c>
      <c r="S406" s="1" t="s">
        <v>436</v>
      </c>
      <c r="T406" s="1" t="s">
        <v>74</v>
      </c>
      <c r="U406" s="1" t="s">
        <v>74</v>
      </c>
      <c r="V406" s="1" t="s">
        <v>3792</v>
      </c>
      <c r="W406" s="1" t="s">
        <v>74</v>
      </c>
      <c r="X406" s="1" t="s">
        <v>74</v>
      </c>
      <c r="Y406" s="1" t="s">
        <v>74</v>
      </c>
      <c r="Z406" s="1" t="s">
        <v>74</v>
      </c>
      <c r="AA406" s="1" t="s">
        <v>3793</v>
      </c>
      <c r="AB406" s="1" t="s">
        <v>74</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439</v>
      </c>
      <c r="AP406" s="1" t="s">
        <v>74</v>
      </c>
      <c r="AQ406" s="1" t="s">
        <v>440</v>
      </c>
      <c r="AR406" s="1" t="s">
        <v>74</v>
      </c>
      <c r="AS406" s="1" t="s">
        <v>74</v>
      </c>
      <c r="AT406" s="1" t="s">
        <v>74</v>
      </c>
      <c r="AU406" s="1">
        <v>2020.0</v>
      </c>
      <c r="AV406" s="1" t="s">
        <v>74</v>
      </c>
      <c r="AW406" s="1" t="s">
        <v>74</v>
      </c>
      <c r="AX406" s="1" t="s">
        <v>74</v>
      </c>
      <c r="AY406" s="1" t="s">
        <v>74</v>
      </c>
      <c r="AZ406" s="1" t="s">
        <v>74</v>
      </c>
      <c r="BA406" s="1" t="s">
        <v>74</v>
      </c>
      <c r="BB406" s="1" t="s">
        <v>74</v>
      </c>
      <c r="BC406" s="1" t="s">
        <v>74</v>
      </c>
      <c r="BD406" s="1" t="s">
        <v>74</v>
      </c>
      <c r="BE406" s="1" t="s">
        <v>74</v>
      </c>
      <c r="BF406" s="1" t="s">
        <v>74</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3794</v>
      </c>
      <c r="BT406" s="1" t="str">
        <f>HYPERLINK("https%3A%2F%2Fwww.webofscience.com%2Fwos%2Fwoscc%2Ffull-record%2FWOS:000848755600026","View Full Record in Web of Science")</f>
        <v>View Full Record in Web of Science</v>
      </c>
    </row>
    <row r="407" ht="12.75" customHeight="1">
      <c r="A407" s="1" t="s">
        <v>72</v>
      </c>
      <c r="B407" s="1" t="s">
        <v>3795</v>
      </c>
      <c r="C407" s="1" t="s">
        <v>74</v>
      </c>
      <c r="D407" s="1" t="s">
        <v>74</v>
      </c>
      <c r="E407" s="1" t="s">
        <v>74</v>
      </c>
      <c r="F407" s="1" t="s">
        <v>3796</v>
      </c>
      <c r="G407" s="1" t="s">
        <v>74</v>
      </c>
      <c r="H407" s="1" t="s">
        <v>74</v>
      </c>
      <c r="I407" s="1" t="s">
        <v>3797</v>
      </c>
      <c r="J407" s="1" t="s">
        <v>3798</v>
      </c>
      <c r="K407" s="1" t="s">
        <v>74</v>
      </c>
      <c r="L407" s="1" t="s">
        <v>74</v>
      </c>
      <c r="M407" s="1" t="s">
        <v>74</v>
      </c>
      <c r="N407" s="1" t="s">
        <v>74</v>
      </c>
      <c r="O407" s="1" t="s">
        <v>74</v>
      </c>
      <c r="P407" s="1" t="s">
        <v>74</v>
      </c>
      <c r="Q407" s="1" t="s">
        <v>74</v>
      </c>
      <c r="R407" s="1" t="s">
        <v>74</v>
      </c>
      <c r="S407" s="1" t="s">
        <v>74</v>
      </c>
      <c r="T407" s="1" t="s">
        <v>74</v>
      </c>
      <c r="U407" s="1" t="s">
        <v>74</v>
      </c>
      <c r="V407" s="1" t="s">
        <v>3799</v>
      </c>
      <c r="W407" s="1" t="s">
        <v>74</v>
      </c>
      <c r="X407" s="1" t="s">
        <v>74</v>
      </c>
      <c r="Y407" s="1" t="s">
        <v>74</v>
      </c>
      <c r="Z407" s="1" t="s">
        <v>74</v>
      </c>
      <c r="AA407" s="1" t="s">
        <v>1951</v>
      </c>
      <c r="AB407" s="1" t="s">
        <v>1488</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3800</v>
      </c>
      <c r="AP407" s="1" t="s">
        <v>74</v>
      </c>
      <c r="AQ407" s="1" t="s">
        <v>74</v>
      </c>
      <c r="AR407" s="1" t="s">
        <v>74</v>
      </c>
      <c r="AS407" s="1" t="s">
        <v>74</v>
      </c>
      <c r="AT407" s="1" t="s">
        <v>74</v>
      </c>
      <c r="AU407" s="1">
        <v>2020.0</v>
      </c>
      <c r="AV407" s="1">
        <v>44.0</v>
      </c>
      <c r="AW407" s="1" t="s">
        <v>74</v>
      </c>
      <c r="AX407" s="1" t="s">
        <v>74</v>
      </c>
      <c r="AY407" s="1" t="s">
        <v>74</v>
      </c>
      <c r="AZ407" s="1" t="s">
        <v>74</v>
      </c>
      <c r="BA407" s="1" t="s">
        <v>74</v>
      </c>
      <c r="BB407" s="1" t="s">
        <v>74</v>
      </c>
      <c r="BC407" s="1" t="s">
        <v>74</v>
      </c>
      <c r="BD407" s="1" t="s">
        <v>3801</v>
      </c>
      <c r="BE407" s="1" t="s">
        <v>3802</v>
      </c>
      <c r="BF407" s="2" t="str">
        <f>HYPERLINK("http://dx.doi.org/10.26633/RPSP.2020.6","http://dx.doi.org/10.26633/RPSP.2020.6")</f>
        <v>http://dx.doi.org/10.26633/RPSP.2020.6</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3803</v>
      </c>
      <c r="BT407" s="1" t="str">
        <f>HYPERLINK("https%3A%2F%2Fwww.webofscience.com%2Fwos%2Fwoscc%2Ffull-record%2FWOS:000515394600001","View Full Record in Web of Science")</f>
        <v>View Full Record in Web of Science</v>
      </c>
    </row>
    <row r="408" ht="12.75" customHeight="1">
      <c r="A408" s="1" t="s">
        <v>72</v>
      </c>
      <c r="B408" s="1" t="s">
        <v>3804</v>
      </c>
      <c r="C408" s="1" t="s">
        <v>74</v>
      </c>
      <c r="D408" s="1" t="s">
        <v>74</v>
      </c>
      <c r="E408" s="1" t="s">
        <v>74</v>
      </c>
      <c r="F408" s="1" t="s">
        <v>3805</v>
      </c>
      <c r="G408" s="1" t="s">
        <v>74</v>
      </c>
      <c r="H408" s="1" t="s">
        <v>74</v>
      </c>
      <c r="I408" s="1" t="s">
        <v>3806</v>
      </c>
      <c r="J408" s="1" t="s">
        <v>3807</v>
      </c>
      <c r="K408" s="1" t="s">
        <v>74</v>
      </c>
      <c r="L408" s="1" t="s">
        <v>74</v>
      </c>
      <c r="M408" s="1" t="s">
        <v>74</v>
      </c>
      <c r="N408" s="1" t="s">
        <v>74</v>
      </c>
      <c r="O408" s="1" t="s">
        <v>74</v>
      </c>
      <c r="P408" s="1" t="s">
        <v>74</v>
      </c>
      <c r="Q408" s="1" t="s">
        <v>74</v>
      </c>
      <c r="R408" s="1" t="s">
        <v>74</v>
      </c>
      <c r="S408" s="1" t="s">
        <v>74</v>
      </c>
      <c r="T408" s="1" t="s">
        <v>74</v>
      </c>
      <c r="U408" s="1" t="s">
        <v>74</v>
      </c>
      <c r="V408" s="1" t="s">
        <v>3808</v>
      </c>
      <c r="W408" s="1" t="s">
        <v>74</v>
      </c>
      <c r="X408" s="1" t="s">
        <v>74</v>
      </c>
      <c r="Y408" s="1" t="s">
        <v>74</v>
      </c>
      <c r="Z408" s="1" t="s">
        <v>74</v>
      </c>
      <c r="AA408" s="1" t="s">
        <v>3809</v>
      </c>
      <c r="AB408" s="1" t="s">
        <v>3810</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3811</v>
      </c>
      <c r="AP408" s="1" t="s">
        <v>3812</v>
      </c>
      <c r="AQ408" s="1" t="s">
        <v>74</v>
      </c>
      <c r="AR408" s="1" t="s">
        <v>74</v>
      </c>
      <c r="AS408" s="1" t="s">
        <v>74</v>
      </c>
      <c r="AT408" s="1" t="s">
        <v>3813</v>
      </c>
      <c r="AU408" s="1">
        <v>2019.0</v>
      </c>
      <c r="AV408" s="1">
        <v>31.0</v>
      </c>
      <c r="AW408" s="1">
        <v>4.0</v>
      </c>
      <c r="AX408" s="1" t="s">
        <v>74</v>
      </c>
      <c r="AY408" s="1" t="s">
        <v>74</v>
      </c>
      <c r="AZ408" s="1" t="s">
        <v>74</v>
      </c>
      <c r="BA408" s="1" t="s">
        <v>74</v>
      </c>
      <c r="BB408" s="1">
        <v>284.0</v>
      </c>
      <c r="BC408" s="1">
        <v>302.0</v>
      </c>
      <c r="BD408" s="1" t="s">
        <v>74</v>
      </c>
      <c r="BE408" s="1" t="s">
        <v>3814</v>
      </c>
      <c r="BF408" s="2" t="str">
        <f>HYPERLINK("http://dx.doi.org/10.1080/10429247.2019.1651444","http://dx.doi.org/10.1080/10429247.2019.1651444")</f>
        <v>http://dx.doi.org/10.1080/10429247.2019.1651444</v>
      </c>
      <c r="BG408" s="1" t="s">
        <v>74</v>
      </c>
      <c r="BH408" s="1" t="s">
        <v>3815</v>
      </c>
      <c r="BI408" s="1" t="s">
        <v>74</v>
      </c>
      <c r="BJ408" s="1" t="s">
        <v>74</v>
      </c>
      <c r="BK408" s="1" t="s">
        <v>74</v>
      </c>
      <c r="BL408" s="1" t="s">
        <v>74</v>
      </c>
      <c r="BM408" s="1" t="s">
        <v>74</v>
      </c>
      <c r="BN408" s="1" t="s">
        <v>74</v>
      </c>
      <c r="BO408" s="1" t="s">
        <v>74</v>
      </c>
      <c r="BP408" s="1" t="s">
        <v>74</v>
      </c>
      <c r="BQ408" s="1" t="s">
        <v>74</v>
      </c>
      <c r="BR408" s="1" t="s">
        <v>74</v>
      </c>
      <c r="BS408" s="1" t="s">
        <v>3816</v>
      </c>
      <c r="BT408" s="1" t="str">
        <f>HYPERLINK("https%3A%2F%2Fwww.webofscience.com%2Fwos%2Fwoscc%2Ffull-record%2FWOS:000485041700001","View Full Record in Web of Science")</f>
        <v>View Full Record in Web of Science</v>
      </c>
    </row>
    <row r="409" ht="12.75" customHeight="1">
      <c r="A409" s="1" t="s">
        <v>241</v>
      </c>
      <c r="B409" s="1" t="s">
        <v>3817</v>
      </c>
      <c r="C409" s="1" t="s">
        <v>74</v>
      </c>
      <c r="D409" s="1" t="s">
        <v>3818</v>
      </c>
      <c r="E409" s="1" t="s">
        <v>74</v>
      </c>
      <c r="F409" s="1" t="s">
        <v>3819</v>
      </c>
      <c r="G409" s="1" t="s">
        <v>74</v>
      </c>
      <c r="H409" s="1" t="s">
        <v>74</v>
      </c>
      <c r="I409" s="1" t="s">
        <v>3820</v>
      </c>
      <c r="J409" s="1" t="s">
        <v>3821</v>
      </c>
      <c r="K409" s="1" t="s">
        <v>74</v>
      </c>
      <c r="L409" s="1" t="s">
        <v>74</v>
      </c>
      <c r="M409" s="1" t="s">
        <v>74</v>
      </c>
      <c r="N409" s="1" t="s">
        <v>74</v>
      </c>
      <c r="O409" s="1" t="s">
        <v>3822</v>
      </c>
      <c r="P409" s="1" t="s">
        <v>3823</v>
      </c>
      <c r="Q409" s="1" t="s">
        <v>3824</v>
      </c>
      <c r="R409" s="1" t="s">
        <v>3825</v>
      </c>
      <c r="S409" s="1" t="s">
        <v>74</v>
      </c>
      <c r="T409" s="1" t="s">
        <v>74</v>
      </c>
      <c r="U409" s="1" t="s">
        <v>74</v>
      </c>
      <c r="V409" s="1" t="s">
        <v>3826</v>
      </c>
      <c r="W409" s="1" t="s">
        <v>74</v>
      </c>
      <c r="X409" s="1" t="s">
        <v>74</v>
      </c>
      <c r="Y409" s="1" t="s">
        <v>74</v>
      </c>
      <c r="Z409" s="1" t="s">
        <v>74</v>
      </c>
      <c r="AA409" s="1" t="s">
        <v>3827</v>
      </c>
      <c r="AB409" s="1" t="s">
        <v>3828</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74</v>
      </c>
      <c r="AP409" s="1" t="s">
        <v>74</v>
      </c>
      <c r="AQ409" s="1" t="s">
        <v>3829</v>
      </c>
      <c r="AR409" s="1" t="s">
        <v>74</v>
      </c>
      <c r="AS409" s="1" t="s">
        <v>74</v>
      </c>
      <c r="AT409" s="1" t="s">
        <v>74</v>
      </c>
      <c r="AU409" s="1">
        <v>2019.0</v>
      </c>
      <c r="AV409" s="1" t="s">
        <v>74</v>
      </c>
      <c r="AW409" s="1" t="s">
        <v>74</v>
      </c>
      <c r="AX409" s="1" t="s">
        <v>74</v>
      </c>
      <c r="AY409" s="1" t="s">
        <v>74</v>
      </c>
      <c r="AZ409" s="1" t="s">
        <v>74</v>
      </c>
      <c r="BA409" s="1" t="s">
        <v>74</v>
      </c>
      <c r="BB409" s="1" t="s">
        <v>74</v>
      </c>
      <c r="BC409" s="1" t="s">
        <v>74</v>
      </c>
      <c r="BD409" s="1" t="s">
        <v>74</v>
      </c>
      <c r="BE409" s="1" t="s">
        <v>3830</v>
      </c>
      <c r="BF409" s="2" t="str">
        <f>HYPERLINK("http://dx.doi.org/10.1109/ccac.2019.8921340","http://dx.doi.org/10.1109/ccac.2019.8921340")</f>
        <v>http://dx.doi.org/10.1109/ccac.2019.8921340</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3831</v>
      </c>
      <c r="BT409" s="1" t="str">
        <f>HYPERLINK("https%3A%2F%2Fwww.webofscience.com%2Fwos%2Fwoscc%2Ffull-record%2FWOS:000556163800094","View Full Record in Web of Science")</f>
        <v>View Full Record in Web of Science</v>
      </c>
    </row>
    <row r="410" ht="12.75" customHeight="1">
      <c r="A410" s="1" t="s">
        <v>72</v>
      </c>
      <c r="B410" s="1" t="s">
        <v>3832</v>
      </c>
      <c r="C410" s="1" t="s">
        <v>74</v>
      </c>
      <c r="D410" s="1" t="s">
        <v>74</v>
      </c>
      <c r="E410" s="1" t="s">
        <v>74</v>
      </c>
      <c r="F410" s="1" t="s">
        <v>3833</v>
      </c>
      <c r="G410" s="1" t="s">
        <v>74</v>
      </c>
      <c r="H410" s="1" t="s">
        <v>74</v>
      </c>
      <c r="I410" s="1" t="s">
        <v>3834</v>
      </c>
      <c r="J410" s="1" t="s">
        <v>3835</v>
      </c>
      <c r="K410" s="1" t="s">
        <v>74</v>
      </c>
      <c r="L410" s="1" t="s">
        <v>74</v>
      </c>
      <c r="M410" s="1" t="s">
        <v>74</v>
      </c>
      <c r="N410" s="1" t="s">
        <v>74</v>
      </c>
      <c r="O410" s="1" t="s">
        <v>74</v>
      </c>
      <c r="P410" s="1" t="s">
        <v>74</v>
      </c>
      <c r="Q410" s="1" t="s">
        <v>74</v>
      </c>
      <c r="R410" s="1" t="s">
        <v>74</v>
      </c>
      <c r="S410" s="1" t="s">
        <v>74</v>
      </c>
      <c r="T410" s="1" t="s">
        <v>74</v>
      </c>
      <c r="U410" s="1" t="s">
        <v>74</v>
      </c>
      <c r="V410" s="1" t="s">
        <v>3836</v>
      </c>
      <c r="W410" s="1" t="s">
        <v>74</v>
      </c>
      <c r="X410" s="1" t="s">
        <v>74</v>
      </c>
      <c r="Y410" s="1" t="s">
        <v>74</v>
      </c>
      <c r="Z410" s="1" t="s">
        <v>74</v>
      </c>
      <c r="AA410" s="1" t="s">
        <v>3837</v>
      </c>
      <c r="AB410" s="1" t="s">
        <v>3838</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3839</v>
      </c>
      <c r="AP410" s="1" t="s">
        <v>74</v>
      </c>
      <c r="AQ410" s="1" t="s">
        <v>74</v>
      </c>
      <c r="AR410" s="1" t="s">
        <v>74</v>
      </c>
      <c r="AS410" s="1" t="s">
        <v>74</v>
      </c>
      <c r="AT410" s="1" t="s">
        <v>501</v>
      </c>
      <c r="AU410" s="1">
        <v>2017.0</v>
      </c>
      <c r="AV410" s="1">
        <v>251.0</v>
      </c>
      <c r="AW410" s="1" t="s">
        <v>74</v>
      </c>
      <c r="AX410" s="1" t="s">
        <v>74</v>
      </c>
      <c r="AY410" s="1" t="s">
        <v>74</v>
      </c>
      <c r="AZ410" s="1" t="s">
        <v>74</v>
      </c>
      <c r="BA410" s="1" t="s">
        <v>74</v>
      </c>
      <c r="BB410" s="1">
        <v>433.0</v>
      </c>
      <c r="BC410" s="1">
        <v>439.0</v>
      </c>
      <c r="BD410" s="1" t="s">
        <v>74</v>
      </c>
      <c r="BE410" s="1" t="s">
        <v>3840</v>
      </c>
      <c r="BF410" s="2" t="str">
        <f>HYPERLINK("http://dx.doi.org/10.1016/j.snb.2017.05.058","http://dx.doi.org/10.1016/j.snb.2017.05.058")</f>
        <v>http://dx.doi.org/10.1016/j.snb.2017.05.058</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3841</v>
      </c>
      <c r="BT410" s="1" t="str">
        <f>HYPERLINK("https%3A%2F%2Fwww.webofscience.com%2Fwos%2Fwoscc%2Ffull-record%2FWOS:000406184600053","View Full Record in Web of Science")</f>
        <v>View Full Record in Web of Science</v>
      </c>
    </row>
    <row r="411" ht="12.75" customHeight="1">
      <c r="A411" s="1" t="s">
        <v>72</v>
      </c>
      <c r="B411" s="1" t="s">
        <v>3842</v>
      </c>
      <c r="C411" s="1" t="s">
        <v>74</v>
      </c>
      <c r="D411" s="1" t="s">
        <v>74</v>
      </c>
      <c r="E411" s="1" t="s">
        <v>74</v>
      </c>
      <c r="F411" s="1" t="s">
        <v>3843</v>
      </c>
      <c r="G411" s="1" t="s">
        <v>74</v>
      </c>
      <c r="H411" s="1" t="s">
        <v>74</v>
      </c>
      <c r="I411" s="1" t="s">
        <v>3844</v>
      </c>
      <c r="J411" s="1" t="s">
        <v>3845</v>
      </c>
      <c r="K411" s="1" t="s">
        <v>74</v>
      </c>
      <c r="L411" s="1" t="s">
        <v>74</v>
      </c>
      <c r="M411" s="1" t="s">
        <v>74</v>
      </c>
      <c r="N411" s="1" t="s">
        <v>74</v>
      </c>
      <c r="O411" s="1" t="s">
        <v>74</v>
      </c>
      <c r="P411" s="1" t="s">
        <v>74</v>
      </c>
      <c r="Q411" s="1" t="s">
        <v>74</v>
      </c>
      <c r="R411" s="1" t="s">
        <v>74</v>
      </c>
      <c r="S411" s="1" t="s">
        <v>74</v>
      </c>
      <c r="T411" s="1" t="s">
        <v>74</v>
      </c>
      <c r="U411" s="1" t="s">
        <v>74</v>
      </c>
      <c r="V411" s="1" t="s">
        <v>3846</v>
      </c>
      <c r="W411" s="1" t="s">
        <v>74</v>
      </c>
      <c r="X411" s="1" t="s">
        <v>74</v>
      </c>
      <c r="Y411" s="1" t="s">
        <v>74</v>
      </c>
      <c r="Z411" s="1" t="s">
        <v>74</v>
      </c>
      <c r="AA411" s="1" t="s">
        <v>3847</v>
      </c>
      <c r="AB411" s="1" t="s">
        <v>3848</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3849</v>
      </c>
      <c r="AP411" s="1" t="s">
        <v>3850</v>
      </c>
      <c r="AQ411" s="1" t="s">
        <v>74</v>
      </c>
      <c r="AR411" s="1" t="s">
        <v>74</v>
      </c>
      <c r="AS411" s="1" t="s">
        <v>74</v>
      </c>
      <c r="AT411" s="1" t="s">
        <v>2921</v>
      </c>
      <c r="AU411" s="1">
        <v>2017.0</v>
      </c>
      <c r="AV411" s="1">
        <v>799.0</v>
      </c>
      <c r="AW411" s="1" t="s">
        <v>74</v>
      </c>
      <c r="AX411" s="1" t="s">
        <v>74</v>
      </c>
      <c r="AY411" s="1" t="s">
        <v>74</v>
      </c>
      <c r="AZ411" s="1" t="s">
        <v>74</v>
      </c>
      <c r="BA411" s="1" t="s">
        <v>74</v>
      </c>
      <c r="BB411" s="1">
        <v>349.0</v>
      </c>
      <c r="BC411" s="1">
        <v>357.0</v>
      </c>
      <c r="BD411" s="1" t="s">
        <v>74</v>
      </c>
      <c r="BE411" s="1" t="s">
        <v>3851</v>
      </c>
      <c r="BF411" s="2" t="str">
        <f>HYPERLINK("http://dx.doi.org/10.1016/j.jelechem.2017.06.040","http://dx.doi.org/10.1016/j.jelechem.2017.06.040")</f>
        <v>http://dx.doi.org/10.1016/j.jelechem.2017.06.040</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3852</v>
      </c>
      <c r="BT411" s="1" t="str">
        <f>HYPERLINK("https%3A%2F%2Fwww.webofscience.com%2Fwos%2Fwoscc%2Ffull-record%2FWOS:000411847300045","View Full Record in Web of Science")</f>
        <v>View Full Record in Web of Science</v>
      </c>
    </row>
    <row r="412" ht="12.75" customHeight="1">
      <c r="A412" s="1" t="s">
        <v>72</v>
      </c>
      <c r="B412" s="1" t="s">
        <v>3853</v>
      </c>
      <c r="C412" s="1" t="s">
        <v>74</v>
      </c>
      <c r="D412" s="1" t="s">
        <v>74</v>
      </c>
      <c r="E412" s="1" t="s">
        <v>74</v>
      </c>
      <c r="F412" s="1" t="s">
        <v>3854</v>
      </c>
      <c r="G412" s="1" t="s">
        <v>74</v>
      </c>
      <c r="H412" s="1" t="s">
        <v>74</v>
      </c>
      <c r="I412" s="1" t="s">
        <v>3855</v>
      </c>
      <c r="J412" s="1" t="s">
        <v>3856</v>
      </c>
      <c r="K412" s="1" t="s">
        <v>74</v>
      </c>
      <c r="L412" s="1" t="s">
        <v>74</v>
      </c>
      <c r="M412" s="1" t="s">
        <v>74</v>
      </c>
      <c r="N412" s="1" t="s">
        <v>74</v>
      </c>
      <c r="O412" s="1" t="s">
        <v>74</v>
      </c>
      <c r="P412" s="1" t="s">
        <v>74</v>
      </c>
      <c r="Q412" s="1" t="s">
        <v>74</v>
      </c>
      <c r="R412" s="1" t="s">
        <v>74</v>
      </c>
      <c r="S412" s="1" t="s">
        <v>74</v>
      </c>
      <c r="T412" s="1" t="s">
        <v>74</v>
      </c>
      <c r="U412" s="1" t="s">
        <v>74</v>
      </c>
      <c r="V412" s="1" t="s">
        <v>3857</v>
      </c>
      <c r="W412" s="1" t="s">
        <v>74</v>
      </c>
      <c r="X412" s="1" t="s">
        <v>74</v>
      </c>
      <c r="Y412" s="1" t="s">
        <v>74</v>
      </c>
      <c r="Z412" s="1" t="s">
        <v>74</v>
      </c>
      <c r="AA412" s="1" t="s">
        <v>74</v>
      </c>
      <c r="AB412" s="1" t="s">
        <v>74</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3858</v>
      </c>
      <c r="AP412" s="1" t="s">
        <v>74</v>
      </c>
      <c r="AQ412" s="1" t="s">
        <v>74</v>
      </c>
      <c r="AR412" s="1" t="s">
        <v>74</v>
      </c>
      <c r="AS412" s="1" t="s">
        <v>74</v>
      </c>
      <c r="AT412" s="1" t="s">
        <v>82</v>
      </c>
      <c r="AU412" s="1">
        <v>2013.0</v>
      </c>
      <c r="AV412" s="1">
        <v>45.0</v>
      </c>
      <c r="AW412" s="1">
        <v>1.0</v>
      </c>
      <c r="AX412" s="1" t="s">
        <v>74</v>
      </c>
      <c r="AY412" s="1" t="s">
        <v>74</v>
      </c>
      <c r="AZ412" s="1" t="s">
        <v>74</v>
      </c>
      <c r="BA412" s="1" t="s">
        <v>74</v>
      </c>
      <c r="BB412" s="1">
        <v>153.0</v>
      </c>
      <c r="BC412" s="1">
        <v>167.0</v>
      </c>
      <c r="BD412" s="1" t="s">
        <v>74</v>
      </c>
      <c r="BE412" s="1" t="s">
        <v>74</v>
      </c>
      <c r="BF412" s="1" t="s">
        <v>74</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3859</v>
      </c>
      <c r="BT412" s="1" t="str">
        <f>HYPERLINK("https%3A%2F%2Fwww.webofscience.com%2Fwos%2Fwoscc%2Ffull-record%2FWOS:000324507300014","View Full Record in Web of Science")</f>
        <v>View Full Record in Web of Science</v>
      </c>
    </row>
    <row r="413" ht="12.75" customHeight="1">
      <c r="A413" s="1" t="s">
        <v>241</v>
      </c>
      <c r="B413" s="1" t="s">
        <v>3860</v>
      </c>
      <c r="C413" s="1" t="s">
        <v>74</v>
      </c>
      <c r="D413" s="1" t="s">
        <v>3861</v>
      </c>
      <c r="E413" s="1" t="s">
        <v>74</v>
      </c>
      <c r="F413" s="1" t="s">
        <v>3862</v>
      </c>
      <c r="G413" s="1" t="s">
        <v>74</v>
      </c>
      <c r="H413" s="1" t="s">
        <v>74</v>
      </c>
      <c r="I413" s="1" t="s">
        <v>3863</v>
      </c>
      <c r="J413" s="1" t="s">
        <v>3864</v>
      </c>
      <c r="K413" s="1" t="s">
        <v>1237</v>
      </c>
      <c r="L413" s="1" t="s">
        <v>74</v>
      </c>
      <c r="M413" s="1" t="s">
        <v>74</v>
      </c>
      <c r="N413" s="1" t="s">
        <v>74</v>
      </c>
      <c r="O413" s="1" t="s">
        <v>1263</v>
      </c>
      <c r="P413" s="1" t="s">
        <v>3865</v>
      </c>
      <c r="Q413" s="1" t="s">
        <v>3866</v>
      </c>
      <c r="R413" s="1" t="s">
        <v>74</v>
      </c>
      <c r="S413" s="1" t="s">
        <v>3867</v>
      </c>
      <c r="T413" s="1" t="s">
        <v>74</v>
      </c>
      <c r="U413" s="1" t="s">
        <v>74</v>
      </c>
      <c r="V413" s="1" t="s">
        <v>3868</v>
      </c>
      <c r="W413" s="1" t="s">
        <v>74</v>
      </c>
      <c r="X413" s="1" t="s">
        <v>74</v>
      </c>
      <c r="Y413" s="1" t="s">
        <v>74</v>
      </c>
      <c r="Z413" s="1" t="s">
        <v>74</v>
      </c>
      <c r="AA413" s="1" t="s">
        <v>74</v>
      </c>
      <c r="AB413" s="1" t="s">
        <v>1267</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1245</v>
      </c>
      <c r="AP413" s="1" t="s">
        <v>74</v>
      </c>
      <c r="AQ413" s="1" t="s">
        <v>74</v>
      </c>
      <c r="AR413" s="1" t="s">
        <v>74</v>
      </c>
      <c r="AS413" s="1" t="s">
        <v>74</v>
      </c>
      <c r="AT413" s="1" t="s">
        <v>74</v>
      </c>
      <c r="AU413" s="1">
        <v>2010.0</v>
      </c>
      <c r="AV413" s="1">
        <v>3.0</v>
      </c>
      <c r="AW413" s="1">
        <v>1.0</v>
      </c>
      <c r="AX413" s="1" t="s">
        <v>74</v>
      </c>
      <c r="AY413" s="1" t="s">
        <v>74</v>
      </c>
      <c r="AZ413" s="1" t="s">
        <v>74</v>
      </c>
      <c r="BA413" s="1" t="s">
        <v>74</v>
      </c>
      <c r="BB413" s="1">
        <v>169.0</v>
      </c>
      <c r="BC413" s="1">
        <v>178.0</v>
      </c>
      <c r="BD413" s="1" t="s">
        <v>74</v>
      </c>
      <c r="BE413" s="1" t="s">
        <v>3869</v>
      </c>
      <c r="BF413" s="2" t="str">
        <f>HYPERLINK("http://dx.doi.org/10.1016/j.phpro.2010.01.024","http://dx.doi.org/10.1016/j.phpro.2010.01.024")</f>
        <v>http://dx.doi.org/10.1016/j.phpro.2010.01.024</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3870</v>
      </c>
      <c r="BT413" s="1" t="str">
        <f>HYPERLINK("https%3A%2F%2Fwww.webofscience.com%2Fwos%2Fwoscc%2Ffull-record%2FWOS:000275913100036","View Full Record in Web of Science")</f>
        <v>View Full Record in Web of Science</v>
      </c>
    </row>
    <row r="414" ht="12.75" customHeight="1">
      <c r="A414" s="1" t="s">
        <v>72</v>
      </c>
      <c r="B414" s="1" t="s">
        <v>3871</v>
      </c>
      <c r="C414" s="1" t="s">
        <v>74</v>
      </c>
      <c r="D414" s="1" t="s">
        <v>74</v>
      </c>
      <c r="E414" s="1" t="s">
        <v>74</v>
      </c>
      <c r="F414" s="1" t="s">
        <v>3872</v>
      </c>
      <c r="G414" s="1" t="s">
        <v>74</v>
      </c>
      <c r="H414" s="1" t="s">
        <v>74</v>
      </c>
      <c r="I414" s="1" t="s">
        <v>3873</v>
      </c>
      <c r="J414" s="1" t="s">
        <v>795</v>
      </c>
      <c r="K414" s="1" t="s">
        <v>74</v>
      </c>
      <c r="L414" s="1" t="s">
        <v>74</v>
      </c>
      <c r="M414" s="1" t="s">
        <v>74</v>
      </c>
      <c r="N414" s="1" t="s">
        <v>74</v>
      </c>
      <c r="O414" s="1" t="s">
        <v>74</v>
      </c>
      <c r="P414" s="1" t="s">
        <v>74</v>
      </c>
      <c r="Q414" s="1" t="s">
        <v>74</v>
      </c>
      <c r="R414" s="1" t="s">
        <v>74</v>
      </c>
      <c r="S414" s="1" t="s">
        <v>74</v>
      </c>
      <c r="T414" s="1" t="s">
        <v>74</v>
      </c>
      <c r="U414" s="1" t="s">
        <v>74</v>
      </c>
      <c r="V414" s="1" t="s">
        <v>3874</v>
      </c>
      <c r="W414" s="1" t="s">
        <v>74</v>
      </c>
      <c r="X414" s="1" t="s">
        <v>74</v>
      </c>
      <c r="Y414" s="1" t="s">
        <v>74</v>
      </c>
      <c r="Z414" s="1" t="s">
        <v>74</v>
      </c>
      <c r="AA414" s="1" t="s">
        <v>102</v>
      </c>
      <c r="AB414" s="1" t="s">
        <v>3875</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798</v>
      </c>
      <c r="AP414" s="1" t="s">
        <v>799</v>
      </c>
      <c r="AQ414" s="1" t="s">
        <v>74</v>
      </c>
      <c r="AR414" s="1" t="s">
        <v>74</v>
      </c>
      <c r="AS414" s="1" t="s">
        <v>74</v>
      </c>
      <c r="AT414" s="1" t="s">
        <v>800</v>
      </c>
      <c r="AU414" s="1">
        <v>2009.0</v>
      </c>
      <c r="AV414" s="1">
        <v>113.0</v>
      </c>
      <c r="AW414" s="1">
        <v>4.0</v>
      </c>
      <c r="AX414" s="1" t="s">
        <v>74</v>
      </c>
      <c r="AY414" s="1" t="s">
        <v>74</v>
      </c>
      <c r="AZ414" s="1" t="s">
        <v>74</v>
      </c>
      <c r="BA414" s="1" t="s">
        <v>74</v>
      </c>
      <c r="BB414" s="1">
        <v>1083.0</v>
      </c>
      <c r="BC414" s="1">
        <v>1087.0</v>
      </c>
      <c r="BD414" s="1" t="s">
        <v>74</v>
      </c>
      <c r="BE414" s="1" t="s">
        <v>3876</v>
      </c>
      <c r="BF414" s="2" t="str">
        <f>HYPERLINK("http://dx.doi.org/10.1016/j.foodchem.2008.08.075","http://dx.doi.org/10.1016/j.foodchem.2008.08.075")</f>
        <v>http://dx.doi.org/10.1016/j.foodchem.2008.08.075</v>
      </c>
      <c r="BG414" s="1" t="s">
        <v>74</v>
      </c>
      <c r="BH414" s="1" t="s">
        <v>74</v>
      </c>
      <c r="BI414" s="1" t="s">
        <v>74</v>
      </c>
      <c r="BJ414" s="1" t="s">
        <v>74</v>
      </c>
      <c r="BK414" s="1" t="s">
        <v>74</v>
      </c>
      <c r="BL414" s="1" t="s">
        <v>74</v>
      </c>
      <c r="BM414" s="1" t="s">
        <v>74</v>
      </c>
      <c r="BN414" s="1" t="s">
        <v>74</v>
      </c>
      <c r="BO414" s="1" t="s">
        <v>74</v>
      </c>
      <c r="BP414" s="1" t="s">
        <v>74</v>
      </c>
      <c r="BQ414" s="1" t="s">
        <v>74</v>
      </c>
      <c r="BR414" s="1" t="s">
        <v>74</v>
      </c>
      <c r="BS414" s="1" t="s">
        <v>3877</v>
      </c>
      <c r="BT414" s="1" t="str">
        <f>HYPERLINK("https%3A%2F%2Fwww.webofscience.com%2Fwos%2Fwoscc%2Ffull-record%2FWOS:000261857100035","View Full Record in Web of Science")</f>
        <v>View Full Record in Web of Science</v>
      </c>
    </row>
    <row r="415" ht="12.75" customHeight="1">
      <c r="A415" s="1" t="s">
        <v>72</v>
      </c>
      <c r="B415" s="1" t="s">
        <v>888</v>
      </c>
      <c r="C415" s="1" t="s">
        <v>74</v>
      </c>
      <c r="D415" s="1" t="s">
        <v>74</v>
      </c>
      <c r="E415" s="1" t="s">
        <v>74</v>
      </c>
      <c r="F415" s="1" t="s">
        <v>888</v>
      </c>
      <c r="G415" s="1" t="s">
        <v>74</v>
      </c>
      <c r="H415" s="1" t="s">
        <v>74</v>
      </c>
      <c r="I415" s="1" t="s">
        <v>3878</v>
      </c>
      <c r="J415" s="1" t="s">
        <v>669</v>
      </c>
      <c r="K415" s="1" t="s">
        <v>74</v>
      </c>
      <c r="L415" s="1" t="s">
        <v>74</v>
      </c>
      <c r="M415" s="1" t="s">
        <v>74</v>
      </c>
      <c r="N415" s="1" t="s">
        <v>74</v>
      </c>
      <c r="O415" s="1" t="s">
        <v>74</v>
      </c>
      <c r="P415" s="1" t="s">
        <v>74</v>
      </c>
      <c r="Q415" s="1" t="s">
        <v>74</v>
      </c>
      <c r="R415" s="1" t="s">
        <v>74</v>
      </c>
      <c r="S415" s="1" t="s">
        <v>74</v>
      </c>
      <c r="T415" s="1" t="s">
        <v>74</v>
      </c>
      <c r="U415" s="1" t="s">
        <v>74</v>
      </c>
      <c r="V415" s="1" t="s">
        <v>3879</v>
      </c>
      <c r="W415" s="1" t="s">
        <v>74</v>
      </c>
      <c r="X415" s="1" t="s">
        <v>74</v>
      </c>
      <c r="Y415" s="1" t="s">
        <v>74</v>
      </c>
      <c r="Z415" s="1" t="s">
        <v>74</v>
      </c>
      <c r="AA415" s="1" t="s">
        <v>74</v>
      </c>
      <c r="AB415" s="1" t="s">
        <v>74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670</v>
      </c>
      <c r="AP415" s="1" t="s">
        <v>74</v>
      </c>
      <c r="AQ415" s="1" t="s">
        <v>74</v>
      </c>
      <c r="AR415" s="1" t="s">
        <v>74</v>
      </c>
      <c r="AS415" s="1" t="s">
        <v>74</v>
      </c>
      <c r="AT415" s="1" t="s">
        <v>565</v>
      </c>
      <c r="AU415" s="1">
        <v>2005.0</v>
      </c>
      <c r="AV415" s="1">
        <v>283.0</v>
      </c>
      <c r="AW415" s="1">
        <v>2.0</v>
      </c>
      <c r="AX415" s="1" t="s">
        <v>74</v>
      </c>
      <c r="AY415" s="1" t="s">
        <v>74</v>
      </c>
      <c r="AZ415" s="1" t="s">
        <v>74</v>
      </c>
      <c r="BA415" s="1" t="s">
        <v>74</v>
      </c>
      <c r="BB415" s="1">
        <v>539.0</v>
      </c>
      <c r="BC415" s="1">
        <v>543.0</v>
      </c>
      <c r="BD415" s="1" t="s">
        <v>74</v>
      </c>
      <c r="BE415" s="1" t="s">
        <v>3880</v>
      </c>
      <c r="BF415" s="2" t="str">
        <f>HYPERLINK("http://dx.doi.org/10.1016/j.jcis.2004.08.177","http://dx.doi.org/10.1016/j.jcis.2004.08.177")</f>
        <v>http://dx.doi.org/10.1016/j.jcis.2004.08.177</v>
      </c>
      <c r="BG415" s="1" t="s">
        <v>74</v>
      </c>
      <c r="BH415" s="1" t="s">
        <v>74</v>
      </c>
      <c r="BI415" s="1" t="s">
        <v>74</v>
      </c>
      <c r="BJ415" s="1" t="s">
        <v>74</v>
      </c>
      <c r="BK415" s="1" t="s">
        <v>74</v>
      </c>
      <c r="BL415" s="1" t="s">
        <v>74</v>
      </c>
      <c r="BM415" s="1" t="s">
        <v>74</v>
      </c>
      <c r="BN415" s="1">
        <v>1.5721931E7</v>
      </c>
      <c r="BO415" s="1" t="s">
        <v>74</v>
      </c>
      <c r="BP415" s="1" t="s">
        <v>74</v>
      </c>
      <c r="BQ415" s="1" t="s">
        <v>74</v>
      </c>
      <c r="BR415" s="1" t="s">
        <v>74</v>
      </c>
      <c r="BS415" s="1" t="s">
        <v>3881</v>
      </c>
      <c r="BT415" s="1" t="str">
        <f>HYPERLINK("https%3A%2F%2Fwww.webofscience.com%2Fwos%2Fwoscc%2Ffull-record%2FWOS:000227393300036","View Full Record in Web of Science")</f>
        <v>View Full Record in Web of Science</v>
      </c>
    </row>
    <row r="416" ht="12.75" customHeight="1">
      <c r="A416" s="1" t="s">
        <v>72</v>
      </c>
      <c r="B416" s="1" t="s">
        <v>3882</v>
      </c>
      <c r="C416" s="1" t="s">
        <v>74</v>
      </c>
      <c r="D416" s="1" t="s">
        <v>74</v>
      </c>
      <c r="E416" s="1" t="s">
        <v>74</v>
      </c>
      <c r="F416" s="1" t="s">
        <v>3882</v>
      </c>
      <c r="G416" s="1" t="s">
        <v>74</v>
      </c>
      <c r="H416" s="1" t="s">
        <v>74</v>
      </c>
      <c r="I416" s="1" t="s">
        <v>3883</v>
      </c>
      <c r="J416" s="1" t="s">
        <v>3884</v>
      </c>
      <c r="K416" s="1" t="s">
        <v>74</v>
      </c>
      <c r="L416" s="1" t="s">
        <v>74</v>
      </c>
      <c r="M416" s="1" t="s">
        <v>74</v>
      </c>
      <c r="N416" s="1" t="s">
        <v>74</v>
      </c>
      <c r="O416" s="1" t="s">
        <v>74</v>
      </c>
      <c r="P416" s="1" t="s">
        <v>74</v>
      </c>
      <c r="Q416" s="1" t="s">
        <v>74</v>
      </c>
      <c r="R416" s="1" t="s">
        <v>74</v>
      </c>
      <c r="S416" s="1" t="s">
        <v>74</v>
      </c>
      <c r="T416" s="1" t="s">
        <v>74</v>
      </c>
      <c r="U416" s="1" t="s">
        <v>74</v>
      </c>
      <c r="V416" s="1" t="s">
        <v>74</v>
      </c>
      <c r="W416" s="1" t="s">
        <v>74</v>
      </c>
      <c r="X416" s="1" t="s">
        <v>74</v>
      </c>
      <c r="Y416" s="1" t="s">
        <v>74</v>
      </c>
      <c r="Z416" s="1" t="s">
        <v>74</v>
      </c>
      <c r="AA416" s="1" t="s">
        <v>74</v>
      </c>
      <c r="AB416" s="1" t="s">
        <v>74</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3885</v>
      </c>
      <c r="AP416" s="1" t="s">
        <v>74</v>
      </c>
      <c r="AQ416" s="1" t="s">
        <v>74</v>
      </c>
      <c r="AR416" s="1" t="s">
        <v>74</v>
      </c>
      <c r="AS416" s="1" t="s">
        <v>74</v>
      </c>
      <c r="AT416" s="1" t="s">
        <v>106</v>
      </c>
      <c r="AU416" s="1">
        <v>2003.0</v>
      </c>
      <c r="AV416" s="1">
        <v>30.0</v>
      </c>
      <c r="AW416" s="1">
        <v>5.0</v>
      </c>
      <c r="AX416" s="1" t="s">
        <v>74</v>
      </c>
      <c r="AY416" s="1" t="s">
        <v>74</v>
      </c>
      <c r="AZ416" s="1" t="s">
        <v>74</v>
      </c>
      <c r="BA416" s="1" t="s">
        <v>74</v>
      </c>
      <c r="BB416" s="1">
        <v>70.0</v>
      </c>
      <c r="BC416" s="1">
        <v>78.0</v>
      </c>
      <c r="BD416" s="1" t="s">
        <v>74</v>
      </c>
      <c r="BE416" s="1" t="s">
        <v>3886</v>
      </c>
      <c r="BF416" s="2" t="str">
        <f>HYPERLINK("http://dx.doi.org/10.1177/0094582X03256256","http://dx.doi.org/10.1177/0094582X03256256")</f>
        <v>http://dx.doi.org/10.1177/0094582X03256256</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3887</v>
      </c>
      <c r="BT416" s="1" t="str">
        <f>HYPERLINK("https%3A%2F%2Fwww.webofscience.com%2Fwos%2Fwoscc%2Ffull-record%2FWOS:000184949900004","View Full Record in Web of Science")</f>
        <v>View Full Record in Web of Science</v>
      </c>
    </row>
    <row r="417" ht="12.75" customHeight="1">
      <c r="A417" s="1" t="s">
        <v>72</v>
      </c>
      <c r="B417" s="1" t="s">
        <v>3888</v>
      </c>
      <c r="C417" s="1" t="s">
        <v>74</v>
      </c>
      <c r="D417" s="1" t="s">
        <v>74</v>
      </c>
      <c r="E417" s="1" t="s">
        <v>74</v>
      </c>
      <c r="F417" s="1" t="s">
        <v>3888</v>
      </c>
      <c r="G417" s="1" t="s">
        <v>74</v>
      </c>
      <c r="H417" s="1" t="s">
        <v>74</v>
      </c>
      <c r="I417" s="1" t="s">
        <v>3889</v>
      </c>
      <c r="J417" s="1" t="s">
        <v>3890</v>
      </c>
      <c r="K417" s="1" t="s">
        <v>74</v>
      </c>
      <c r="L417" s="1" t="s">
        <v>74</v>
      </c>
      <c r="M417" s="1" t="s">
        <v>74</v>
      </c>
      <c r="N417" s="1" t="s">
        <v>74</v>
      </c>
      <c r="O417" s="1" t="s">
        <v>74</v>
      </c>
      <c r="P417" s="1" t="s">
        <v>74</v>
      </c>
      <c r="Q417" s="1" t="s">
        <v>74</v>
      </c>
      <c r="R417" s="1" t="s">
        <v>74</v>
      </c>
      <c r="S417" s="1" t="s">
        <v>74</v>
      </c>
      <c r="T417" s="1" t="s">
        <v>74</v>
      </c>
      <c r="U417" s="1" t="s">
        <v>74</v>
      </c>
      <c r="V417" s="1" t="s">
        <v>3891</v>
      </c>
      <c r="W417" s="1" t="s">
        <v>74</v>
      </c>
      <c r="X417" s="1" t="s">
        <v>74</v>
      </c>
      <c r="Y417" s="1" t="s">
        <v>74</v>
      </c>
      <c r="Z417" s="1" t="s">
        <v>74</v>
      </c>
      <c r="AA417" s="1" t="s">
        <v>663</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3892</v>
      </c>
      <c r="AP417" s="1" t="s">
        <v>74</v>
      </c>
      <c r="AQ417" s="1" t="s">
        <v>74</v>
      </c>
      <c r="AR417" s="1" t="s">
        <v>74</v>
      </c>
      <c r="AS417" s="1" t="s">
        <v>74</v>
      </c>
      <c r="AT417" s="1" t="s">
        <v>106</v>
      </c>
      <c r="AU417" s="1">
        <v>2003.0</v>
      </c>
      <c r="AV417" s="1">
        <v>44.0</v>
      </c>
      <c r="AW417" s="1">
        <v>19.0</v>
      </c>
      <c r="AX417" s="1" t="s">
        <v>74</v>
      </c>
      <c r="AY417" s="1" t="s">
        <v>74</v>
      </c>
      <c r="AZ417" s="1" t="s">
        <v>74</v>
      </c>
      <c r="BA417" s="1" t="s">
        <v>74</v>
      </c>
      <c r="BB417" s="1">
        <v>5559.0</v>
      </c>
      <c r="BC417" s="1">
        <v>5561.0</v>
      </c>
      <c r="BD417" s="1" t="s">
        <v>74</v>
      </c>
      <c r="BE417" s="1" t="s">
        <v>3893</v>
      </c>
      <c r="BF417" s="2" t="str">
        <f>HYPERLINK("http://dx.doi.org/10.1016/S0032-3861(03)00581-0","http://dx.doi.org/10.1016/S0032-3861(03)00581-0")</f>
        <v>http://dx.doi.org/10.1016/S0032-3861(03)00581-0</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3894</v>
      </c>
      <c r="BT417" s="1" t="str">
        <f>HYPERLINK("https%3A%2F%2Fwww.webofscience.com%2Fwos%2Fwoscc%2Ffull-record%2FWOS:000185182500011","View Full Record in Web of Science")</f>
        <v>View Full Record in Web of Science</v>
      </c>
    </row>
    <row r="418" ht="12.75" customHeight="1">
      <c r="A418" s="1" t="s">
        <v>72</v>
      </c>
      <c r="B418" s="1" t="s">
        <v>3895</v>
      </c>
      <c r="C418" s="1" t="s">
        <v>74</v>
      </c>
      <c r="D418" s="1" t="s">
        <v>74</v>
      </c>
      <c r="E418" s="1" t="s">
        <v>74</v>
      </c>
      <c r="F418" s="1" t="s">
        <v>3895</v>
      </c>
      <c r="G418" s="1" t="s">
        <v>74</v>
      </c>
      <c r="H418" s="1" t="s">
        <v>74</v>
      </c>
      <c r="I418" s="1" t="s">
        <v>3896</v>
      </c>
      <c r="J418" s="1" t="s">
        <v>3897</v>
      </c>
      <c r="K418" s="1" t="s">
        <v>74</v>
      </c>
      <c r="L418" s="1" t="s">
        <v>74</v>
      </c>
      <c r="M418" s="1" t="s">
        <v>74</v>
      </c>
      <c r="N418" s="1" t="s">
        <v>74</v>
      </c>
      <c r="O418" s="1" t="s">
        <v>74</v>
      </c>
      <c r="P418" s="1" t="s">
        <v>74</v>
      </c>
      <c r="Q418" s="1" t="s">
        <v>74</v>
      </c>
      <c r="R418" s="1" t="s">
        <v>74</v>
      </c>
      <c r="S418" s="1" t="s">
        <v>74</v>
      </c>
      <c r="T418" s="1" t="s">
        <v>74</v>
      </c>
      <c r="U418" s="1" t="s">
        <v>74</v>
      </c>
      <c r="V418" s="1" t="s">
        <v>3898</v>
      </c>
      <c r="W418" s="1" t="s">
        <v>74</v>
      </c>
      <c r="X418" s="1" t="s">
        <v>74</v>
      </c>
      <c r="Y418" s="1" t="s">
        <v>74</v>
      </c>
      <c r="Z418" s="1" t="s">
        <v>74</v>
      </c>
      <c r="AA418" s="1" t="s">
        <v>3899</v>
      </c>
      <c r="AB418" s="1" t="s">
        <v>1768</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3900</v>
      </c>
      <c r="AP418" s="1" t="s">
        <v>74</v>
      </c>
      <c r="AQ418" s="1" t="s">
        <v>74</v>
      </c>
      <c r="AR418" s="1" t="s">
        <v>74</v>
      </c>
      <c r="AS418" s="1" t="s">
        <v>74</v>
      </c>
      <c r="AT418" s="1" t="s">
        <v>3356</v>
      </c>
      <c r="AU418" s="1">
        <v>1999.0</v>
      </c>
      <c r="AV418" s="1">
        <v>437.0</v>
      </c>
      <c r="AW418" s="1" t="s">
        <v>3901</v>
      </c>
      <c r="AX418" s="1" t="s">
        <v>74</v>
      </c>
      <c r="AY418" s="1" t="s">
        <v>74</v>
      </c>
      <c r="AZ418" s="1" t="s">
        <v>74</v>
      </c>
      <c r="BA418" s="1" t="s">
        <v>74</v>
      </c>
      <c r="BB418" s="1">
        <v>367.0</v>
      </c>
      <c r="BC418" s="1">
        <v>373.0</v>
      </c>
      <c r="BD418" s="1" t="s">
        <v>74</v>
      </c>
      <c r="BE418" s="1" t="s">
        <v>3902</v>
      </c>
      <c r="BF418" s="2" t="str">
        <f>HYPERLINK("http://dx.doi.org/10.1016/S0168-9002(99)00764-0","http://dx.doi.org/10.1016/S0168-9002(99)00764-0")</f>
        <v>http://dx.doi.org/10.1016/S0168-9002(99)00764-0</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3903</v>
      </c>
      <c r="BT418" s="1" t="str">
        <f>HYPERLINK("https%3A%2F%2Fwww.webofscience.com%2Fwos%2Fwoscc%2Ffull-record%2FWOS:000083790400016","View Full Record in Web of Science")</f>
        <v>View Full Record in Web of Science</v>
      </c>
    </row>
    <row r="419" ht="12.75" customHeight="1">
      <c r="A419" s="1" t="s">
        <v>72</v>
      </c>
      <c r="B419" s="1" t="s">
        <v>3904</v>
      </c>
      <c r="C419" s="1" t="s">
        <v>74</v>
      </c>
      <c r="D419" s="1" t="s">
        <v>74</v>
      </c>
      <c r="E419" s="1" t="s">
        <v>74</v>
      </c>
      <c r="F419" s="1" t="s">
        <v>3905</v>
      </c>
      <c r="G419" s="1" t="s">
        <v>74</v>
      </c>
      <c r="H419" s="1" t="s">
        <v>74</v>
      </c>
      <c r="I419" s="1" t="s">
        <v>3906</v>
      </c>
      <c r="J419" s="1" t="s">
        <v>3907</v>
      </c>
      <c r="K419" s="1" t="s">
        <v>74</v>
      </c>
      <c r="L419" s="1" t="s">
        <v>74</v>
      </c>
      <c r="M419" s="1" t="s">
        <v>74</v>
      </c>
      <c r="N419" s="1" t="s">
        <v>74</v>
      </c>
      <c r="O419" s="1" t="s">
        <v>74</v>
      </c>
      <c r="P419" s="1" t="s">
        <v>74</v>
      </c>
      <c r="Q419" s="1" t="s">
        <v>74</v>
      </c>
      <c r="R419" s="1" t="s">
        <v>74</v>
      </c>
      <c r="S419" s="1" t="s">
        <v>74</v>
      </c>
      <c r="T419" s="1" t="s">
        <v>74</v>
      </c>
      <c r="U419" s="1" t="s">
        <v>74</v>
      </c>
      <c r="V419" s="1" t="s">
        <v>3908</v>
      </c>
      <c r="W419" s="1" t="s">
        <v>74</v>
      </c>
      <c r="X419" s="1" t="s">
        <v>74</v>
      </c>
      <c r="Y419" s="1" t="s">
        <v>74</v>
      </c>
      <c r="Z419" s="1" t="s">
        <v>74</v>
      </c>
      <c r="AA419" s="1" t="s">
        <v>74</v>
      </c>
      <c r="AB419" s="1" t="s">
        <v>74</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74</v>
      </c>
      <c r="AP419" s="1" t="s">
        <v>3909</v>
      </c>
      <c r="AQ419" s="1" t="s">
        <v>74</v>
      </c>
      <c r="AR419" s="1" t="s">
        <v>74</v>
      </c>
      <c r="AS419" s="1" t="s">
        <v>74</v>
      </c>
      <c r="AT419" s="1" t="s">
        <v>74</v>
      </c>
      <c r="AU419" s="1">
        <v>2024.0</v>
      </c>
      <c r="AV419" s="1">
        <v>14.0</v>
      </c>
      <c r="AW419" s="1">
        <v>2.0</v>
      </c>
      <c r="AX419" s="1" t="s">
        <v>74</v>
      </c>
      <c r="AY419" s="1" t="s">
        <v>74</v>
      </c>
      <c r="AZ419" s="1" t="s">
        <v>74</v>
      </c>
      <c r="BA419" s="1" t="s">
        <v>74</v>
      </c>
      <c r="BB419" s="1">
        <v>125.0</v>
      </c>
      <c r="BC419" s="1">
        <v>148.0</v>
      </c>
      <c r="BD419" s="1" t="s">
        <v>74</v>
      </c>
      <c r="BE419" s="1" t="s">
        <v>3910</v>
      </c>
      <c r="BF419" s="2" t="str">
        <f>HYPERLINK("http://dx.doi.org/10.5281/zenodo.10951770","http://dx.doi.org/10.5281/zenodo.10951770")</f>
        <v>http://dx.doi.org/10.5281/zenodo.10951770</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3911</v>
      </c>
      <c r="BT419" s="1" t="str">
        <f>HYPERLINK("https%3A%2F%2Fwww.webofscience.com%2Fwos%2Fwoscc%2Ffull-record%2FWOS:001206994300001","View Full Record in Web of Science")</f>
        <v>View Full Record in Web of Science</v>
      </c>
    </row>
    <row r="420" ht="12.75" customHeight="1">
      <c r="A420" s="1" t="s">
        <v>72</v>
      </c>
      <c r="B420" s="1" t="s">
        <v>3912</v>
      </c>
      <c r="C420" s="1" t="s">
        <v>74</v>
      </c>
      <c r="D420" s="1" t="s">
        <v>74</v>
      </c>
      <c r="E420" s="1" t="s">
        <v>74</v>
      </c>
      <c r="F420" s="1" t="s">
        <v>3913</v>
      </c>
      <c r="G420" s="1" t="s">
        <v>74</v>
      </c>
      <c r="H420" s="1" t="s">
        <v>74</v>
      </c>
      <c r="I420" s="1" t="s">
        <v>3914</v>
      </c>
      <c r="J420" s="1" t="s">
        <v>3915</v>
      </c>
      <c r="K420" s="1" t="s">
        <v>74</v>
      </c>
      <c r="L420" s="1" t="s">
        <v>74</v>
      </c>
      <c r="M420" s="1" t="s">
        <v>74</v>
      </c>
      <c r="N420" s="1" t="s">
        <v>74</v>
      </c>
      <c r="O420" s="1" t="s">
        <v>74</v>
      </c>
      <c r="P420" s="1" t="s">
        <v>74</v>
      </c>
      <c r="Q420" s="1" t="s">
        <v>74</v>
      </c>
      <c r="R420" s="1" t="s">
        <v>74</v>
      </c>
      <c r="S420" s="1" t="s">
        <v>74</v>
      </c>
      <c r="T420" s="1" t="s">
        <v>74</v>
      </c>
      <c r="U420" s="1" t="s">
        <v>74</v>
      </c>
      <c r="V420" s="1" t="s">
        <v>3916</v>
      </c>
      <c r="W420" s="1" t="s">
        <v>74</v>
      </c>
      <c r="X420" s="1" t="s">
        <v>74</v>
      </c>
      <c r="Y420" s="1" t="s">
        <v>74</v>
      </c>
      <c r="Z420" s="1" t="s">
        <v>74</v>
      </c>
      <c r="AA420" s="1" t="s">
        <v>74</v>
      </c>
      <c r="AB420" s="1" t="s">
        <v>74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3917</v>
      </c>
      <c r="AP420" s="1" t="s">
        <v>3918</v>
      </c>
      <c r="AQ420" s="1" t="s">
        <v>74</v>
      </c>
      <c r="AR420" s="1" t="s">
        <v>74</v>
      </c>
      <c r="AS420" s="1" t="s">
        <v>74</v>
      </c>
      <c r="AT420" s="1" t="s">
        <v>74</v>
      </c>
      <c r="AU420" s="1">
        <v>2021.0</v>
      </c>
      <c r="AV420" s="1">
        <v>13.0</v>
      </c>
      <c r="AW420" s="1">
        <v>1.0</v>
      </c>
      <c r="AX420" s="1" t="s">
        <v>74</v>
      </c>
      <c r="AY420" s="1" t="s">
        <v>74</v>
      </c>
      <c r="AZ420" s="1" t="s">
        <v>74</v>
      </c>
      <c r="BA420" s="1" t="s">
        <v>74</v>
      </c>
      <c r="BB420" s="1">
        <v>94.0</v>
      </c>
      <c r="BC420" s="1">
        <v>112.0</v>
      </c>
      <c r="BD420" s="1" t="s">
        <v>74</v>
      </c>
      <c r="BE420" s="1" t="s">
        <v>74</v>
      </c>
      <c r="BF420" s="1" t="s">
        <v>74</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3919</v>
      </c>
      <c r="BT420" s="1" t="str">
        <f>HYPERLINK("https%3A%2F%2Fwww.webofscience.com%2Fwos%2Fwoscc%2Ffull-record%2FWOS:000740694200006","View Full Record in Web of Science")</f>
        <v>View Full Record in Web of Science</v>
      </c>
    </row>
    <row r="421" ht="12.75" customHeight="1">
      <c r="A421" s="1" t="s">
        <v>241</v>
      </c>
      <c r="B421" s="1" t="s">
        <v>3920</v>
      </c>
      <c r="C421" s="1" t="s">
        <v>74</v>
      </c>
      <c r="D421" s="1" t="s">
        <v>74</v>
      </c>
      <c r="E421" s="1" t="s">
        <v>427</v>
      </c>
      <c r="F421" s="1" t="s">
        <v>3921</v>
      </c>
      <c r="G421" s="1" t="s">
        <v>74</v>
      </c>
      <c r="H421" s="1" t="s">
        <v>74</v>
      </c>
      <c r="I421" s="1" t="s">
        <v>3922</v>
      </c>
      <c r="J421" s="1" t="s">
        <v>782</v>
      </c>
      <c r="K421" s="1" t="s">
        <v>74</v>
      </c>
      <c r="L421" s="1" t="s">
        <v>74</v>
      </c>
      <c r="M421" s="1" t="s">
        <v>74</v>
      </c>
      <c r="N421" s="1" t="s">
        <v>74</v>
      </c>
      <c r="O421" s="1" t="s">
        <v>783</v>
      </c>
      <c r="P421" s="1" t="s">
        <v>784</v>
      </c>
      <c r="Q421" s="1" t="s">
        <v>785</v>
      </c>
      <c r="R421" s="1" t="s">
        <v>786</v>
      </c>
      <c r="S421" s="1" t="s">
        <v>74</v>
      </c>
      <c r="T421" s="1" t="s">
        <v>74</v>
      </c>
      <c r="U421" s="1" t="s">
        <v>74</v>
      </c>
      <c r="V421" s="1" t="s">
        <v>3923</v>
      </c>
      <c r="W421" s="1" t="s">
        <v>74</v>
      </c>
      <c r="X421" s="1" t="s">
        <v>74</v>
      </c>
      <c r="Y421" s="1" t="s">
        <v>74</v>
      </c>
      <c r="Z421" s="1" t="s">
        <v>74</v>
      </c>
      <c r="AA421" s="1" t="s">
        <v>438</v>
      </c>
      <c r="AB421" s="1" t="s">
        <v>3924</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74</v>
      </c>
      <c r="AP421" s="1" t="s">
        <v>74</v>
      </c>
      <c r="AQ421" s="1" t="s">
        <v>789</v>
      </c>
      <c r="AR421" s="1" t="s">
        <v>74</v>
      </c>
      <c r="AS421" s="1" t="s">
        <v>74</v>
      </c>
      <c r="AT421" s="1" t="s">
        <v>74</v>
      </c>
      <c r="AU421" s="1">
        <v>2019.0</v>
      </c>
      <c r="AV421" s="1" t="s">
        <v>74</v>
      </c>
      <c r="AW421" s="1" t="s">
        <v>74</v>
      </c>
      <c r="AX421" s="1" t="s">
        <v>74</v>
      </c>
      <c r="AY421" s="1" t="s">
        <v>74</v>
      </c>
      <c r="AZ421" s="1" t="s">
        <v>74</v>
      </c>
      <c r="BA421" s="1" t="s">
        <v>74</v>
      </c>
      <c r="BB421" s="1" t="s">
        <v>74</v>
      </c>
      <c r="BC421" s="1" t="s">
        <v>74</v>
      </c>
      <c r="BD421" s="1" t="s">
        <v>74</v>
      </c>
      <c r="BE421" s="1" t="s">
        <v>74</v>
      </c>
      <c r="BF421" s="1" t="s">
        <v>74</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3925</v>
      </c>
      <c r="BT421" s="1" t="str">
        <f>HYPERLINK("https%3A%2F%2Fwww.webofscience.com%2Fwos%2Fwoscc%2Ffull-record%2FWOS:000542919100014","View Full Record in Web of Science")</f>
        <v>View Full Record in Web of Science</v>
      </c>
    </row>
    <row r="422" ht="12.75" customHeight="1">
      <c r="A422" s="1" t="s">
        <v>241</v>
      </c>
      <c r="B422" s="1" t="s">
        <v>3926</v>
      </c>
      <c r="C422" s="1" t="s">
        <v>74</v>
      </c>
      <c r="D422" s="1" t="s">
        <v>74</v>
      </c>
      <c r="E422" s="1" t="s">
        <v>814</v>
      </c>
      <c r="F422" s="1" t="s">
        <v>3927</v>
      </c>
      <c r="G422" s="1" t="s">
        <v>74</v>
      </c>
      <c r="H422" s="1" t="s">
        <v>74</v>
      </c>
      <c r="I422" s="1" t="s">
        <v>3928</v>
      </c>
      <c r="J422" s="1" t="s">
        <v>817</v>
      </c>
      <c r="K422" s="1" t="s">
        <v>74</v>
      </c>
      <c r="L422" s="1" t="s">
        <v>74</v>
      </c>
      <c r="M422" s="1" t="s">
        <v>74</v>
      </c>
      <c r="N422" s="1" t="s">
        <v>74</v>
      </c>
      <c r="O422" s="1" t="s">
        <v>818</v>
      </c>
      <c r="P422" s="1" t="s">
        <v>819</v>
      </c>
      <c r="Q422" s="1" t="s">
        <v>820</v>
      </c>
      <c r="R422" s="1" t="s">
        <v>814</v>
      </c>
      <c r="S422" s="1" t="s">
        <v>74</v>
      </c>
      <c r="T422" s="1" t="s">
        <v>74</v>
      </c>
      <c r="U422" s="1" t="s">
        <v>74</v>
      </c>
      <c r="V422" s="1" t="s">
        <v>3929</v>
      </c>
      <c r="W422" s="1" t="s">
        <v>74</v>
      </c>
      <c r="X422" s="1" t="s">
        <v>74</v>
      </c>
      <c r="Y422" s="1" t="s">
        <v>74</v>
      </c>
      <c r="Z422" s="1" t="s">
        <v>74</v>
      </c>
      <c r="AA422" s="1" t="s">
        <v>90</v>
      </c>
      <c r="AB422" s="1" t="s">
        <v>74</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74</v>
      </c>
      <c r="AP422" s="1" t="s">
        <v>74</v>
      </c>
      <c r="AQ422" s="1" t="s">
        <v>822</v>
      </c>
      <c r="AR422" s="1" t="s">
        <v>74</v>
      </c>
      <c r="AS422" s="1" t="s">
        <v>74</v>
      </c>
      <c r="AT422" s="1" t="s">
        <v>74</v>
      </c>
      <c r="AU422" s="1">
        <v>2018.0</v>
      </c>
      <c r="AV422" s="1" t="s">
        <v>74</v>
      </c>
      <c r="AW422" s="1" t="s">
        <v>74</v>
      </c>
      <c r="AX422" s="1" t="s">
        <v>74</v>
      </c>
      <c r="AY422" s="1" t="s">
        <v>74</v>
      </c>
      <c r="AZ422" s="1" t="s">
        <v>74</v>
      </c>
      <c r="BA422" s="1" t="s">
        <v>74</v>
      </c>
      <c r="BB422" s="1" t="s">
        <v>74</v>
      </c>
      <c r="BC422" s="1" t="s">
        <v>74</v>
      </c>
      <c r="BD422" s="1" t="s">
        <v>3930</v>
      </c>
      <c r="BE422" s="1" t="s">
        <v>74</v>
      </c>
      <c r="BF422" s="1" t="s">
        <v>74</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3931</v>
      </c>
      <c r="BT422" s="1" t="str">
        <f>HYPERLINK("https%3A%2F%2Fwww.webofscience.com%2Fwos%2Fwoscc%2Ffull-record%2FWOS:000428485600033","View Full Record in Web of Science")</f>
        <v>View Full Record in Web of Science</v>
      </c>
    </row>
    <row r="423" ht="12.75" customHeight="1">
      <c r="A423" s="1" t="s">
        <v>442</v>
      </c>
      <c r="B423" s="1" t="s">
        <v>3932</v>
      </c>
      <c r="C423" s="1" t="s">
        <v>74</v>
      </c>
      <c r="D423" s="1" t="s">
        <v>3933</v>
      </c>
      <c r="E423" s="1" t="s">
        <v>74</v>
      </c>
      <c r="F423" s="1" t="s">
        <v>3934</v>
      </c>
      <c r="G423" s="1" t="s">
        <v>74</v>
      </c>
      <c r="H423" s="1" t="s">
        <v>74</v>
      </c>
      <c r="I423" s="1" t="s">
        <v>3935</v>
      </c>
      <c r="J423" s="1" t="s">
        <v>3936</v>
      </c>
      <c r="K423" s="1" t="s">
        <v>74</v>
      </c>
      <c r="L423" s="1" t="s">
        <v>74</v>
      </c>
      <c r="M423" s="1" t="s">
        <v>74</v>
      </c>
      <c r="N423" s="1" t="s">
        <v>74</v>
      </c>
      <c r="O423" s="1" t="s">
        <v>74</v>
      </c>
      <c r="P423" s="1" t="s">
        <v>74</v>
      </c>
      <c r="Q423" s="1" t="s">
        <v>74</v>
      </c>
      <c r="R423" s="1" t="s">
        <v>74</v>
      </c>
      <c r="S423" s="1" t="s">
        <v>74</v>
      </c>
      <c r="T423" s="1" t="s">
        <v>74</v>
      </c>
      <c r="U423" s="1" t="s">
        <v>74</v>
      </c>
      <c r="V423" s="1" t="s">
        <v>74</v>
      </c>
      <c r="W423" s="1" t="s">
        <v>74</v>
      </c>
      <c r="X423" s="1" t="s">
        <v>74</v>
      </c>
      <c r="Y423" s="1" t="s">
        <v>74</v>
      </c>
      <c r="Z423" s="1" t="s">
        <v>74</v>
      </c>
      <c r="AA423" s="1" t="s">
        <v>74</v>
      </c>
      <c r="AB423" s="1" t="s">
        <v>74</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74</v>
      </c>
      <c r="AP423" s="1" t="s">
        <v>74</v>
      </c>
      <c r="AQ423" s="1" t="s">
        <v>3937</v>
      </c>
      <c r="AR423" s="1" t="s">
        <v>74</v>
      </c>
      <c r="AS423" s="1" t="s">
        <v>74</v>
      </c>
      <c r="AT423" s="1" t="s">
        <v>74</v>
      </c>
      <c r="AU423" s="1">
        <v>2018.0</v>
      </c>
      <c r="AV423" s="1" t="s">
        <v>74</v>
      </c>
      <c r="AW423" s="1" t="s">
        <v>74</v>
      </c>
      <c r="AX423" s="1" t="s">
        <v>74</v>
      </c>
      <c r="AY423" s="1" t="s">
        <v>74</v>
      </c>
      <c r="AZ423" s="1" t="s">
        <v>74</v>
      </c>
      <c r="BA423" s="1" t="s">
        <v>74</v>
      </c>
      <c r="BB423" s="1">
        <v>57.0</v>
      </c>
      <c r="BC423" s="1">
        <v>71.0</v>
      </c>
      <c r="BD423" s="1" t="s">
        <v>74</v>
      </c>
      <c r="BE423" s="1" t="s">
        <v>74</v>
      </c>
      <c r="BF423" s="1" t="s">
        <v>74</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3938</v>
      </c>
      <c r="BT423" s="1" t="str">
        <f>HYPERLINK("https%3A%2F%2Fwww.webofscience.com%2Fwos%2Fwoscc%2Ffull-record%2FWOS:000462868900004","View Full Record in Web of Science")</f>
        <v>View Full Record in Web of Science</v>
      </c>
    </row>
    <row r="424" ht="12.75" customHeight="1">
      <c r="A424" s="1" t="s">
        <v>72</v>
      </c>
      <c r="B424" s="1" t="s">
        <v>3939</v>
      </c>
      <c r="C424" s="1" t="s">
        <v>74</v>
      </c>
      <c r="D424" s="1" t="s">
        <v>74</v>
      </c>
      <c r="E424" s="1" t="s">
        <v>74</v>
      </c>
      <c r="F424" s="1" t="s">
        <v>3940</v>
      </c>
      <c r="G424" s="1" t="s">
        <v>74</v>
      </c>
      <c r="H424" s="1" t="s">
        <v>74</v>
      </c>
      <c r="I424" s="1" t="s">
        <v>3941</v>
      </c>
      <c r="J424" s="1" t="s">
        <v>3942</v>
      </c>
      <c r="K424" s="1" t="s">
        <v>74</v>
      </c>
      <c r="L424" s="1" t="s">
        <v>74</v>
      </c>
      <c r="M424" s="1" t="s">
        <v>74</v>
      </c>
      <c r="N424" s="1" t="s">
        <v>74</v>
      </c>
      <c r="O424" s="1" t="s">
        <v>3943</v>
      </c>
      <c r="P424" s="1" t="s">
        <v>3944</v>
      </c>
      <c r="Q424" s="1" t="s">
        <v>3945</v>
      </c>
      <c r="R424" s="1" t="s">
        <v>3946</v>
      </c>
      <c r="S424" s="1" t="s">
        <v>74</v>
      </c>
      <c r="T424" s="1" t="s">
        <v>74</v>
      </c>
      <c r="U424" s="1" t="s">
        <v>74</v>
      </c>
      <c r="V424" s="1" t="s">
        <v>3947</v>
      </c>
      <c r="W424" s="1" t="s">
        <v>74</v>
      </c>
      <c r="X424" s="1" t="s">
        <v>74</v>
      </c>
      <c r="Y424" s="1" t="s">
        <v>74</v>
      </c>
      <c r="Z424" s="1" t="s">
        <v>74</v>
      </c>
      <c r="AA424" s="1" t="s">
        <v>3948</v>
      </c>
      <c r="AB424" s="1" t="s">
        <v>3949</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3950</v>
      </c>
      <c r="AP424" s="1" t="s">
        <v>3951</v>
      </c>
      <c r="AQ424" s="1" t="s">
        <v>74</v>
      </c>
      <c r="AR424" s="1" t="s">
        <v>74</v>
      </c>
      <c r="AS424" s="1" t="s">
        <v>74</v>
      </c>
      <c r="AT424" s="1" t="s">
        <v>353</v>
      </c>
      <c r="AU424" s="1">
        <v>2017.0</v>
      </c>
      <c r="AV424" s="1">
        <v>16.0</v>
      </c>
      <c r="AW424" s="1">
        <v>5.0</v>
      </c>
      <c r="AX424" s="1" t="s">
        <v>74</v>
      </c>
      <c r="AY424" s="1" t="s">
        <v>74</v>
      </c>
      <c r="AZ424" s="1" t="s">
        <v>2319</v>
      </c>
      <c r="BA424" s="1" t="s">
        <v>74</v>
      </c>
      <c r="BB424" s="1">
        <v>1081.0</v>
      </c>
      <c r="BC424" s="1">
        <v>1094.0</v>
      </c>
      <c r="BD424" s="1" t="s">
        <v>74</v>
      </c>
      <c r="BE424" s="1" t="s">
        <v>3952</v>
      </c>
      <c r="BF424" s="2" t="str">
        <f>HYPERLINK("http://dx.doi.org/10.1007/s11101-017-9533-1","http://dx.doi.org/10.1007/s11101-017-9533-1")</f>
        <v>http://dx.doi.org/10.1007/s11101-017-9533-1</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3953</v>
      </c>
      <c r="BT424" s="1" t="str">
        <f>HYPERLINK("https%3A%2F%2Fwww.webofscience.com%2Fwos%2Fwoscc%2Ffull-record%2FWOS:000414720300014","View Full Record in Web of Science")</f>
        <v>View Full Record in Web of Science</v>
      </c>
    </row>
    <row r="425" ht="12.75" customHeight="1">
      <c r="A425" s="1" t="s">
        <v>72</v>
      </c>
      <c r="B425" s="1" t="s">
        <v>3954</v>
      </c>
      <c r="C425" s="1" t="s">
        <v>74</v>
      </c>
      <c r="D425" s="1" t="s">
        <v>74</v>
      </c>
      <c r="E425" s="1" t="s">
        <v>74</v>
      </c>
      <c r="F425" s="1" t="s">
        <v>3955</v>
      </c>
      <c r="G425" s="1" t="s">
        <v>74</v>
      </c>
      <c r="H425" s="1" t="s">
        <v>74</v>
      </c>
      <c r="I425" s="1" t="s">
        <v>3956</v>
      </c>
      <c r="J425" s="1" t="s">
        <v>3957</v>
      </c>
      <c r="K425" s="1" t="s">
        <v>74</v>
      </c>
      <c r="L425" s="1" t="s">
        <v>74</v>
      </c>
      <c r="M425" s="1" t="s">
        <v>74</v>
      </c>
      <c r="N425" s="1" t="s">
        <v>74</v>
      </c>
      <c r="O425" s="1" t="s">
        <v>3958</v>
      </c>
      <c r="P425" s="1" t="s">
        <v>3959</v>
      </c>
      <c r="Q425" s="1" t="s">
        <v>3960</v>
      </c>
      <c r="R425" s="1" t="s">
        <v>3961</v>
      </c>
      <c r="S425" s="1" t="s">
        <v>74</v>
      </c>
      <c r="T425" s="1" t="s">
        <v>74</v>
      </c>
      <c r="U425" s="1" t="s">
        <v>74</v>
      </c>
      <c r="V425" s="1" t="s">
        <v>3962</v>
      </c>
      <c r="W425" s="1" t="s">
        <v>74</v>
      </c>
      <c r="X425" s="1" t="s">
        <v>74</v>
      </c>
      <c r="Y425" s="1" t="s">
        <v>74</v>
      </c>
      <c r="Z425" s="1" t="s">
        <v>74</v>
      </c>
      <c r="AA425" s="1" t="s">
        <v>3963</v>
      </c>
      <c r="AB425" s="1" t="s">
        <v>3964</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3965</v>
      </c>
      <c r="AP425" s="1" t="s">
        <v>74</v>
      </c>
      <c r="AQ425" s="1" t="s">
        <v>74</v>
      </c>
      <c r="AR425" s="1" t="s">
        <v>74</v>
      </c>
      <c r="AS425" s="1" t="s">
        <v>74</v>
      </c>
      <c r="AT425" s="1" t="s">
        <v>183</v>
      </c>
      <c r="AU425" s="1">
        <v>2017.0</v>
      </c>
      <c r="AV425" s="1">
        <v>7.0</v>
      </c>
      <c r="AW425" s="1">
        <v>5.0</v>
      </c>
      <c r="AX425" s="1" t="s">
        <v>74</v>
      </c>
      <c r="AY425" s="1" t="s">
        <v>74</v>
      </c>
      <c r="AZ425" s="1" t="s">
        <v>74</v>
      </c>
      <c r="BA425" s="1" t="s">
        <v>74</v>
      </c>
      <c r="BB425" s="1" t="s">
        <v>74</v>
      </c>
      <c r="BC425" s="1" t="s">
        <v>74</v>
      </c>
      <c r="BD425" s="1">
        <v>56310.0</v>
      </c>
      <c r="BE425" s="1" t="s">
        <v>3966</v>
      </c>
      <c r="BF425" s="2" t="str">
        <f>HYPERLINK("http://dx.doi.org/10.1063/1.4975489","http://dx.doi.org/10.1063/1.4975489")</f>
        <v>http://dx.doi.org/10.1063/1.4975489</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3967</v>
      </c>
      <c r="BT425" s="1" t="str">
        <f>HYPERLINK("https%3A%2F%2Fwww.webofscience.com%2Fwos%2Fwoscc%2Ffull-record%2FWOS:000402797100249","View Full Record in Web of Science")</f>
        <v>View Full Record in Web of Science</v>
      </c>
    </row>
    <row r="426" ht="12.75" customHeight="1">
      <c r="A426" s="1" t="s">
        <v>72</v>
      </c>
      <c r="B426" s="1" t="s">
        <v>3968</v>
      </c>
      <c r="C426" s="1" t="s">
        <v>74</v>
      </c>
      <c r="D426" s="1" t="s">
        <v>74</v>
      </c>
      <c r="E426" s="1" t="s">
        <v>74</v>
      </c>
      <c r="F426" s="1" t="s">
        <v>3969</v>
      </c>
      <c r="G426" s="1" t="s">
        <v>74</v>
      </c>
      <c r="H426" s="1" t="s">
        <v>74</v>
      </c>
      <c r="I426" s="1" t="s">
        <v>3970</v>
      </c>
      <c r="J426" s="1" t="s">
        <v>3971</v>
      </c>
      <c r="K426" s="1" t="s">
        <v>74</v>
      </c>
      <c r="L426" s="1" t="s">
        <v>74</v>
      </c>
      <c r="M426" s="1" t="s">
        <v>74</v>
      </c>
      <c r="N426" s="1" t="s">
        <v>74</v>
      </c>
      <c r="O426" s="1" t="s">
        <v>74</v>
      </c>
      <c r="P426" s="1" t="s">
        <v>74</v>
      </c>
      <c r="Q426" s="1" t="s">
        <v>74</v>
      </c>
      <c r="R426" s="1" t="s">
        <v>74</v>
      </c>
      <c r="S426" s="1" t="s">
        <v>74</v>
      </c>
      <c r="T426" s="1" t="s">
        <v>74</v>
      </c>
      <c r="U426" s="1" t="s">
        <v>74</v>
      </c>
      <c r="V426" s="1" t="s">
        <v>3972</v>
      </c>
      <c r="W426" s="1" t="s">
        <v>74</v>
      </c>
      <c r="X426" s="1" t="s">
        <v>74</v>
      </c>
      <c r="Y426" s="1" t="s">
        <v>74</v>
      </c>
      <c r="Z426" s="1" t="s">
        <v>74</v>
      </c>
      <c r="AA426" s="1" t="s">
        <v>3973</v>
      </c>
      <c r="AB426" s="1" t="s">
        <v>3974</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3975</v>
      </c>
      <c r="AP426" s="1" t="s">
        <v>3976</v>
      </c>
      <c r="AQ426" s="1" t="s">
        <v>74</v>
      </c>
      <c r="AR426" s="1" t="s">
        <v>74</v>
      </c>
      <c r="AS426" s="1" t="s">
        <v>74</v>
      </c>
      <c r="AT426" s="1" t="s">
        <v>607</v>
      </c>
      <c r="AU426" s="1">
        <v>2017.0</v>
      </c>
      <c r="AV426" s="1">
        <v>110.0</v>
      </c>
      <c r="AW426" s="1">
        <v>2.0</v>
      </c>
      <c r="AX426" s="1" t="s">
        <v>74</v>
      </c>
      <c r="AY426" s="1" t="s">
        <v>74</v>
      </c>
      <c r="AZ426" s="1" t="s">
        <v>74</v>
      </c>
      <c r="BA426" s="1" t="s">
        <v>74</v>
      </c>
      <c r="BB426" s="1">
        <v>291.0</v>
      </c>
      <c r="BC426" s="1">
        <v>296.0</v>
      </c>
      <c r="BD426" s="1" t="s">
        <v>74</v>
      </c>
      <c r="BE426" s="1" t="s">
        <v>3977</v>
      </c>
      <c r="BF426" s="2" t="str">
        <f>HYPERLINK("http://dx.doi.org/10.1007/s10482-016-0793-3","http://dx.doi.org/10.1007/s10482-016-0793-3")</f>
        <v>http://dx.doi.org/10.1007/s10482-016-0793-3</v>
      </c>
      <c r="BG426" s="1" t="s">
        <v>74</v>
      </c>
      <c r="BH426" s="1" t="s">
        <v>74</v>
      </c>
      <c r="BI426" s="1" t="s">
        <v>74</v>
      </c>
      <c r="BJ426" s="1" t="s">
        <v>74</v>
      </c>
      <c r="BK426" s="1" t="s">
        <v>74</v>
      </c>
      <c r="BL426" s="1" t="s">
        <v>74</v>
      </c>
      <c r="BM426" s="1" t="s">
        <v>74</v>
      </c>
      <c r="BN426" s="1">
        <v>2.7771809E7</v>
      </c>
      <c r="BO426" s="1" t="s">
        <v>74</v>
      </c>
      <c r="BP426" s="1" t="s">
        <v>74</v>
      </c>
      <c r="BQ426" s="1" t="s">
        <v>74</v>
      </c>
      <c r="BR426" s="1" t="s">
        <v>74</v>
      </c>
      <c r="BS426" s="1" t="s">
        <v>3978</v>
      </c>
      <c r="BT426" s="1" t="str">
        <f>HYPERLINK("https%3A%2F%2Fwww.webofscience.com%2Fwos%2Fwoscc%2Ffull-record%2FWOS:000393743900011","View Full Record in Web of Science")</f>
        <v>View Full Record in Web of Science</v>
      </c>
    </row>
    <row r="427" ht="12.75" customHeight="1">
      <c r="A427" s="1" t="s">
        <v>72</v>
      </c>
      <c r="B427" s="1" t="s">
        <v>3979</v>
      </c>
      <c r="C427" s="1" t="s">
        <v>74</v>
      </c>
      <c r="D427" s="1" t="s">
        <v>74</v>
      </c>
      <c r="E427" s="1" t="s">
        <v>74</v>
      </c>
      <c r="F427" s="1" t="s">
        <v>3980</v>
      </c>
      <c r="G427" s="1" t="s">
        <v>74</v>
      </c>
      <c r="H427" s="1" t="s">
        <v>74</v>
      </c>
      <c r="I427" s="1" t="s">
        <v>3981</v>
      </c>
      <c r="J427" s="1" t="s">
        <v>3548</v>
      </c>
      <c r="K427" s="1" t="s">
        <v>74</v>
      </c>
      <c r="L427" s="1" t="s">
        <v>74</v>
      </c>
      <c r="M427" s="1" t="s">
        <v>74</v>
      </c>
      <c r="N427" s="1" t="s">
        <v>74</v>
      </c>
      <c r="O427" s="1" t="s">
        <v>74</v>
      </c>
      <c r="P427" s="1" t="s">
        <v>74</v>
      </c>
      <c r="Q427" s="1" t="s">
        <v>74</v>
      </c>
      <c r="R427" s="1" t="s">
        <v>74</v>
      </c>
      <c r="S427" s="1" t="s">
        <v>74</v>
      </c>
      <c r="T427" s="1" t="s">
        <v>74</v>
      </c>
      <c r="U427" s="1" t="s">
        <v>74</v>
      </c>
      <c r="V427" s="1" t="s">
        <v>3982</v>
      </c>
      <c r="W427" s="1" t="s">
        <v>74</v>
      </c>
      <c r="X427" s="1" t="s">
        <v>74</v>
      </c>
      <c r="Y427" s="1" t="s">
        <v>74</v>
      </c>
      <c r="Z427" s="1" t="s">
        <v>74</v>
      </c>
      <c r="AA427" s="1" t="s">
        <v>90</v>
      </c>
      <c r="AB427" s="1" t="s">
        <v>91</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3551</v>
      </c>
      <c r="AP427" s="1" t="s">
        <v>3552</v>
      </c>
      <c r="AQ427" s="1" t="s">
        <v>74</v>
      </c>
      <c r="AR427" s="1" t="s">
        <v>74</v>
      </c>
      <c r="AS427" s="1" t="s">
        <v>74</v>
      </c>
      <c r="AT427" s="1" t="s">
        <v>94</v>
      </c>
      <c r="AU427" s="1">
        <v>2017.0</v>
      </c>
      <c r="AV427" s="1">
        <v>111.0</v>
      </c>
      <c r="AW427" s="1" t="s">
        <v>74</v>
      </c>
      <c r="AX427" s="1" t="s">
        <v>74</v>
      </c>
      <c r="AY427" s="1" t="s">
        <v>74</v>
      </c>
      <c r="AZ427" s="1" t="s">
        <v>74</v>
      </c>
      <c r="BA427" s="1" t="s">
        <v>74</v>
      </c>
      <c r="BB427" s="1">
        <v>369.0</v>
      </c>
      <c r="BC427" s="1">
        <v>378.0</v>
      </c>
      <c r="BD427" s="1" t="s">
        <v>74</v>
      </c>
      <c r="BE427" s="1" t="s">
        <v>3983</v>
      </c>
      <c r="BF427" s="2" t="str">
        <f>HYPERLINK("http://dx.doi.org/10.1016/j.ijthermalsci.2016.05.034","http://dx.doi.org/10.1016/j.ijthermalsci.2016.05.034")</f>
        <v>http://dx.doi.org/10.1016/j.ijthermalsci.2016.05.034</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3984</v>
      </c>
      <c r="BT427" s="1" t="str">
        <f>HYPERLINK("https%3A%2F%2Fwww.webofscience.com%2Fwos%2Fwoscc%2Ffull-record%2FWOS:000387194000032","View Full Record in Web of Science")</f>
        <v>View Full Record in Web of Science</v>
      </c>
    </row>
    <row r="428" ht="12.75" customHeight="1">
      <c r="A428" s="1" t="s">
        <v>72</v>
      </c>
      <c r="B428" s="1" t="s">
        <v>3985</v>
      </c>
      <c r="C428" s="1" t="s">
        <v>74</v>
      </c>
      <c r="D428" s="1" t="s">
        <v>74</v>
      </c>
      <c r="E428" s="1" t="s">
        <v>74</v>
      </c>
      <c r="F428" s="1" t="s">
        <v>3986</v>
      </c>
      <c r="G428" s="1" t="s">
        <v>74</v>
      </c>
      <c r="H428" s="1" t="s">
        <v>74</v>
      </c>
      <c r="I428" s="1" t="s">
        <v>3987</v>
      </c>
      <c r="J428" s="1" t="s">
        <v>3988</v>
      </c>
      <c r="K428" s="1" t="s">
        <v>74</v>
      </c>
      <c r="L428" s="1" t="s">
        <v>74</v>
      </c>
      <c r="M428" s="1" t="s">
        <v>74</v>
      </c>
      <c r="N428" s="1" t="s">
        <v>74</v>
      </c>
      <c r="O428" s="1" t="s">
        <v>74</v>
      </c>
      <c r="P428" s="1" t="s">
        <v>74</v>
      </c>
      <c r="Q428" s="1" t="s">
        <v>74</v>
      </c>
      <c r="R428" s="1" t="s">
        <v>74</v>
      </c>
      <c r="S428" s="1" t="s">
        <v>74</v>
      </c>
      <c r="T428" s="1" t="s">
        <v>74</v>
      </c>
      <c r="U428" s="1" t="s">
        <v>74</v>
      </c>
      <c r="V428" s="1" t="s">
        <v>3989</v>
      </c>
      <c r="W428" s="1" t="s">
        <v>74</v>
      </c>
      <c r="X428" s="1" t="s">
        <v>74</v>
      </c>
      <c r="Y428" s="1" t="s">
        <v>74</v>
      </c>
      <c r="Z428" s="1" t="s">
        <v>74</v>
      </c>
      <c r="AA428" s="1" t="s">
        <v>983</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3990</v>
      </c>
      <c r="AP428" s="1" t="s">
        <v>74</v>
      </c>
      <c r="AQ428" s="1" t="s">
        <v>74</v>
      </c>
      <c r="AR428" s="1" t="s">
        <v>74</v>
      </c>
      <c r="AS428" s="1" t="s">
        <v>74</v>
      </c>
      <c r="AT428" s="1" t="s">
        <v>3991</v>
      </c>
      <c r="AU428" s="1">
        <v>2016.0</v>
      </c>
      <c r="AV428" s="1">
        <v>4.0</v>
      </c>
      <c r="AW428" s="1" t="s">
        <v>74</v>
      </c>
      <c r="AX428" s="1" t="s">
        <v>74</v>
      </c>
      <c r="AY428" s="1" t="s">
        <v>74</v>
      </c>
      <c r="AZ428" s="1" t="s">
        <v>74</v>
      </c>
      <c r="BA428" s="1" t="s">
        <v>74</v>
      </c>
      <c r="BB428" s="1" t="s">
        <v>74</v>
      </c>
      <c r="BC428" s="1" t="s">
        <v>74</v>
      </c>
      <c r="BD428" s="1">
        <v>5.0</v>
      </c>
      <c r="BE428" s="1" t="s">
        <v>3992</v>
      </c>
      <c r="BF428" s="2" t="str">
        <f>HYPERLINK("http://dx.doi.org/10.3389/fbioe.2016.00005","http://dx.doi.org/10.3389/fbioe.2016.00005")</f>
        <v>http://dx.doi.org/10.3389/fbioe.2016.00005</v>
      </c>
      <c r="BG428" s="1" t="s">
        <v>74</v>
      </c>
      <c r="BH428" s="1" t="s">
        <v>74</v>
      </c>
      <c r="BI428" s="1" t="s">
        <v>74</v>
      </c>
      <c r="BJ428" s="1" t="s">
        <v>74</v>
      </c>
      <c r="BK428" s="1" t="s">
        <v>74</v>
      </c>
      <c r="BL428" s="1" t="s">
        <v>74</v>
      </c>
      <c r="BM428" s="1" t="s">
        <v>74</v>
      </c>
      <c r="BN428" s="1">
        <v>2.6973832E7</v>
      </c>
      <c r="BO428" s="1" t="s">
        <v>74</v>
      </c>
      <c r="BP428" s="1" t="s">
        <v>74</v>
      </c>
      <c r="BQ428" s="1" t="s">
        <v>74</v>
      </c>
      <c r="BR428" s="1" t="s">
        <v>74</v>
      </c>
      <c r="BS428" s="1" t="s">
        <v>3993</v>
      </c>
      <c r="BT428" s="1" t="str">
        <f>HYPERLINK("https%3A%2F%2Fwww.webofscience.com%2Fwos%2Fwoscc%2Ffull-record%2FWOS:000390187100001","View Full Record in Web of Science")</f>
        <v>View Full Record in Web of Science</v>
      </c>
    </row>
    <row r="429" ht="12.75" customHeight="1">
      <c r="A429" s="1" t="s">
        <v>241</v>
      </c>
      <c r="B429" s="1" t="s">
        <v>3994</v>
      </c>
      <c r="C429" s="1" t="s">
        <v>74</v>
      </c>
      <c r="D429" s="1" t="s">
        <v>3995</v>
      </c>
      <c r="E429" s="1" t="s">
        <v>74</v>
      </c>
      <c r="F429" s="1" t="s">
        <v>3996</v>
      </c>
      <c r="G429" s="1" t="s">
        <v>74</v>
      </c>
      <c r="H429" s="1" t="s">
        <v>74</v>
      </c>
      <c r="I429" s="1" t="s">
        <v>3997</v>
      </c>
      <c r="J429" s="1" t="s">
        <v>3998</v>
      </c>
      <c r="K429" s="1" t="s">
        <v>3999</v>
      </c>
      <c r="L429" s="1" t="s">
        <v>74</v>
      </c>
      <c r="M429" s="1" t="s">
        <v>74</v>
      </c>
      <c r="N429" s="1" t="s">
        <v>74</v>
      </c>
      <c r="O429" s="1" t="s">
        <v>4000</v>
      </c>
      <c r="P429" s="1" t="s">
        <v>4001</v>
      </c>
      <c r="Q429" s="1" t="s">
        <v>4002</v>
      </c>
      <c r="R429" s="1" t="s">
        <v>4003</v>
      </c>
      <c r="S429" s="1" t="s">
        <v>74</v>
      </c>
      <c r="T429" s="1" t="s">
        <v>74</v>
      </c>
      <c r="U429" s="1" t="s">
        <v>74</v>
      </c>
      <c r="V429" s="1" t="s">
        <v>4004</v>
      </c>
      <c r="W429" s="1" t="s">
        <v>74</v>
      </c>
      <c r="X429" s="1" t="s">
        <v>74</v>
      </c>
      <c r="Y429" s="1" t="s">
        <v>74</v>
      </c>
      <c r="Z429" s="1" t="s">
        <v>74</v>
      </c>
      <c r="AA429" s="1" t="s">
        <v>4005</v>
      </c>
      <c r="AB429" s="1" t="s">
        <v>4006</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4007</v>
      </c>
      <c r="AP429" s="1" t="s">
        <v>4008</v>
      </c>
      <c r="AQ429" s="1" t="s">
        <v>4009</v>
      </c>
      <c r="AR429" s="1" t="s">
        <v>74</v>
      </c>
      <c r="AS429" s="1" t="s">
        <v>74</v>
      </c>
      <c r="AT429" s="1" t="s">
        <v>74</v>
      </c>
      <c r="AU429" s="1">
        <v>2016.0</v>
      </c>
      <c r="AV429" s="1">
        <v>9574.0</v>
      </c>
      <c r="AW429" s="1" t="s">
        <v>74</v>
      </c>
      <c r="AX429" s="1" t="s">
        <v>74</v>
      </c>
      <c r="AY429" s="1" t="s">
        <v>74</v>
      </c>
      <c r="AZ429" s="1" t="s">
        <v>74</v>
      </c>
      <c r="BA429" s="1" t="s">
        <v>74</v>
      </c>
      <c r="BB429" s="1">
        <v>210.0</v>
      </c>
      <c r="BC429" s="1">
        <v>220.0</v>
      </c>
      <c r="BD429" s="1" t="s">
        <v>74</v>
      </c>
      <c r="BE429" s="1" t="s">
        <v>4010</v>
      </c>
      <c r="BF429" s="2" t="str">
        <f>HYPERLINK("http://dx.doi.org/10.1007/978-3-319-32152-3_20","http://dx.doi.org/10.1007/978-3-319-32152-3_20")</f>
        <v>http://dx.doi.org/10.1007/978-3-319-32152-3_20</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4011</v>
      </c>
      <c r="BT429" s="1" t="str">
        <f>HYPERLINK("https%3A%2F%2Fwww.webofscience.com%2Fwos%2Fwoscc%2Ffull-record%2FWOS:000400135500020","View Full Record in Web of Science")</f>
        <v>View Full Record in Web of Science</v>
      </c>
    </row>
    <row r="430" ht="12.75" customHeight="1">
      <c r="A430" s="1" t="s">
        <v>72</v>
      </c>
      <c r="B430" s="1" t="s">
        <v>4012</v>
      </c>
      <c r="C430" s="1" t="s">
        <v>74</v>
      </c>
      <c r="D430" s="1" t="s">
        <v>74</v>
      </c>
      <c r="E430" s="1" t="s">
        <v>74</v>
      </c>
      <c r="F430" s="1" t="s">
        <v>4013</v>
      </c>
      <c r="G430" s="1" t="s">
        <v>74</v>
      </c>
      <c r="H430" s="1" t="s">
        <v>74</v>
      </c>
      <c r="I430" s="1" t="s">
        <v>4014</v>
      </c>
      <c r="J430" s="1" t="s">
        <v>2023</v>
      </c>
      <c r="K430" s="1" t="s">
        <v>74</v>
      </c>
      <c r="L430" s="1" t="s">
        <v>74</v>
      </c>
      <c r="M430" s="1" t="s">
        <v>74</v>
      </c>
      <c r="N430" s="1" t="s">
        <v>74</v>
      </c>
      <c r="O430" s="1" t="s">
        <v>74</v>
      </c>
      <c r="P430" s="1" t="s">
        <v>74</v>
      </c>
      <c r="Q430" s="1" t="s">
        <v>74</v>
      </c>
      <c r="R430" s="1" t="s">
        <v>74</v>
      </c>
      <c r="S430" s="1" t="s">
        <v>74</v>
      </c>
      <c r="T430" s="1" t="s">
        <v>74</v>
      </c>
      <c r="U430" s="1" t="s">
        <v>74</v>
      </c>
      <c r="V430" s="1" t="s">
        <v>4015</v>
      </c>
      <c r="W430" s="1" t="s">
        <v>74</v>
      </c>
      <c r="X430" s="1" t="s">
        <v>74</v>
      </c>
      <c r="Y430" s="1" t="s">
        <v>74</v>
      </c>
      <c r="Z430" s="1" t="s">
        <v>74</v>
      </c>
      <c r="AA430" s="1" t="s">
        <v>4016</v>
      </c>
      <c r="AB430" s="1" t="s">
        <v>2587</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2027</v>
      </c>
      <c r="AP430" s="1" t="s">
        <v>74</v>
      </c>
      <c r="AQ430" s="1" t="s">
        <v>74</v>
      </c>
      <c r="AR430" s="1" t="s">
        <v>74</v>
      </c>
      <c r="AS430" s="1" t="s">
        <v>74</v>
      </c>
      <c r="AT430" s="1" t="s">
        <v>501</v>
      </c>
      <c r="AU430" s="1">
        <v>2015.0</v>
      </c>
      <c r="AV430" s="1">
        <v>20.0</v>
      </c>
      <c r="AW430" s="1">
        <v>11.0</v>
      </c>
      <c r="AX430" s="1" t="s">
        <v>74</v>
      </c>
      <c r="AY430" s="1" t="s">
        <v>74</v>
      </c>
      <c r="AZ430" s="1" t="s">
        <v>74</v>
      </c>
      <c r="BA430" s="1" t="s">
        <v>74</v>
      </c>
      <c r="BB430" s="1">
        <v>20391.0</v>
      </c>
      <c r="BC430" s="1">
        <v>20396.0</v>
      </c>
      <c r="BD430" s="1" t="s">
        <v>74</v>
      </c>
      <c r="BE430" s="1" t="s">
        <v>4017</v>
      </c>
      <c r="BF430" s="2" t="str">
        <f>HYPERLINK("http://dx.doi.org/10.3390/molecules201119704","http://dx.doi.org/10.3390/molecules201119704")</f>
        <v>http://dx.doi.org/10.3390/molecules201119704</v>
      </c>
      <c r="BG430" s="1" t="s">
        <v>74</v>
      </c>
      <c r="BH430" s="1" t="s">
        <v>74</v>
      </c>
      <c r="BI430" s="1" t="s">
        <v>74</v>
      </c>
      <c r="BJ430" s="1" t="s">
        <v>74</v>
      </c>
      <c r="BK430" s="1" t="s">
        <v>74</v>
      </c>
      <c r="BL430" s="1" t="s">
        <v>74</v>
      </c>
      <c r="BM430" s="1" t="s">
        <v>74</v>
      </c>
      <c r="BN430" s="1">
        <v>2.6580587E7</v>
      </c>
      <c r="BO430" s="1" t="s">
        <v>74</v>
      </c>
      <c r="BP430" s="1" t="s">
        <v>74</v>
      </c>
      <c r="BQ430" s="1" t="s">
        <v>74</v>
      </c>
      <c r="BR430" s="1" t="s">
        <v>74</v>
      </c>
      <c r="BS430" s="1" t="s">
        <v>4018</v>
      </c>
      <c r="BT430" s="1" t="str">
        <f>HYPERLINK("https%3A%2F%2Fwww.webofscience.com%2Fwos%2Fwoscc%2Ffull-record%2FWOS:000365925200010","View Full Record in Web of Science")</f>
        <v>View Full Record in Web of Science</v>
      </c>
    </row>
    <row r="431" ht="12.75" customHeight="1">
      <c r="A431" s="1" t="s">
        <v>72</v>
      </c>
      <c r="B431" s="1" t="s">
        <v>4019</v>
      </c>
      <c r="C431" s="1" t="s">
        <v>74</v>
      </c>
      <c r="D431" s="1" t="s">
        <v>74</v>
      </c>
      <c r="E431" s="1" t="s">
        <v>74</v>
      </c>
      <c r="F431" s="1" t="s">
        <v>4020</v>
      </c>
      <c r="G431" s="1" t="s">
        <v>74</v>
      </c>
      <c r="H431" s="1" t="s">
        <v>74</v>
      </c>
      <c r="I431" s="1" t="s">
        <v>4021</v>
      </c>
      <c r="J431" s="1" t="s">
        <v>3971</v>
      </c>
      <c r="K431" s="1" t="s">
        <v>74</v>
      </c>
      <c r="L431" s="1" t="s">
        <v>74</v>
      </c>
      <c r="M431" s="1" t="s">
        <v>74</v>
      </c>
      <c r="N431" s="1" t="s">
        <v>74</v>
      </c>
      <c r="O431" s="1" t="s">
        <v>74</v>
      </c>
      <c r="P431" s="1" t="s">
        <v>74</v>
      </c>
      <c r="Q431" s="1" t="s">
        <v>74</v>
      </c>
      <c r="R431" s="1" t="s">
        <v>74</v>
      </c>
      <c r="S431" s="1" t="s">
        <v>74</v>
      </c>
      <c r="T431" s="1" t="s">
        <v>74</v>
      </c>
      <c r="U431" s="1" t="s">
        <v>74</v>
      </c>
      <c r="V431" s="1" t="s">
        <v>4022</v>
      </c>
      <c r="W431" s="1" t="s">
        <v>74</v>
      </c>
      <c r="X431" s="1" t="s">
        <v>74</v>
      </c>
      <c r="Y431" s="1" t="s">
        <v>74</v>
      </c>
      <c r="Z431" s="1" t="s">
        <v>74</v>
      </c>
      <c r="AA431" s="1" t="s">
        <v>4023</v>
      </c>
      <c r="AB431" s="1" t="s">
        <v>4024</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3975</v>
      </c>
      <c r="AP431" s="1" t="s">
        <v>3976</v>
      </c>
      <c r="AQ431" s="1" t="s">
        <v>74</v>
      </c>
      <c r="AR431" s="1" t="s">
        <v>74</v>
      </c>
      <c r="AS431" s="1" t="s">
        <v>74</v>
      </c>
      <c r="AT431" s="1" t="s">
        <v>183</v>
      </c>
      <c r="AU431" s="1">
        <v>2015.0</v>
      </c>
      <c r="AV431" s="1">
        <v>107.0</v>
      </c>
      <c r="AW431" s="1">
        <v>5.0</v>
      </c>
      <c r="AX431" s="1" t="s">
        <v>74</v>
      </c>
      <c r="AY431" s="1" t="s">
        <v>74</v>
      </c>
      <c r="AZ431" s="1" t="s">
        <v>74</v>
      </c>
      <c r="BA431" s="1" t="s">
        <v>74</v>
      </c>
      <c r="BB431" s="1">
        <v>1217.0</v>
      </c>
      <c r="BC431" s="1">
        <v>1223.0</v>
      </c>
      <c r="BD431" s="1" t="s">
        <v>74</v>
      </c>
      <c r="BE431" s="1" t="s">
        <v>4025</v>
      </c>
      <c r="BF431" s="2" t="str">
        <f>HYPERLINK("http://dx.doi.org/10.1007/s10482-015-0413-7","http://dx.doi.org/10.1007/s10482-015-0413-7")</f>
        <v>http://dx.doi.org/10.1007/s10482-015-0413-7</v>
      </c>
      <c r="BG431" s="1" t="s">
        <v>74</v>
      </c>
      <c r="BH431" s="1" t="s">
        <v>74</v>
      </c>
      <c r="BI431" s="1" t="s">
        <v>74</v>
      </c>
      <c r="BJ431" s="1" t="s">
        <v>74</v>
      </c>
      <c r="BK431" s="1" t="s">
        <v>74</v>
      </c>
      <c r="BL431" s="1" t="s">
        <v>74</v>
      </c>
      <c r="BM431" s="1" t="s">
        <v>74</v>
      </c>
      <c r="BN431" s="1">
        <v>2.573174E7</v>
      </c>
      <c r="BO431" s="1" t="s">
        <v>74</v>
      </c>
      <c r="BP431" s="1" t="s">
        <v>74</v>
      </c>
      <c r="BQ431" s="1" t="s">
        <v>74</v>
      </c>
      <c r="BR431" s="1" t="s">
        <v>74</v>
      </c>
      <c r="BS431" s="1" t="s">
        <v>4026</v>
      </c>
      <c r="BT431" s="1" t="str">
        <f>HYPERLINK("https%3A%2F%2Fwww.webofscience.com%2Fwos%2Fwoscc%2Ffull-record%2FWOS:000352435800011","View Full Record in Web of Science")</f>
        <v>View Full Record in Web of Science</v>
      </c>
    </row>
    <row r="432" ht="12.75" customHeight="1">
      <c r="A432" s="1" t="s">
        <v>241</v>
      </c>
      <c r="B432" s="1" t="s">
        <v>4027</v>
      </c>
      <c r="C432" s="1" t="s">
        <v>74</v>
      </c>
      <c r="D432" s="1" t="s">
        <v>74</v>
      </c>
      <c r="E432" s="1" t="s">
        <v>814</v>
      </c>
      <c r="F432" s="1" t="s">
        <v>4028</v>
      </c>
      <c r="G432" s="1" t="s">
        <v>74</v>
      </c>
      <c r="H432" s="1" t="s">
        <v>74</v>
      </c>
      <c r="I432" s="1" t="s">
        <v>4029</v>
      </c>
      <c r="J432" s="1" t="s">
        <v>4030</v>
      </c>
      <c r="K432" s="1" t="s">
        <v>74</v>
      </c>
      <c r="L432" s="1" t="s">
        <v>74</v>
      </c>
      <c r="M432" s="1" t="s">
        <v>74</v>
      </c>
      <c r="N432" s="1" t="s">
        <v>74</v>
      </c>
      <c r="O432" s="1" t="s">
        <v>4031</v>
      </c>
      <c r="P432" s="1" t="s">
        <v>4032</v>
      </c>
      <c r="Q432" s="1" t="s">
        <v>4033</v>
      </c>
      <c r="R432" s="1" t="s">
        <v>814</v>
      </c>
      <c r="S432" s="1" t="s">
        <v>74</v>
      </c>
      <c r="T432" s="1" t="s">
        <v>74</v>
      </c>
      <c r="U432" s="1" t="s">
        <v>74</v>
      </c>
      <c r="V432" s="1" t="s">
        <v>4034</v>
      </c>
      <c r="W432" s="1" t="s">
        <v>74</v>
      </c>
      <c r="X432" s="1" t="s">
        <v>74</v>
      </c>
      <c r="Y432" s="1" t="s">
        <v>74</v>
      </c>
      <c r="Z432" s="1" t="s">
        <v>74</v>
      </c>
      <c r="AA432" s="1" t="s">
        <v>74</v>
      </c>
      <c r="AB432" s="1" t="s">
        <v>74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74</v>
      </c>
      <c r="AP432" s="1" t="s">
        <v>74</v>
      </c>
      <c r="AQ432" s="1" t="s">
        <v>4035</v>
      </c>
      <c r="AR432" s="1" t="s">
        <v>74</v>
      </c>
      <c r="AS432" s="1" t="s">
        <v>74</v>
      </c>
      <c r="AT432" s="1" t="s">
        <v>74</v>
      </c>
      <c r="AU432" s="1">
        <v>2015.0</v>
      </c>
      <c r="AV432" s="1" t="s">
        <v>74</v>
      </c>
      <c r="AW432" s="1" t="s">
        <v>74</v>
      </c>
      <c r="AX432" s="1" t="s">
        <v>74</v>
      </c>
      <c r="AY432" s="1" t="s">
        <v>74</v>
      </c>
      <c r="AZ432" s="1" t="s">
        <v>74</v>
      </c>
      <c r="BA432" s="1" t="s">
        <v>74</v>
      </c>
      <c r="BB432" s="1" t="s">
        <v>74</v>
      </c>
      <c r="BC432" s="1" t="s">
        <v>74</v>
      </c>
      <c r="BD432" s="1" t="s">
        <v>4036</v>
      </c>
      <c r="BE432" s="1" t="s">
        <v>74</v>
      </c>
      <c r="BF432" s="1" t="s">
        <v>74</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4037</v>
      </c>
      <c r="BT432" s="1" t="str">
        <f>HYPERLINK("https%3A%2F%2Fwww.webofscience.com%2Fwos%2Fwoscc%2Ffull-record%2FWOS:000377555200032","View Full Record in Web of Science")</f>
        <v>View Full Record in Web of Science</v>
      </c>
    </row>
    <row r="433" ht="12.75" customHeight="1">
      <c r="A433" s="1" t="s">
        <v>72</v>
      </c>
      <c r="B433" s="1" t="s">
        <v>4038</v>
      </c>
      <c r="C433" s="1" t="s">
        <v>74</v>
      </c>
      <c r="D433" s="1" t="s">
        <v>74</v>
      </c>
      <c r="E433" s="1" t="s">
        <v>74</v>
      </c>
      <c r="F433" s="1" t="s">
        <v>4039</v>
      </c>
      <c r="G433" s="1" t="s">
        <v>74</v>
      </c>
      <c r="H433" s="1" t="s">
        <v>74</v>
      </c>
      <c r="I433" s="1" t="s">
        <v>4040</v>
      </c>
      <c r="J433" s="1" t="s">
        <v>280</v>
      </c>
      <c r="K433" s="1" t="s">
        <v>74</v>
      </c>
      <c r="L433" s="1" t="s">
        <v>74</v>
      </c>
      <c r="M433" s="1" t="s">
        <v>74</v>
      </c>
      <c r="N433" s="1" t="s">
        <v>74</v>
      </c>
      <c r="O433" s="1" t="s">
        <v>74</v>
      </c>
      <c r="P433" s="1" t="s">
        <v>74</v>
      </c>
      <c r="Q433" s="1" t="s">
        <v>74</v>
      </c>
      <c r="R433" s="1" t="s">
        <v>74</v>
      </c>
      <c r="S433" s="1" t="s">
        <v>74</v>
      </c>
      <c r="T433" s="1" t="s">
        <v>74</v>
      </c>
      <c r="U433" s="1" t="s">
        <v>74</v>
      </c>
      <c r="V433" s="1" t="s">
        <v>4041</v>
      </c>
      <c r="W433" s="1" t="s">
        <v>74</v>
      </c>
      <c r="X433" s="1" t="s">
        <v>74</v>
      </c>
      <c r="Y433" s="1" t="s">
        <v>74</v>
      </c>
      <c r="Z433" s="1" t="s">
        <v>74</v>
      </c>
      <c r="AA433" s="1" t="s">
        <v>4042</v>
      </c>
      <c r="AB433" s="1" t="s">
        <v>4043</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283</v>
      </c>
      <c r="AP433" s="1" t="s">
        <v>74</v>
      </c>
      <c r="AQ433" s="1" t="s">
        <v>74</v>
      </c>
      <c r="AR433" s="1" t="s">
        <v>74</v>
      </c>
      <c r="AS433" s="1" t="s">
        <v>74</v>
      </c>
      <c r="AT433" s="1" t="s">
        <v>160</v>
      </c>
      <c r="AU433" s="1">
        <v>2013.0</v>
      </c>
      <c r="AV433" s="1">
        <v>58.0</v>
      </c>
      <c r="AW433" s="1">
        <v>4.0</v>
      </c>
      <c r="AX433" s="1" t="s">
        <v>74</v>
      </c>
      <c r="AY433" s="1" t="s">
        <v>74</v>
      </c>
      <c r="AZ433" s="1" t="s">
        <v>74</v>
      </c>
      <c r="BA433" s="1" t="s">
        <v>74</v>
      </c>
      <c r="BB433" s="1">
        <v>2082.0</v>
      </c>
      <c r="BC433" s="1">
        <v>2086.0</v>
      </c>
      <c r="BD433" s="1" t="s">
        <v>74</v>
      </c>
      <c r="BE433" s="1" t="s">
        <v>4044</v>
      </c>
      <c r="BF433" s="2" t="str">
        <f>HYPERLINK("http://dx.doi.org/10.4067/S0717-97072013000400039","http://dx.doi.org/10.4067/S0717-97072013000400039")</f>
        <v>http://dx.doi.org/10.4067/S0717-97072013000400039</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4045</v>
      </c>
      <c r="BT433" s="1" t="str">
        <f>HYPERLINK("https%3A%2F%2Fwww.webofscience.com%2Fwos%2Fwoscc%2Ffull-record%2FWOS:000331238800035","View Full Record in Web of Science")</f>
        <v>View Full Record in Web of Science</v>
      </c>
    </row>
    <row r="434" ht="12.75" customHeight="1">
      <c r="A434" s="1" t="s">
        <v>72</v>
      </c>
      <c r="B434" s="1" t="s">
        <v>4046</v>
      </c>
      <c r="C434" s="1" t="s">
        <v>74</v>
      </c>
      <c r="D434" s="1" t="s">
        <v>74</v>
      </c>
      <c r="E434" s="1" t="s">
        <v>74</v>
      </c>
      <c r="F434" s="1" t="s">
        <v>4047</v>
      </c>
      <c r="G434" s="1" t="s">
        <v>74</v>
      </c>
      <c r="H434" s="1" t="s">
        <v>74</v>
      </c>
      <c r="I434" s="1" t="s">
        <v>4048</v>
      </c>
      <c r="J434" s="1" t="s">
        <v>2872</v>
      </c>
      <c r="K434" s="1" t="s">
        <v>74</v>
      </c>
      <c r="L434" s="1" t="s">
        <v>74</v>
      </c>
      <c r="M434" s="1" t="s">
        <v>74</v>
      </c>
      <c r="N434" s="1" t="s">
        <v>74</v>
      </c>
      <c r="O434" s="1" t="s">
        <v>74</v>
      </c>
      <c r="P434" s="1" t="s">
        <v>74</v>
      </c>
      <c r="Q434" s="1" t="s">
        <v>74</v>
      </c>
      <c r="R434" s="1" t="s">
        <v>74</v>
      </c>
      <c r="S434" s="1" t="s">
        <v>74</v>
      </c>
      <c r="T434" s="1" t="s">
        <v>74</v>
      </c>
      <c r="U434" s="1" t="s">
        <v>74</v>
      </c>
      <c r="V434" s="1" t="s">
        <v>4049</v>
      </c>
      <c r="W434" s="1" t="s">
        <v>74</v>
      </c>
      <c r="X434" s="1" t="s">
        <v>74</v>
      </c>
      <c r="Y434" s="1" t="s">
        <v>74</v>
      </c>
      <c r="Z434" s="1" t="s">
        <v>74</v>
      </c>
      <c r="AA434" s="1" t="s">
        <v>2874</v>
      </c>
      <c r="AB434" s="1" t="s">
        <v>2875</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2876</v>
      </c>
      <c r="AP434" s="1" t="s">
        <v>74</v>
      </c>
      <c r="AQ434" s="1" t="s">
        <v>74</v>
      </c>
      <c r="AR434" s="1" t="s">
        <v>74</v>
      </c>
      <c r="AS434" s="1" t="s">
        <v>74</v>
      </c>
      <c r="AT434" s="1" t="s">
        <v>319</v>
      </c>
      <c r="AU434" s="1">
        <v>2013.0</v>
      </c>
      <c r="AV434" s="1">
        <v>31.0</v>
      </c>
      <c r="AW434" s="1">
        <v>1.0</v>
      </c>
      <c r="AX434" s="1" t="s">
        <v>74</v>
      </c>
      <c r="AY434" s="1" t="s">
        <v>74</v>
      </c>
      <c r="AZ434" s="1" t="s">
        <v>74</v>
      </c>
      <c r="BA434" s="1" t="s">
        <v>74</v>
      </c>
      <c r="BB434" s="1">
        <v>70.0</v>
      </c>
      <c r="BC434" s="1">
        <v>74.0</v>
      </c>
      <c r="BD434" s="1" t="s">
        <v>74</v>
      </c>
      <c r="BE434" s="1" t="s">
        <v>4050</v>
      </c>
      <c r="BF434" s="2" t="str">
        <f>HYPERLINK("http://dx.doi.org/10.4067/S0717-95022013000100010","http://dx.doi.org/10.4067/S0717-95022013000100010")</f>
        <v>http://dx.doi.org/10.4067/S0717-95022013000100010</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4051</v>
      </c>
      <c r="BT434" s="1" t="str">
        <f>HYPERLINK("https%3A%2F%2Fwww.webofscience.com%2Fwos%2Fwoscc%2Ffull-record%2FWOS:000321868400010","View Full Record in Web of Science")</f>
        <v>View Full Record in Web of Science</v>
      </c>
    </row>
    <row r="435" ht="12.75" customHeight="1">
      <c r="A435" s="1" t="s">
        <v>72</v>
      </c>
      <c r="B435" s="1" t="s">
        <v>4052</v>
      </c>
      <c r="C435" s="1" t="s">
        <v>74</v>
      </c>
      <c r="D435" s="1" t="s">
        <v>74</v>
      </c>
      <c r="E435" s="1" t="s">
        <v>74</v>
      </c>
      <c r="F435" s="1" t="s">
        <v>4052</v>
      </c>
      <c r="G435" s="1" t="s">
        <v>74</v>
      </c>
      <c r="H435" s="1" t="s">
        <v>74</v>
      </c>
      <c r="I435" s="1" t="s">
        <v>4053</v>
      </c>
      <c r="J435" s="1" t="s">
        <v>4054</v>
      </c>
      <c r="K435" s="1" t="s">
        <v>74</v>
      </c>
      <c r="L435" s="1" t="s">
        <v>74</v>
      </c>
      <c r="M435" s="1" t="s">
        <v>74</v>
      </c>
      <c r="N435" s="1" t="s">
        <v>74</v>
      </c>
      <c r="O435" s="1" t="s">
        <v>74</v>
      </c>
      <c r="P435" s="1" t="s">
        <v>74</v>
      </c>
      <c r="Q435" s="1" t="s">
        <v>74</v>
      </c>
      <c r="R435" s="1" t="s">
        <v>74</v>
      </c>
      <c r="S435" s="1" t="s">
        <v>74</v>
      </c>
      <c r="T435" s="1" t="s">
        <v>74</v>
      </c>
      <c r="U435" s="1" t="s">
        <v>74</v>
      </c>
      <c r="V435" s="1" t="s">
        <v>4055</v>
      </c>
      <c r="W435" s="1" t="s">
        <v>74</v>
      </c>
      <c r="X435" s="1" t="s">
        <v>74</v>
      </c>
      <c r="Y435" s="1" t="s">
        <v>74</v>
      </c>
      <c r="Z435" s="1" t="s">
        <v>74</v>
      </c>
      <c r="AA435" s="1" t="s">
        <v>4056</v>
      </c>
      <c r="AB435" s="1" t="s">
        <v>1876</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4057</v>
      </c>
      <c r="AP435" s="1" t="s">
        <v>74</v>
      </c>
      <c r="AQ435" s="1" t="s">
        <v>74</v>
      </c>
      <c r="AR435" s="1" t="s">
        <v>74</v>
      </c>
      <c r="AS435" s="1" t="s">
        <v>74</v>
      </c>
      <c r="AT435" s="1" t="s">
        <v>4058</v>
      </c>
      <c r="AU435" s="1">
        <v>2004.0</v>
      </c>
      <c r="AV435" s="1">
        <v>93.0</v>
      </c>
      <c r="AW435" s="1">
        <v>25.0</v>
      </c>
      <c r="AX435" s="1" t="s">
        <v>74</v>
      </c>
      <c r="AY435" s="1" t="s">
        <v>74</v>
      </c>
      <c r="AZ435" s="1" t="s">
        <v>74</v>
      </c>
      <c r="BA435" s="1" t="s">
        <v>74</v>
      </c>
      <c r="BB435" s="1" t="s">
        <v>74</v>
      </c>
      <c r="BC435" s="1" t="s">
        <v>74</v>
      </c>
      <c r="BD435" s="1">
        <v>258001.0</v>
      </c>
      <c r="BE435" s="1" t="s">
        <v>4059</v>
      </c>
      <c r="BF435" s="2" t="str">
        <f>HYPERLINK("http://dx.doi.org/10.1103/PhysRevLett.93.258001","http://dx.doi.org/10.1103/PhysRevLett.93.258001")</f>
        <v>http://dx.doi.org/10.1103/PhysRevLett.93.258001</v>
      </c>
      <c r="BG435" s="1" t="s">
        <v>74</v>
      </c>
      <c r="BH435" s="1" t="s">
        <v>74</v>
      </c>
      <c r="BI435" s="1" t="s">
        <v>74</v>
      </c>
      <c r="BJ435" s="1" t="s">
        <v>74</v>
      </c>
      <c r="BK435" s="1" t="s">
        <v>74</v>
      </c>
      <c r="BL435" s="1" t="s">
        <v>74</v>
      </c>
      <c r="BM435" s="1" t="s">
        <v>74</v>
      </c>
      <c r="BN435" s="1">
        <v>1.5697947E7</v>
      </c>
      <c r="BO435" s="1" t="s">
        <v>74</v>
      </c>
      <c r="BP435" s="1" t="s">
        <v>74</v>
      </c>
      <c r="BQ435" s="1" t="s">
        <v>74</v>
      </c>
      <c r="BR435" s="1" t="s">
        <v>74</v>
      </c>
      <c r="BS435" s="1" t="s">
        <v>4060</v>
      </c>
      <c r="BT435" s="1" t="str">
        <f>HYPERLINK("https%3A%2F%2Fwww.webofscience.com%2Fwos%2Fwoscc%2Ffull-record%2FWOS:000225785200073","View Full Record in Web of Science")</f>
        <v>View Full Record in Web of Science</v>
      </c>
    </row>
    <row r="436" ht="12.75" customHeight="1">
      <c r="A436" s="1" t="s">
        <v>72</v>
      </c>
      <c r="B436" s="1" t="s">
        <v>4061</v>
      </c>
      <c r="C436" s="1" t="s">
        <v>74</v>
      </c>
      <c r="D436" s="1" t="s">
        <v>74</v>
      </c>
      <c r="E436" s="1" t="s">
        <v>74</v>
      </c>
      <c r="F436" s="1" t="s">
        <v>4061</v>
      </c>
      <c r="G436" s="1" t="s">
        <v>74</v>
      </c>
      <c r="H436" s="1" t="s">
        <v>74</v>
      </c>
      <c r="I436" s="1" t="s">
        <v>4062</v>
      </c>
      <c r="J436" s="1" t="s">
        <v>1920</v>
      </c>
      <c r="K436" s="1" t="s">
        <v>74</v>
      </c>
      <c r="L436" s="1" t="s">
        <v>74</v>
      </c>
      <c r="M436" s="1" t="s">
        <v>74</v>
      </c>
      <c r="N436" s="1" t="s">
        <v>74</v>
      </c>
      <c r="O436" s="1" t="s">
        <v>74</v>
      </c>
      <c r="P436" s="1" t="s">
        <v>74</v>
      </c>
      <c r="Q436" s="1" t="s">
        <v>74</v>
      </c>
      <c r="R436" s="1" t="s">
        <v>74</v>
      </c>
      <c r="S436" s="1" t="s">
        <v>74</v>
      </c>
      <c r="T436" s="1" t="s">
        <v>74</v>
      </c>
      <c r="U436" s="1" t="s">
        <v>74</v>
      </c>
      <c r="V436" s="1" t="s">
        <v>4063</v>
      </c>
      <c r="W436" s="1" t="s">
        <v>74</v>
      </c>
      <c r="X436" s="1" t="s">
        <v>74</v>
      </c>
      <c r="Y436" s="1" t="s">
        <v>74</v>
      </c>
      <c r="Z436" s="1" t="s">
        <v>74</v>
      </c>
      <c r="AA436" s="1" t="s">
        <v>146</v>
      </c>
      <c r="AB436" s="1" t="s">
        <v>4064</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1922</v>
      </c>
      <c r="AP436" s="1" t="s">
        <v>74</v>
      </c>
      <c r="AQ436" s="1" t="s">
        <v>74</v>
      </c>
      <c r="AR436" s="1" t="s">
        <v>74</v>
      </c>
      <c r="AS436" s="1" t="s">
        <v>74</v>
      </c>
      <c r="AT436" s="1" t="s">
        <v>74</v>
      </c>
      <c r="AU436" s="1">
        <v>2001.0</v>
      </c>
      <c r="AV436" s="1">
        <v>31.0</v>
      </c>
      <c r="AW436" s="1">
        <v>23.0</v>
      </c>
      <c r="AX436" s="1" t="s">
        <v>74</v>
      </c>
      <c r="AY436" s="1" t="s">
        <v>74</v>
      </c>
      <c r="AZ436" s="1" t="s">
        <v>74</v>
      </c>
      <c r="BA436" s="1" t="s">
        <v>74</v>
      </c>
      <c r="BB436" s="1">
        <v>3699.0</v>
      </c>
      <c r="BC436" s="1">
        <v>3705.0</v>
      </c>
      <c r="BD436" s="1" t="s">
        <v>74</v>
      </c>
      <c r="BE436" s="1" t="s">
        <v>4065</v>
      </c>
      <c r="BF436" s="2" t="str">
        <f>HYPERLINK("http://dx.doi.org/10.1081/SCC-100107020","http://dx.doi.org/10.1081/SCC-100107020")</f>
        <v>http://dx.doi.org/10.1081/SCC-100107020</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4066</v>
      </c>
      <c r="BT436" s="1" t="str">
        <f>HYPERLINK("https%3A%2F%2Fwww.webofscience.com%2Fwos%2Fwoscc%2Ffull-record%2FWOS:000171792400018","View Full Record in Web of Science")</f>
        <v>View Full Record in Web of Science</v>
      </c>
    </row>
    <row r="437" ht="12.75" customHeight="1">
      <c r="A437" s="1" t="s">
        <v>72</v>
      </c>
      <c r="B437" s="1" t="s">
        <v>4067</v>
      </c>
      <c r="C437" s="1" t="s">
        <v>74</v>
      </c>
      <c r="D437" s="1" t="s">
        <v>74</v>
      </c>
      <c r="E437" s="1" t="s">
        <v>74</v>
      </c>
      <c r="F437" s="1" t="s">
        <v>4067</v>
      </c>
      <c r="G437" s="1" t="s">
        <v>74</v>
      </c>
      <c r="H437" s="1" t="s">
        <v>74</v>
      </c>
      <c r="I437" s="1" t="s">
        <v>4068</v>
      </c>
      <c r="J437" s="1" t="s">
        <v>1282</v>
      </c>
      <c r="K437" s="1" t="s">
        <v>74</v>
      </c>
      <c r="L437" s="1" t="s">
        <v>74</v>
      </c>
      <c r="M437" s="1" t="s">
        <v>74</v>
      </c>
      <c r="N437" s="1" t="s">
        <v>74</v>
      </c>
      <c r="O437" s="1" t="s">
        <v>74</v>
      </c>
      <c r="P437" s="1" t="s">
        <v>74</v>
      </c>
      <c r="Q437" s="1" t="s">
        <v>74</v>
      </c>
      <c r="R437" s="1" t="s">
        <v>74</v>
      </c>
      <c r="S437" s="1" t="s">
        <v>74</v>
      </c>
      <c r="T437" s="1" t="s">
        <v>74</v>
      </c>
      <c r="U437" s="1" t="s">
        <v>74</v>
      </c>
      <c r="V437" s="1" t="s">
        <v>4069</v>
      </c>
      <c r="W437" s="1" t="s">
        <v>74</v>
      </c>
      <c r="X437" s="1" t="s">
        <v>74</v>
      </c>
      <c r="Y437" s="1" t="s">
        <v>74</v>
      </c>
      <c r="Z437" s="1" t="s">
        <v>74</v>
      </c>
      <c r="AA437" s="1" t="s">
        <v>508</v>
      </c>
      <c r="AB437" s="1" t="s">
        <v>74</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1285</v>
      </c>
      <c r="AP437" s="1" t="s">
        <v>74</v>
      </c>
      <c r="AQ437" s="1" t="s">
        <v>74</v>
      </c>
      <c r="AR437" s="1" t="s">
        <v>74</v>
      </c>
      <c r="AS437" s="1" t="s">
        <v>74</v>
      </c>
      <c r="AT437" s="1" t="s">
        <v>74</v>
      </c>
      <c r="AU437" s="1">
        <v>2000.0</v>
      </c>
      <c r="AV437" s="1">
        <v>34.0</v>
      </c>
      <c r="AW437" s="1">
        <v>7.0</v>
      </c>
      <c r="AX437" s="1" t="s">
        <v>74</v>
      </c>
      <c r="AY437" s="1" t="s">
        <v>74</v>
      </c>
      <c r="AZ437" s="1" t="s">
        <v>74</v>
      </c>
      <c r="BA437" s="1" t="s">
        <v>74</v>
      </c>
      <c r="BB437" s="1">
        <v>1139.0</v>
      </c>
      <c r="BC437" s="1">
        <v>1146.0</v>
      </c>
      <c r="BD437" s="1" t="s">
        <v>74</v>
      </c>
      <c r="BE437" s="1" t="s">
        <v>4070</v>
      </c>
      <c r="BF437" s="2" t="str">
        <f>HYPERLINK("http://dx.doi.org/10.1016/S1352-2310(99)00345-3","http://dx.doi.org/10.1016/S1352-2310(99)00345-3")</f>
        <v>http://dx.doi.org/10.1016/S1352-2310(99)00345-3</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4071</v>
      </c>
      <c r="BT437" s="1" t="str">
        <f>HYPERLINK("https%3A%2F%2Fwww.webofscience.com%2Fwos%2Fwoscc%2Ffull-record%2FWOS:000085562600010","View Full Record in Web of Science")</f>
        <v>View Full Record in Web of Science</v>
      </c>
    </row>
    <row r="438" ht="12.75" customHeight="1">
      <c r="A438" s="1" t="s">
        <v>72</v>
      </c>
      <c r="B438" s="1" t="s">
        <v>4072</v>
      </c>
      <c r="C438" s="1" t="s">
        <v>74</v>
      </c>
      <c r="D438" s="1" t="s">
        <v>74</v>
      </c>
      <c r="E438" s="1" t="s">
        <v>74</v>
      </c>
      <c r="F438" s="1" t="s">
        <v>4073</v>
      </c>
      <c r="G438" s="1" t="s">
        <v>74</v>
      </c>
      <c r="H438" s="1" t="s">
        <v>74</v>
      </c>
      <c r="I438" s="1" t="s">
        <v>4074</v>
      </c>
      <c r="J438" s="1" t="s">
        <v>4075</v>
      </c>
      <c r="K438" s="1" t="s">
        <v>74</v>
      </c>
      <c r="L438" s="1" t="s">
        <v>74</v>
      </c>
      <c r="M438" s="1" t="s">
        <v>74</v>
      </c>
      <c r="N438" s="1" t="s">
        <v>74</v>
      </c>
      <c r="O438" s="1" t="s">
        <v>74</v>
      </c>
      <c r="P438" s="1" t="s">
        <v>74</v>
      </c>
      <c r="Q438" s="1" t="s">
        <v>74</v>
      </c>
      <c r="R438" s="1" t="s">
        <v>74</v>
      </c>
      <c r="S438" s="1" t="s">
        <v>74</v>
      </c>
      <c r="T438" s="1" t="s">
        <v>74</v>
      </c>
      <c r="U438" s="1" t="s">
        <v>74</v>
      </c>
      <c r="V438" s="1" t="s">
        <v>4076</v>
      </c>
      <c r="W438" s="1" t="s">
        <v>74</v>
      </c>
      <c r="X438" s="1" t="s">
        <v>74</v>
      </c>
      <c r="Y438" s="1" t="s">
        <v>74</v>
      </c>
      <c r="Z438" s="1" t="s">
        <v>74</v>
      </c>
      <c r="AA438" s="1" t="s">
        <v>4077</v>
      </c>
      <c r="AB438" s="1" t="s">
        <v>4078</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74</v>
      </c>
      <c r="AP438" s="1" t="s">
        <v>4079</v>
      </c>
      <c r="AQ438" s="1" t="s">
        <v>74</v>
      </c>
      <c r="AR438" s="1" t="s">
        <v>74</v>
      </c>
      <c r="AS438" s="1" t="s">
        <v>74</v>
      </c>
      <c r="AT438" s="1" t="s">
        <v>319</v>
      </c>
      <c r="AU438" s="1">
        <v>2024.0</v>
      </c>
      <c r="AV438" s="1">
        <v>16.0</v>
      </c>
      <c r="AW438" s="1">
        <v>6.0</v>
      </c>
      <c r="AX438" s="1" t="s">
        <v>74</v>
      </c>
      <c r="AY438" s="1" t="s">
        <v>74</v>
      </c>
      <c r="AZ438" s="1" t="s">
        <v>74</v>
      </c>
      <c r="BA438" s="1" t="s">
        <v>74</v>
      </c>
      <c r="BB438" s="1" t="s">
        <v>74</v>
      </c>
      <c r="BC438" s="1" t="s">
        <v>74</v>
      </c>
      <c r="BD438" s="1">
        <v>853.0</v>
      </c>
      <c r="BE438" s="1" t="s">
        <v>4080</v>
      </c>
      <c r="BF438" s="2" t="str">
        <f>HYPERLINK("http://dx.doi.org/10.3390/polym16060853","http://dx.doi.org/10.3390/polym16060853")</f>
        <v>http://dx.doi.org/10.3390/polym16060853</v>
      </c>
      <c r="BG438" s="1" t="s">
        <v>74</v>
      </c>
      <c r="BH438" s="1" t="s">
        <v>74</v>
      </c>
      <c r="BI438" s="1" t="s">
        <v>74</v>
      </c>
      <c r="BJ438" s="1" t="s">
        <v>74</v>
      </c>
      <c r="BK438" s="1" t="s">
        <v>74</v>
      </c>
      <c r="BL438" s="1" t="s">
        <v>74</v>
      </c>
      <c r="BM438" s="1" t="s">
        <v>74</v>
      </c>
      <c r="BN438" s="1">
        <v>3.8543458E7</v>
      </c>
      <c r="BO438" s="1" t="s">
        <v>74</v>
      </c>
      <c r="BP438" s="1" t="s">
        <v>74</v>
      </c>
      <c r="BQ438" s="1" t="s">
        <v>74</v>
      </c>
      <c r="BR438" s="1" t="s">
        <v>74</v>
      </c>
      <c r="BS438" s="1" t="s">
        <v>4081</v>
      </c>
      <c r="BT438" s="1" t="str">
        <f>HYPERLINK("https%3A%2F%2Fwww.webofscience.com%2Fwos%2Fwoscc%2Ffull-record%2FWOS:001193454000001","View Full Record in Web of Science")</f>
        <v>View Full Record in Web of Science</v>
      </c>
    </row>
    <row r="439" ht="12.75" customHeight="1">
      <c r="A439" s="1" t="s">
        <v>72</v>
      </c>
      <c r="B439" s="1" t="s">
        <v>4082</v>
      </c>
      <c r="C439" s="1" t="s">
        <v>74</v>
      </c>
      <c r="D439" s="1" t="s">
        <v>74</v>
      </c>
      <c r="E439" s="1" t="s">
        <v>74</v>
      </c>
      <c r="F439" s="1" t="s">
        <v>4083</v>
      </c>
      <c r="G439" s="1" t="s">
        <v>74</v>
      </c>
      <c r="H439" s="1" t="s">
        <v>74</v>
      </c>
      <c r="I439" s="1" t="s">
        <v>4084</v>
      </c>
      <c r="J439" s="1" t="s">
        <v>1081</v>
      </c>
      <c r="K439" s="1" t="s">
        <v>74</v>
      </c>
      <c r="L439" s="1" t="s">
        <v>74</v>
      </c>
      <c r="M439" s="1" t="s">
        <v>74</v>
      </c>
      <c r="N439" s="1" t="s">
        <v>74</v>
      </c>
      <c r="O439" s="1" t="s">
        <v>74</v>
      </c>
      <c r="P439" s="1" t="s">
        <v>74</v>
      </c>
      <c r="Q439" s="1" t="s">
        <v>74</v>
      </c>
      <c r="R439" s="1" t="s">
        <v>74</v>
      </c>
      <c r="S439" s="1" t="s">
        <v>74</v>
      </c>
      <c r="T439" s="1" t="s">
        <v>74</v>
      </c>
      <c r="U439" s="1" t="s">
        <v>74</v>
      </c>
      <c r="V439" s="1" t="s">
        <v>4085</v>
      </c>
      <c r="W439" s="1" t="s">
        <v>74</v>
      </c>
      <c r="X439" s="1" t="s">
        <v>74</v>
      </c>
      <c r="Y439" s="1" t="s">
        <v>74</v>
      </c>
      <c r="Z439" s="1" t="s">
        <v>74</v>
      </c>
      <c r="AA439" s="1" t="s">
        <v>4086</v>
      </c>
      <c r="AB439" s="1" t="s">
        <v>74</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1084</v>
      </c>
      <c r="AP439" s="1" t="s">
        <v>1085</v>
      </c>
      <c r="AQ439" s="1" t="s">
        <v>74</v>
      </c>
      <c r="AR439" s="1" t="s">
        <v>74</v>
      </c>
      <c r="AS439" s="1" t="s">
        <v>74</v>
      </c>
      <c r="AT439" s="1" t="s">
        <v>74</v>
      </c>
      <c r="AU439" s="1">
        <v>2024.0</v>
      </c>
      <c r="AV439" s="1" t="s">
        <v>74</v>
      </c>
      <c r="AW439" s="1">
        <v>59.0</v>
      </c>
      <c r="AX439" s="1" t="s">
        <v>74</v>
      </c>
      <c r="AY439" s="1" t="s">
        <v>74</v>
      </c>
      <c r="AZ439" s="1" t="s">
        <v>74</v>
      </c>
      <c r="BA439" s="1" t="s">
        <v>74</v>
      </c>
      <c r="BB439" s="1">
        <v>683.0</v>
      </c>
      <c r="BC439" s="1">
        <v>689.0</v>
      </c>
      <c r="BD439" s="1" t="s">
        <v>74</v>
      </c>
      <c r="BE439" s="1" t="s">
        <v>74</v>
      </c>
      <c r="BF439" s="1" t="s">
        <v>74</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4087</v>
      </c>
      <c r="BT439" s="1" t="str">
        <f>HYPERLINK("https%3A%2F%2Fwww.webofscience.com%2Fwos%2Fwoscc%2Ffull-record%2FWOS:001316547600001","View Full Record in Web of Science")</f>
        <v>View Full Record in Web of Science</v>
      </c>
    </row>
    <row r="440" ht="12.75" customHeight="1">
      <c r="A440" s="1" t="s">
        <v>72</v>
      </c>
      <c r="B440" s="1" t="s">
        <v>2127</v>
      </c>
      <c r="C440" s="1" t="s">
        <v>74</v>
      </c>
      <c r="D440" s="1" t="s">
        <v>74</v>
      </c>
      <c r="E440" s="1" t="s">
        <v>74</v>
      </c>
      <c r="F440" s="1" t="s">
        <v>2128</v>
      </c>
      <c r="G440" s="1" t="s">
        <v>74</v>
      </c>
      <c r="H440" s="1" t="s">
        <v>74</v>
      </c>
      <c r="I440" s="1" t="s">
        <v>4088</v>
      </c>
      <c r="J440" s="1" t="s">
        <v>1523</v>
      </c>
      <c r="K440" s="1" t="s">
        <v>74</v>
      </c>
      <c r="L440" s="1" t="s">
        <v>74</v>
      </c>
      <c r="M440" s="1" t="s">
        <v>74</v>
      </c>
      <c r="N440" s="1" t="s">
        <v>74</v>
      </c>
      <c r="O440" s="1" t="s">
        <v>74</v>
      </c>
      <c r="P440" s="1" t="s">
        <v>74</v>
      </c>
      <c r="Q440" s="1" t="s">
        <v>74</v>
      </c>
      <c r="R440" s="1" t="s">
        <v>74</v>
      </c>
      <c r="S440" s="1" t="s">
        <v>74</v>
      </c>
      <c r="T440" s="1" t="s">
        <v>74</v>
      </c>
      <c r="U440" s="1" t="s">
        <v>74</v>
      </c>
      <c r="V440" s="1" t="s">
        <v>4089</v>
      </c>
      <c r="W440" s="1" t="s">
        <v>74</v>
      </c>
      <c r="X440" s="1" t="s">
        <v>74</v>
      </c>
      <c r="Y440" s="1" t="s">
        <v>74</v>
      </c>
      <c r="Z440" s="1" t="s">
        <v>74</v>
      </c>
      <c r="AA440" s="1" t="s">
        <v>4090</v>
      </c>
      <c r="AB440" s="1" t="s">
        <v>2133</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1527</v>
      </c>
      <c r="AP440" s="1" t="s">
        <v>1528</v>
      </c>
      <c r="AQ440" s="1" t="s">
        <v>74</v>
      </c>
      <c r="AR440" s="1" t="s">
        <v>74</v>
      </c>
      <c r="AS440" s="1" t="s">
        <v>74</v>
      </c>
      <c r="AT440" s="1" t="s">
        <v>3356</v>
      </c>
      <c r="AU440" s="1">
        <v>2022.0</v>
      </c>
      <c r="AV440" s="1">
        <v>157.0</v>
      </c>
      <c r="AW440" s="1">
        <v>19.0</v>
      </c>
      <c r="AX440" s="1" t="s">
        <v>74</v>
      </c>
      <c r="AY440" s="1" t="s">
        <v>74</v>
      </c>
      <c r="AZ440" s="1" t="s">
        <v>74</v>
      </c>
      <c r="BA440" s="1" t="s">
        <v>74</v>
      </c>
      <c r="BB440" s="1" t="s">
        <v>74</v>
      </c>
      <c r="BC440" s="1" t="s">
        <v>74</v>
      </c>
      <c r="BD440" s="1">
        <v>194104.0</v>
      </c>
      <c r="BE440" s="1" t="s">
        <v>4091</v>
      </c>
      <c r="BF440" s="2" t="str">
        <f>HYPERLINK("http://dx.doi.org/10.1063/5.0119293","http://dx.doi.org/10.1063/5.0119293")</f>
        <v>http://dx.doi.org/10.1063/5.0119293</v>
      </c>
      <c r="BG440" s="1" t="s">
        <v>74</v>
      </c>
      <c r="BH440" s="1" t="s">
        <v>74</v>
      </c>
      <c r="BI440" s="1" t="s">
        <v>74</v>
      </c>
      <c r="BJ440" s="1" t="s">
        <v>74</v>
      </c>
      <c r="BK440" s="1" t="s">
        <v>74</v>
      </c>
      <c r="BL440" s="1" t="s">
        <v>74</v>
      </c>
      <c r="BM440" s="1" t="s">
        <v>74</v>
      </c>
      <c r="BN440" s="1">
        <v>3.6414439E7</v>
      </c>
      <c r="BO440" s="1" t="s">
        <v>74</v>
      </c>
      <c r="BP440" s="1" t="s">
        <v>74</v>
      </c>
      <c r="BQ440" s="1" t="s">
        <v>74</v>
      </c>
      <c r="BR440" s="1" t="s">
        <v>74</v>
      </c>
      <c r="BS440" s="1" t="s">
        <v>4092</v>
      </c>
      <c r="BT440" s="1" t="str">
        <f>HYPERLINK("https%3A%2F%2Fwww.webofscience.com%2Fwos%2Fwoscc%2Ffull-record%2FWOS:001146468100001","View Full Record in Web of Science")</f>
        <v>View Full Record in Web of Science</v>
      </c>
    </row>
    <row r="441" ht="12.75" customHeight="1">
      <c r="A441" s="1" t="s">
        <v>72</v>
      </c>
      <c r="B441" s="1" t="s">
        <v>4093</v>
      </c>
      <c r="C441" s="1" t="s">
        <v>74</v>
      </c>
      <c r="D441" s="1" t="s">
        <v>74</v>
      </c>
      <c r="E441" s="1" t="s">
        <v>74</v>
      </c>
      <c r="F441" s="1" t="s">
        <v>4094</v>
      </c>
      <c r="G441" s="1" t="s">
        <v>74</v>
      </c>
      <c r="H441" s="1" t="s">
        <v>74</v>
      </c>
      <c r="I441" s="1" t="s">
        <v>4095</v>
      </c>
      <c r="J441" s="1" t="s">
        <v>3502</v>
      </c>
      <c r="K441" s="1" t="s">
        <v>74</v>
      </c>
      <c r="L441" s="1" t="s">
        <v>74</v>
      </c>
      <c r="M441" s="1" t="s">
        <v>74</v>
      </c>
      <c r="N441" s="1" t="s">
        <v>74</v>
      </c>
      <c r="O441" s="1" t="s">
        <v>74</v>
      </c>
      <c r="P441" s="1" t="s">
        <v>74</v>
      </c>
      <c r="Q441" s="1" t="s">
        <v>74</v>
      </c>
      <c r="R441" s="1" t="s">
        <v>74</v>
      </c>
      <c r="S441" s="1" t="s">
        <v>74</v>
      </c>
      <c r="T441" s="1" t="s">
        <v>74</v>
      </c>
      <c r="U441" s="1" t="s">
        <v>74</v>
      </c>
      <c r="V441" s="1" t="s">
        <v>4096</v>
      </c>
      <c r="W441" s="1" t="s">
        <v>74</v>
      </c>
      <c r="X441" s="1" t="s">
        <v>74</v>
      </c>
      <c r="Y441" s="1" t="s">
        <v>74</v>
      </c>
      <c r="Z441" s="1" t="s">
        <v>74</v>
      </c>
      <c r="AA441" s="1" t="s">
        <v>4097</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3505</v>
      </c>
      <c r="AP441" s="1" t="s">
        <v>3506</v>
      </c>
      <c r="AQ441" s="1" t="s">
        <v>74</v>
      </c>
      <c r="AR441" s="1" t="s">
        <v>74</v>
      </c>
      <c r="AS441" s="1" t="s">
        <v>74</v>
      </c>
      <c r="AT441" s="1" t="s">
        <v>1558</v>
      </c>
      <c r="AU441" s="1">
        <v>2022.0</v>
      </c>
      <c r="AV441" s="1">
        <v>359.0</v>
      </c>
      <c r="AW441" s="1" t="s">
        <v>74</v>
      </c>
      <c r="AX441" s="1" t="s">
        <v>74</v>
      </c>
      <c r="AY441" s="1" t="s">
        <v>74</v>
      </c>
      <c r="AZ441" s="1" t="s">
        <v>74</v>
      </c>
      <c r="BA441" s="1" t="s">
        <v>74</v>
      </c>
      <c r="BB441" s="1" t="s">
        <v>74</v>
      </c>
      <c r="BC441" s="1" t="s">
        <v>74</v>
      </c>
      <c r="BD441" s="1">
        <v>119302.0</v>
      </c>
      <c r="BE441" s="1" t="s">
        <v>4098</v>
      </c>
      <c r="BF441" s="2" t="str">
        <f>HYPERLINK("http://dx.doi.org/10.1016/j.molliq.2022.119302","http://dx.doi.org/10.1016/j.molliq.2022.119302")</f>
        <v>http://dx.doi.org/10.1016/j.molliq.2022.119302</v>
      </c>
      <c r="BG441" s="1" t="s">
        <v>74</v>
      </c>
      <c r="BH441" s="1" t="s">
        <v>4099</v>
      </c>
      <c r="BI441" s="1" t="s">
        <v>74</v>
      </c>
      <c r="BJ441" s="1" t="s">
        <v>74</v>
      </c>
      <c r="BK441" s="1" t="s">
        <v>74</v>
      </c>
      <c r="BL441" s="1" t="s">
        <v>74</v>
      </c>
      <c r="BM441" s="1" t="s">
        <v>74</v>
      </c>
      <c r="BN441" s="1" t="s">
        <v>74</v>
      </c>
      <c r="BO441" s="1" t="s">
        <v>74</v>
      </c>
      <c r="BP441" s="1" t="s">
        <v>74</v>
      </c>
      <c r="BQ441" s="1" t="s">
        <v>74</v>
      </c>
      <c r="BR441" s="1" t="s">
        <v>74</v>
      </c>
      <c r="BS441" s="1" t="s">
        <v>4100</v>
      </c>
      <c r="BT441" s="1" t="str">
        <f>HYPERLINK("https%3A%2F%2Fwww.webofscience.com%2Fwos%2Fwoscc%2Ffull-record%2FWOS:000803787600005","View Full Record in Web of Science")</f>
        <v>View Full Record in Web of Science</v>
      </c>
    </row>
    <row r="442" ht="12.75" customHeight="1">
      <c r="A442" s="1" t="s">
        <v>72</v>
      </c>
      <c r="B442" s="1" t="s">
        <v>4101</v>
      </c>
      <c r="C442" s="1" t="s">
        <v>74</v>
      </c>
      <c r="D442" s="1" t="s">
        <v>74</v>
      </c>
      <c r="E442" s="1" t="s">
        <v>74</v>
      </c>
      <c r="F442" s="1" t="s">
        <v>4102</v>
      </c>
      <c r="G442" s="1" t="s">
        <v>74</v>
      </c>
      <c r="H442" s="1" t="s">
        <v>74</v>
      </c>
      <c r="I442" s="1" t="s">
        <v>4103</v>
      </c>
      <c r="J442" s="1" t="s">
        <v>4104</v>
      </c>
      <c r="K442" s="1" t="s">
        <v>74</v>
      </c>
      <c r="L442" s="1" t="s">
        <v>74</v>
      </c>
      <c r="M442" s="1" t="s">
        <v>74</v>
      </c>
      <c r="N442" s="1" t="s">
        <v>74</v>
      </c>
      <c r="O442" s="1" t="s">
        <v>74</v>
      </c>
      <c r="P442" s="1" t="s">
        <v>74</v>
      </c>
      <c r="Q442" s="1" t="s">
        <v>74</v>
      </c>
      <c r="R442" s="1" t="s">
        <v>74</v>
      </c>
      <c r="S442" s="1" t="s">
        <v>74</v>
      </c>
      <c r="T442" s="1" t="s">
        <v>74</v>
      </c>
      <c r="U442" s="1" t="s">
        <v>74</v>
      </c>
      <c r="V442" s="1" t="s">
        <v>4105</v>
      </c>
      <c r="W442" s="1" t="s">
        <v>74</v>
      </c>
      <c r="X442" s="1" t="s">
        <v>74</v>
      </c>
      <c r="Y442" s="1" t="s">
        <v>74</v>
      </c>
      <c r="Z442" s="1" t="s">
        <v>74</v>
      </c>
      <c r="AA442" s="1" t="s">
        <v>4106</v>
      </c>
      <c r="AB442" s="1" t="s">
        <v>4107</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4108</v>
      </c>
      <c r="AP442" s="1" t="s">
        <v>4109</v>
      </c>
      <c r="AQ442" s="1" t="s">
        <v>74</v>
      </c>
      <c r="AR442" s="1" t="s">
        <v>74</v>
      </c>
      <c r="AS442" s="1" t="s">
        <v>74</v>
      </c>
      <c r="AT442" s="1" t="s">
        <v>319</v>
      </c>
      <c r="AU442" s="1">
        <v>2022.0</v>
      </c>
      <c r="AV442" s="1">
        <v>213.0</v>
      </c>
      <c r="AW442" s="1" t="s">
        <v>74</v>
      </c>
      <c r="AX442" s="1" t="s">
        <v>74</v>
      </c>
      <c r="AY442" s="1" t="s">
        <v>74</v>
      </c>
      <c r="AZ442" s="1" t="s">
        <v>74</v>
      </c>
      <c r="BA442" s="1" t="s">
        <v>74</v>
      </c>
      <c r="BB442" s="1" t="s">
        <v>74</v>
      </c>
      <c r="BC442" s="1" t="s">
        <v>74</v>
      </c>
      <c r="BD442" s="1">
        <v>104606.0</v>
      </c>
      <c r="BE442" s="1" t="s">
        <v>4110</v>
      </c>
      <c r="BF442" s="2" t="str">
        <f>HYPERLINK("http://dx.doi.org/10.1016/j.biosystems.2022.104606","http://dx.doi.org/10.1016/j.biosystems.2022.104606")</f>
        <v>http://dx.doi.org/10.1016/j.biosystems.2022.104606</v>
      </c>
      <c r="BG442" s="1" t="s">
        <v>74</v>
      </c>
      <c r="BH442" s="1" t="s">
        <v>4111</v>
      </c>
      <c r="BI442" s="1" t="s">
        <v>74</v>
      </c>
      <c r="BJ442" s="1" t="s">
        <v>74</v>
      </c>
      <c r="BK442" s="1" t="s">
        <v>74</v>
      </c>
      <c r="BL442" s="1" t="s">
        <v>74</v>
      </c>
      <c r="BM442" s="1" t="s">
        <v>74</v>
      </c>
      <c r="BN442" s="1">
        <v>3.5033628E7</v>
      </c>
      <c r="BO442" s="1" t="s">
        <v>74</v>
      </c>
      <c r="BP442" s="1" t="s">
        <v>74</v>
      </c>
      <c r="BQ442" s="1" t="s">
        <v>74</v>
      </c>
      <c r="BR442" s="1" t="s">
        <v>74</v>
      </c>
      <c r="BS442" s="1" t="s">
        <v>4112</v>
      </c>
      <c r="BT442" s="1" t="str">
        <f>HYPERLINK("https%3A%2F%2Fwww.webofscience.com%2Fwos%2Fwoscc%2Ffull-record%2FWOS:000782154100005","View Full Record in Web of Science")</f>
        <v>View Full Record in Web of Science</v>
      </c>
    </row>
    <row r="443" ht="12.75" customHeight="1">
      <c r="A443" s="1" t="s">
        <v>72</v>
      </c>
      <c r="B443" s="1" t="s">
        <v>4113</v>
      </c>
      <c r="C443" s="1" t="s">
        <v>74</v>
      </c>
      <c r="D443" s="1" t="s">
        <v>74</v>
      </c>
      <c r="E443" s="1" t="s">
        <v>74</v>
      </c>
      <c r="F443" s="1" t="s">
        <v>4114</v>
      </c>
      <c r="G443" s="1" t="s">
        <v>74</v>
      </c>
      <c r="H443" s="1" t="s">
        <v>74</v>
      </c>
      <c r="I443" s="1" t="s">
        <v>4115</v>
      </c>
      <c r="J443" s="1" t="s">
        <v>4116</v>
      </c>
      <c r="K443" s="1" t="s">
        <v>74</v>
      </c>
      <c r="L443" s="1" t="s">
        <v>74</v>
      </c>
      <c r="M443" s="1" t="s">
        <v>74</v>
      </c>
      <c r="N443" s="1" t="s">
        <v>74</v>
      </c>
      <c r="O443" s="1" t="s">
        <v>74</v>
      </c>
      <c r="P443" s="1" t="s">
        <v>74</v>
      </c>
      <c r="Q443" s="1" t="s">
        <v>74</v>
      </c>
      <c r="R443" s="1" t="s">
        <v>74</v>
      </c>
      <c r="S443" s="1" t="s">
        <v>74</v>
      </c>
      <c r="T443" s="1" t="s">
        <v>74</v>
      </c>
      <c r="U443" s="1" t="s">
        <v>74</v>
      </c>
      <c r="V443" s="1" t="s">
        <v>4117</v>
      </c>
      <c r="W443" s="1" t="s">
        <v>74</v>
      </c>
      <c r="X443" s="1" t="s">
        <v>74</v>
      </c>
      <c r="Y443" s="1" t="s">
        <v>74</v>
      </c>
      <c r="Z443" s="1" t="s">
        <v>74</v>
      </c>
      <c r="AA443" s="1" t="s">
        <v>3125</v>
      </c>
      <c r="AB443" s="1" t="s">
        <v>74</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4118</v>
      </c>
      <c r="AP443" s="1" t="s">
        <v>4119</v>
      </c>
      <c r="AQ443" s="1" t="s">
        <v>74</v>
      </c>
      <c r="AR443" s="1" t="s">
        <v>74</v>
      </c>
      <c r="AS443" s="1" t="s">
        <v>74</v>
      </c>
      <c r="AT443" s="1" t="s">
        <v>3646</v>
      </c>
      <c r="AU443" s="1">
        <v>2021.0</v>
      </c>
      <c r="AV443" s="1">
        <v>420.0</v>
      </c>
      <c r="AW443" s="1" t="s">
        <v>74</v>
      </c>
      <c r="AX443" s="1" t="s">
        <v>74</v>
      </c>
      <c r="AY443" s="1" t="s">
        <v>74</v>
      </c>
      <c r="AZ443" s="1" t="s">
        <v>74</v>
      </c>
      <c r="BA443" s="1" t="s">
        <v>74</v>
      </c>
      <c r="BB443" s="1" t="s">
        <v>74</v>
      </c>
      <c r="BC443" s="1" t="s">
        <v>74</v>
      </c>
      <c r="BD443" s="1">
        <v>126582.0</v>
      </c>
      <c r="BE443" s="1" t="s">
        <v>4120</v>
      </c>
      <c r="BF443" s="2" t="str">
        <f>HYPERLINK("http://dx.doi.org/10.1016/j.jhazmat.2021.126582","http://dx.doi.org/10.1016/j.jhazmat.2021.126582")</f>
        <v>http://dx.doi.org/10.1016/j.jhazmat.2021.126582</v>
      </c>
      <c r="BG443" s="1" t="s">
        <v>74</v>
      </c>
      <c r="BH443" s="1" t="s">
        <v>4121</v>
      </c>
      <c r="BI443" s="1" t="s">
        <v>74</v>
      </c>
      <c r="BJ443" s="1" t="s">
        <v>74</v>
      </c>
      <c r="BK443" s="1" t="s">
        <v>74</v>
      </c>
      <c r="BL443" s="1" t="s">
        <v>74</v>
      </c>
      <c r="BM443" s="1" t="s">
        <v>74</v>
      </c>
      <c r="BN443" s="1">
        <v>3.4274802E7</v>
      </c>
      <c r="BO443" s="1" t="s">
        <v>74</v>
      </c>
      <c r="BP443" s="1" t="s">
        <v>74</v>
      </c>
      <c r="BQ443" s="1" t="s">
        <v>74</v>
      </c>
      <c r="BR443" s="1" t="s">
        <v>74</v>
      </c>
      <c r="BS443" s="1" t="s">
        <v>4122</v>
      </c>
      <c r="BT443" s="1" t="str">
        <f>HYPERLINK("https%3A%2F%2Fwww.webofscience.com%2Fwos%2Fwoscc%2Ffull-record%2FWOS:000696944300006","View Full Record in Web of Science")</f>
        <v>View Full Record in Web of Science</v>
      </c>
    </row>
    <row r="444" ht="12.75" customHeight="1">
      <c r="A444" s="1" t="s">
        <v>241</v>
      </c>
      <c r="B444" s="1" t="s">
        <v>4123</v>
      </c>
      <c r="C444" s="1" t="s">
        <v>74</v>
      </c>
      <c r="D444" s="1" t="s">
        <v>4124</v>
      </c>
      <c r="E444" s="1" t="s">
        <v>74</v>
      </c>
      <c r="F444" s="1" t="s">
        <v>4125</v>
      </c>
      <c r="G444" s="1" t="s">
        <v>74</v>
      </c>
      <c r="H444" s="1" t="s">
        <v>74</v>
      </c>
      <c r="I444" s="1" t="s">
        <v>4126</v>
      </c>
      <c r="J444" s="1" t="s">
        <v>4127</v>
      </c>
      <c r="K444" s="1" t="s">
        <v>2225</v>
      </c>
      <c r="L444" s="1" t="s">
        <v>74</v>
      </c>
      <c r="M444" s="1" t="s">
        <v>74</v>
      </c>
      <c r="N444" s="1" t="s">
        <v>74</v>
      </c>
      <c r="O444" s="1" t="s">
        <v>4128</v>
      </c>
      <c r="P444" s="1" t="s">
        <v>4129</v>
      </c>
      <c r="Q444" s="1" t="s">
        <v>4130</v>
      </c>
      <c r="R444" s="1" t="s">
        <v>4131</v>
      </c>
      <c r="S444" s="1" t="s">
        <v>74</v>
      </c>
      <c r="T444" s="1" t="s">
        <v>74</v>
      </c>
      <c r="U444" s="1" t="s">
        <v>74</v>
      </c>
      <c r="V444" s="1" t="s">
        <v>4132</v>
      </c>
      <c r="W444" s="1" t="s">
        <v>74</v>
      </c>
      <c r="X444" s="1" t="s">
        <v>74</v>
      </c>
      <c r="Y444" s="1" t="s">
        <v>74</v>
      </c>
      <c r="Z444" s="1" t="s">
        <v>74</v>
      </c>
      <c r="AA444" s="1" t="s">
        <v>4133</v>
      </c>
      <c r="AB444" s="1" t="s">
        <v>4134</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2232</v>
      </c>
      <c r="AP444" s="1" t="s">
        <v>2233</v>
      </c>
      <c r="AQ444" s="1" t="s">
        <v>4135</v>
      </c>
      <c r="AR444" s="1" t="s">
        <v>74</v>
      </c>
      <c r="AS444" s="1" t="s">
        <v>74</v>
      </c>
      <c r="AT444" s="1" t="s">
        <v>74</v>
      </c>
      <c r="AU444" s="1">
        <v>2021.0</v>
      </c>
      <c r="AV444" s="1">
        <v>12078.0</v>
      </c>
      <c r="AW444" s="1" t="s">
        <v>74</v>
      </c>
      <c r="AX444" s="1" t="s">
        <v>74</v>
      </c>
      <c r="AY444" s="1" t="s">
        <v>74</v>
      </c>
      <c r="AZ444" s="1" t="s">
        <v>74</v>
      </c>
      <c r="BA444" s="1" t="s">
        <v>74</v>
      </c>
      <c r="BB444" s="1" t="s">
        <v>74</v>
      </c>
      <c r="BC444" s="1" t="s">
        <v>74</v>
      </c>
      <c r="BD444" s="1" t="s">
        <v>4136</v>
      </c>
      <c r="BE444" s="1" t="s">
        <v>4137</v>
      </c>
      <c r="BF444" s="2" t="str">
        <f>HYPERLINK("http://dx.doi.org/10.1117/12.2603623","http://dx.doi.org/10.1117/12.2603623")</f>
        <v>http://dx.doi.org/10.1117/12.2603623</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4138</v>
      </c>
      <c r="BT444" s="1" t="str">
        <f>HYPERLINK("https%3A%2F%2Fwww.webofscience.com%2Fwos%2Fwoscc%2Ffull-record%2FWOS:000797309200010","View Full Record in Web of Science")</f>
        <v>View Full Record in Web of Science</v>
      </c>
    </row>
    <row r="445" ht="12.75" customHeight="1">
      <c r="A445" s="1" t="s">
        <v>72</v>
      </c>
      <c r="B445" s="1" t="s">
        <v>4139</v>
      </c>
      <c r="C445" s="1" t="s">
        <v>74</v>
      </c>
      <c r="D445" s="1" t="s">
        <v>74</v>
      </c>
      <c r="E445" s="1" t="s">
        <v>74</v>
      </c>
      <c r="F445" s="1" t="s">
        <v>4140</v>
      </c>
      <c r="G445" s="1" t="s">
        <v>74</v>
      </c>
      <c r="H445" s="1" t="s">
        <v>74</v>
      </c>
      <c r="I445" s="1" t="s">
        <v>4141</v>
      </c>
      <c r="J445" s="1" t="s">
        <v>4142</v>
      </c>
      <c r="K445" s="1" t="s">
        <v>74</v>
      </c>
      <c r="L445" s="1" t="s">
        <v>74</v>
      </c>
      <c r="M445" s="1" t="s">
        <v>74</v>
      </c>
      <c r="N445" s="1" t="s">
        <v>74</v>
      </c>
      <c r="O445" s="1" t="s">
        <v>74</v>
      </c>
      <c r="P445" s="1" t="s">
        <v>74</v>
      </c>
      <c r="Q445" s="1" t="s">
        <v>74</v>
      </c>
      <c r="R445" s="1" t="s">
        <v>74</v>
      </c>
      <c r="S445" s="1" t="s">
        <v>74</v>
      </c>
      <c r="T445" s="1" t="s">
        <v>74</v>
      </c>
      <c r="U445" s="1" t="s">
        <v>74</v>
      </c>
      <c r="V445" s="1" t="s">
        <v>4143</v>
      </c>
      <c r="W445" s="1" t="s">
        <v>74</v>
      </c>
      <c r="X445" s="1" t="s">
        <v>74</v>
      </c>
      <c r="Y445" s="1" t="s">
        <v>74</v>
      </c>
      <c r="Z445" s="1" t="s">
        <v>74</v>
      </c>
      <c r="AA445" s="1" t="s">
        <v>4144</v>
      </c>
      <c r="AB445" s="1" t="s">
        <v>4145</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4146</v>
      </c>
      <c r="AP445" s="1" t="s">
        <v>4147</v>
      </c>
      <c r="AQ445" s="1" t="s">
        <v>74</v>
      </c>
      <c r="AR445" s="1" t="s">
        <v>74</v>
      </c>
      <c r="AS445" s="1" t="s">
        <v>74</v>
      </c>
      <c r="AT445" s="1" t="s">
        <v>174</v>
      </c>
      <c r="AU445" s="1">
        <v>2021.0</v>
      </c>
      <c r="AV445" s="1">
        <v>58.0</v>
      </c>
      <c r="AW445" s="1">
        <v>4.0</v>
      </c>
      <c r="AX445" s="1" t="s">
        <v>74</v>
      </c>
      <c r="AY445" s="1" t="s">
        <v>74</v>
      </c>
      <c r="AZ445" s="1" t="s">
        <v>74</v>
      </c>
      <c r="BA445" s="1" t="s">
        <v>74</v>
      </c>
      <c r="BB445" s="1">
        <v>1574.0</v>
      </c>
      <c r="BC445" s="1">
        <v>1584.0</v>
      </c>
      <c r="BD445" s="1" t="s">
        <v>74</v>
      </c>
      <c r="BE445" s="1" t="s">
        <v>4148</v>
      </c>
      <c r="BF445" s="2" t="str">
        <f>HYPERLINK("http://dx.doi.org/10.1007/s13197-020-04669-y","http://dx.doi.org/10.1007/s13197-020-04669-y")</f>
        <v>http://dx.doi.org/10.1007/s13197-020-04669-y</v>
      </c>
      <c r="BG445" s="1" t="s">
        <v>74</v>
      </c>
      <c r="BH445" s="1" t="s">
        <v>4149</v>
      </c>
      <c r="BI445" s="1" t="s">
        <v>74</v>
      </c>
      <c r="BJ445" s="1" t="s">
        <v>74</v>
      </c>
      <c r="BK445" s="1" t="s">
        <v>74</v>
      </c>
      <c r="BL445" s="1" t="s">
        <v>74</v>
      </c>
      <c r="BM445" s="1" t="s">
        <v>74</v>
      </c>
      <c r="BN445" s="1">
        <v>3.3746284E7</v>
      </c>
      <c r="BO445" s="1" t="s">
        <v>74</v>
      </c>
      <c r="BP445" s="1" t="s">
        <v>74</v>
      </c>
      <c r="BQ445" s="1" t="s">
        <v>74</v>
      </c>
      <c r="BR445" s="1" t="s">
        <v>74</v>
      </c>
      <c r="BS445" s="1" t="s">
        <v>4150</v>
      </c>
      <c r="BT445" s="1" t="str">
        <f>HYPERLINK("https%3A%2F%2Fwww.webofscience.com%2Fwos%2Fwoscc%2Ffull-record%2FWOS:000562707600002","View Full Record in Web of Science")</f>
        <v>View Full Record in Web of Science</v>
      </c>
    </row>
    <row r="446" ht="12.75" customHeight="1">
      <c r="A446" s="1" t="s">
        <v>72</v>
      </c>
      <c r="B446" s="1" t="s">
        <v>4151</v>
      </c>
      <c r="C446" s="1" t="s">
        <v>74</v>
      </c>
      <c r="D446" s="1" t="s">
        <v>74</v>
      </c>
      <c r="E446" s="1" t="s">
        <v>74</v>
      </c>
      <c r="F446" s="1" t="s">
        <v>4152</v>
      </c>
      <c r="G446" s="1" t="s">
        <v>74</v>
      </c>
      <c r="H446" s="1" t="s">
        <v>74</v>
      </c>
      <c r="I446" s="1" t="s">
        <v>4153</v>
      </c>
      <c r="J446" s="1" t="s">
        <v>4154</v>
      </c>
      <c r="K446" s="1" t="s">
        <v>74</v>
      </c>
      <c r="L446" s="1" t="s">
        <v>74</v>
      </c>
      <c r="M446" s="1" t="s">
        <v>74</v>
      </c>
      <c r="N446" s="1" t="s">
        <v>74</v>
      </c>
      <c r="O446" s="1" t="s">
        <v>74</v>
      </c>
      <c r="P446" s="1" t="s">
        <v>74</v>
      </c>
      <c r="Q446" s="1" t="s">
        <v>74</v>
      </c>
      <c r="R446" s="1" t="s">
        <v>74</v>
      </c>
      <c r="S446" s="1" t="s">
        <v>74</v>
      </c>
      <c r="T446" s="1" t="s">
        <v>74</v>
      </c>
      <c r="U446" s="1" t="s">
        <v>74</v>
      </c>
      <c r="V446" s="1" t="s">
        <v>4155</v>
      </c>
      <c r="W446" s="1" t="s">
        <v>74</v>
      </c>
      <c r="X446" s="1" t="s">
        <v>74</v>
      </c>
      <c r="Y446" s="1" t="s">
        <v>74</v>
      </c>
      <c r="Z446" s="1" t="s">
        <v>74</v>
      </c>
      <c r="AA446" s="1" t="s">
        <v>74</v>
      </c>
      <c r="AB446" s="1" t="s">
        <v>4156</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4157</v>
      </c>
      <c r="AP446" s="1" t="s">
        <v>4158</v>
      </c>
      <c r="AQ446" s="1" t="s">
        <v>74</v>
      </c>
      <c r="AR446" s="1" t="s">
        <v>74</v>
      </c>
      <c r="AS446" s="1" t="s">
        <v>74</v>
      </c>
      <c r="AT446" s="1" t="s">
        <v>391</v>
      </c>
      <c r="AU446" s="1">
        <v>2020.0</v>
      </c>
      <c r="AV446" s="1">
        <v>44.0</v>
      </c>
      <c r="AW446" s="1">
        <v>2.0</v>
      </c>
      <c r="AX446" s="1" t="s">
        <v>74</v>
      </c>
      <c r="AY446" s="1" t="s">
        <v>74</v>
      </c>
      <c r="AZ446" s="1" t="s">
        <v>74</v>
      </c>
      <c r="BA446" s="1" t="s">
        <v>74</v>
      </c>
      <c r="BB446" s="1">
        <v>91.0</v>
      </c>
      <c r="BC446" s="1">
        <v>113.0</v>
      </c>
      <c r="BD446" s="1" t="s">
        <v>74</v>
      </c>
      <c r="BE446" s="1" t="s">
        <v>4159</v>
      </c>
      <c r="BF446" s="2" t="str">
        <f>HYPERLINK("http://dx.doi.org/10.15517/revedu.v44i2.37283","http://dx.doi.org/10.15517/revedu.v44i2.37283")</f>
        <v>http://dx.doi.org/10.15517/revedu.v44i2.37283</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4160</v>
      </c>
      <c r="BT446" s="1" t="str">
        <f>HYPERLINK("https%3A%2F%2Fwww.webofscience.com%2Fwos%2Fwoscc%2Ffull-record%2FWOS:000546442400007","View Full Record in Web of Science")</f>
        <v>View Full Record in Web of Science</v>
      </c>
    </row>
    <row r="447" ht="12.75" customHeight="1">
      <c r="A447" s="1" t="s">
        <v>72</v>
      </c>
      <c r="B447" s="1" t="s">
        <v>4161</v>
      </c>
      <c r="C447" s="1" t="s">
        <v>74</v>
      </c>
      <c r="D447" s="1" t="s">
        <v>74</v>
      </c>
      <c r="E447" s="1" t="s">
        <v>74</v>
      </c>
      <c r="F447" s="1" t="s">
        <v>4162</v>
      </c>
      <c r="G447" s="1" t="s">
        <v>74</v>
      </c>
      <c r="H447" s="1" t="s">
        <v>74</v>
      </c>
      <c r="I447" s="1" t="s">
        <v>4163</v>
      </c>
      <c r="J447" s="1" t="s">
        <v>4164</v>
      </c>
      <c r="K447" s="1" t="s">
        <v>74</v>
      </c>
      <c r="L447" s="1" t="s">
        <v>74</v>
      </c>
      <c r="M447" s="1" t="s">
        <v>74</v>
      </c>
      <c r="N447" s="1" t="s">
        <v>74</v>
      </c>
      <c r="O447" s="1" t="s">
        <v>74</v>
      </c>
      <c r="P447" s="1" t="s">
        <v>74</v>
      </c>
      <c r="Q447" s="1" t="s">
        <v>74</v>
      </c>
      <c r="R447" s="1" t="s">
        <v>74</v>
      </c>
      <c r="S447" s="1" t="s">
        <v>74</v>
      </c>
      <c r="T447" s="1" t="s">
        <v>74</v>
      </c>
      <c r="U447" s="1" t="s">
        <v>74</v>
      </c>
      <c r="V447" s="1" t="s">
        <v>4165</v>
      </c>
      <c r="W447" s="1" t="s">
        <v>74</v>
      </c>
      <c r="X447" s="1" t="s">
        <v>74</v>
      </c>
      <c r="Y447" s="1" t="s">
        <v>74</v>
      </c>
      <c r="Z447" s="1" t="s">
        <v>74</v>
      </c>
      <c r="AA447" s="1" t="s">
        <v>4166</v>
      </c>
      <c r="AB447" s="1" t="s">
        <v>4167</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74</v>
      </c>
      <c r="AP447" s="1" t="s">
        <v>4168</v>
      </c>
      <c r="AQ447" s="1" t="s">
        <v>74</v>
      </c>
      <c r="AR447" s="1" t="s">
        <v>74</v>
      </c>
      <c r="AS447" s="1" t="s">
        <v>74</v>
      </c>
      <c r="AT447" s="1" t="s">
        <v>353</v>
      </c>
      <c r="AU447" s="1">
        <v>2019.0</v>
      </c>
      <c r="AV447" s="1">
        <v>8.0</v>
      </c>
      <c r="AW447" s="1">
        <v>10.0</v>
      </c>
      <c r="AX447" s="1" t="s">
        <v>74</v>
      </c>
      <c r="AY447" s="1" t="s">
        <v>74</v>
      </c>
      <c r="AZ447" s="1" t="s">
        <v>74</v>
      </c>
      <c r="BA447" s="1" t="s">
        <v>74</v>
      </c>
      <c r="BB447" s="1" t="s">
        <v>74</v>
      </c>
      <c r="BC447" s="1" t="s">
        <v>74</v>
      </c>
      <c r="BD447" s="1">
        <v>464.0</v>
      </c>
      <c r="BE447" s="1" t="s">
        <v>4169</v>
      </c>
      <c r="BF447" s="2" t="str">
        <f>HYPERLINK("http://dx.doi.org/10.3390/antiox8100464","http://dx.doi.org/10.3390/antiox8100464")</f>
        <v>http://dx.doi.org/10.3390/antiox8100464</v>
      </c>
      <c r="BG447" s="1" t="s">
        <v>74</v>
      </c>
      <c r="BH447" s="1" t="s">
        <v>74</v>
      </c>
      <c r="BI447" s="1" t="s">
        <v>74</v>
      </c>
      <c r="BJ447" s="1" t="s">
        <v>74</v>
      </c>
      <c r="BK447" s="1" t="s">
        <v>74</v>
      </c>
      <c r="BL447" s="1" t="s">
        <v>74</v>
      </c>
      <c r="BM447" s="1" t="s">
        <v>74</v>
      </c>
      <c r="BN447" s="1">
        <v>3.1600875E7</v>
      </c>
      <c r="BO447" s="1" t="s">
        <v>74</v>
      </c>
      <c r="BP447" s="1" t="s">
        <v>74</v>
      </c>
      <c r="BQ447" s="1" t="s">
        <v>74</v>
      </c>
      <c r="BR447" s="1" t="s">
        <v>74</v>
      </c>
      <c r="BS447" s="1" t="s">
        <v>4170</v>
      </c>
      <c r="BT447" s="1" t="str">
        <f>HYPERLINK("https%3A%2F%2Fwww.webofscience.com%2Fwos%2Fwoscc%2Ffull-record%2FWOS:000500759900047","View Full Record in Web of Science")</f>
        <v>View Full Record in Web of Science</v>
      </c>
    </row>
    <row r="448" ht="12.75" customHeight="1">
      <c r="A448" s="1" t="s">
        <v>241</v>
      </c>
      <c r="B448" s="1" t="s">
        <v>1825</v>
      </c>
      <c r="C448" s="1" t="s">
        <v>74</v>
      </c>
      <c r="D448" s="1" t="s">
        <v>74</v>
      </c>
      <c r="E448" s="1" t="s">
        <v>427</v>
      </c>
      <c r="F448" s="1" t="s">
        <v>1826</v>
      </c>
      <c r="G448" s="1" t="s">
        <v>74</v>
      </c>
      <c r="H448" s="1" t="s">
        <v>74</v>
      </c>
      <c r="I448" s="1" t="s">
        <v>4171</v>
      </c>
      <c r="J448" s="1" t="s">
        <v>782</v>
      </c>
      <c r="K448" s="1" t="s">
        <v>74</v>
      </c>
      <c r="L448" s="1" t="s">
        <v>74</v>
      </c>
      <c r="M448" s="1" t="s">
        <v>74</v>
      </c>
      <c r="N448" s="1" t="s">
        <v>74</v>
      </c>
      <c r="O448" s="1" t="s">
        <v>783</v>
      </c>
      <c r="P448" s="1" t="s">
        <v>784</v>
      </c>
      <c r="Q448" s="1" t="s">
        <v>785</v>
      </c>
      <c r="R448" s="1" t="s">
        <v>786</v>
      </c>
      <c r="S448" s="1" t="s">
        <v>74</v>
      </c>
      <c r="T448" s="1" t="s">
        <v>74</v>
      </c>
      <c r="U448" s="1" t="s">
        <v>74</v>
      </c>
      <c r="V448" s="1" t="s">
        <v>4172</v>
      </c>
      <c r="W448" s="1" t="s">
        <v>74</v>
      </c>
      <c r="X448" s="1" t="s">
        <v>74</v>
      </c>
      <c r="Y448" s="1" t="s">
        <v>74</v>
      </c>
      <c r="Z448" s="1" t="s">
        <v>74</v>
      </c>
      <c r="AA448" s="1" t="s">
        <v>74</v>
      </c>
      <c r="AB448" s="1" t="s">
        <v>1509</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74</v>
      </c>
      <c r="AP448" s="1" t="s">
        <v>74</v>
      </c>
      <c r="AQ448" s="1" t="s">
        <v>789</v>
      </c>
      <c r="AR448" s="1" t="s">
        <v>74</v>
      </c>
      <c r="AS448" s="1" t="s">
        <v>74</v>
      </c>
      <c r="AT448" s="1" t="s">
        <v>74</v>
      </c>
      <c r="AU448" s="1">
        <v>2019.0</v>
      </c>
      <c r="AV448" s="1" t="s">
        <v>74</v>
      </c>
      <c r="AW448" s="1" t="s">
        <v>74</v>
      </c>
      <c r="AX448" s="1" t="s">
        <v>74</v>
      </c>
      <c r="AY448" s="1" t="s">
        <v>74</v>
      </c>
      <c r="AZ448" s="1" t="s">
        <v>74</v>
      </c>
      <c r="BA448" s="1" t="s">
        <v>74</v>
      </c>
      <c r="BB448" s="1" t="s">
        <v>74</v>
      </c>
      <c r="BC448" s="1" t="s">
        <v>74</v>
      </c>
      <c r="BD448" s="1" t="s">
        <v>74</v>
      </c>
      <c r="BE448" s="1" t="s">
        <v>74</v>
      </c>
      <c r="BF448" s="1" t="s">
        <v>74</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4173</v>
      </c>
      <c r="BT448" s="1" t="str">
        <f>HYPERLINK("https%3A%2F%2Fwww.webofscience.com%2Fwos%2Fwoscc%2Ffull-record%2FWOS:000542919100116","View Full Record in Web of Science")</f>
        <v>View Full Record in Web of Science</v>
      </c>
    </row>
    <row r="449" ht="12.75" customHeight="1">
      <c r="A449" s="1" t="s">
        <v>72</v>
      </c>
      <c r="B449" s="1" t="s">
        <v>4174</v>
      </c>
      <c r="C449" s="1" t="s">
        <v>74</v>
      </c>
      <c r="D449" s="1" t="s">
        <v>74</v>
      </c>
      <c r="E449" s="1" t="s">
        <v>74</v>
      </c>
      <c r="F449" s="1" t="s">
        <v>4175</v>
      </c>
      <c r="G449" s="1" t="s">
        <v>74</v>
      </c>
      <c r="H449" s="1" t="s">
        <v>74</v>
      </c>
      <c r="I449" s="1" t="s">
        <v>4176</v>
      </c>
      <c r="J449" s="1" t="s">
        <v>1546</v>
      </c>
      <c r="K449" s="1" t="s">
        <v>74</v>
      </c>
      <c r="L449" s="1" t="s">
        <v>74</v>
      </c>
      <c r="M449" s="1" t="s">
        <v>74</v>
      </c>
      <c r="N449" s="1" t="s">
        <v>74</v>
      </c>
      <c r="O449" s="1" t="s">
        <v>74</v>
      </c>
      <c r="P449" s="1" t="s">
        <v>74</v>
      </c>
      <c r="Q449" s="1" t="s">
        <v>74</v>
      </c>
      <c r="R449" s="1" t="s">
        <v>74</v>
      </c>
      <c r="S449" s="1" t="s">
        <v>74</v>
      </c>
      <c r="T449" s="1" t="s">
        <v>74</v>
      </c>
      <c r="U449" s="1" t="s">
        <v>74</v>
      </c>
      <c r="V449" s="1" t="s">
        <v>4177</v>
      </c>
      <c r="W449" s="1" t="s">
        <v>74</v>
      </c>
      <c r="X449" s="1" t="s">
        <v>74</v>
      </c>
      <c r="Y449" s="1" t="s">
        <v>74</v>
      </c>
      <c r="Z449" s="1" t="s">
        <v>74</v>
      </c>
      <c r="AA449" s="1" t="s">
        <v>74</v>
      </c>
      <c r="AB449" s="1" t="s">
        <v>74</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4178</v>
      </c>
      <c r="AP449" s="1" t="s">
        <v>74</v>
      </c>
      <c r="AQ449" s="1" t="s">
        <v>74</v>
      </c>
      <c r="AR449" s="1" t="s">
        <v>74</v>
      </c>
      <c r="AS449" s="1" t="s">
        <v>74</v>
      </c>
      <c r="AT449" s="1" t="s">
        <v>680</v>
      </c>
      <c r="AU449" s="1">
        <v>2019.0</v>
      </c>
      <c r="AV449" s="1">
        <v>52.0</v>
      </c>
      <c r="AW449" s="1">
        <v>1.0</v>
      </c>
      <c r="AX449" s="1" t="s">
        <v>74</v>
      </c>
      <c r="AY449" s="1" t="s">
        <v>74</v>
      </c>
      <c r="AZ449" s="1" t="s">
        <v>74</v>
      </c>
      <c r="BA449" s="1" t="s">
        <v>74</v>
      </c>
      <c r="BB449" s="1">
        <v>81.0</v>
      </c>
      <c r="BC449" s="1">
        <v>107.0</v>
      </c>
      <c r="BD449" s="1" t="s">
        <v>74</v>
      </c>
      <c r="BE449" s="1" t="s">
        <v>74</v>
      </c>
      <c r="BF449" s="1" t="s">
        <v>74</v>
      </c>
      <c r="BG449" s="1" t="s">
        <v>74</v>
      </c>
      <c r="BH449" s="1" t="s">
        <v>74</v>
      </c>
      <c r="BI449" s="1" t="s">
        <v>74</v>
      </c>
      <c r="BJ449" s="1" t="s">
        <v>74</v>
      </c>
      <c r="BK449" s="1" t="s">
        <v>74</v>
      </c>
      <c r="BL449" s="1" t="s">
        <v>74</v>
      </c>
      <c r="BM449" s="1" t="s">
        <v>74</v>
      </c>
      <c r="BN449" s="1" t="s">
        <v>74</v>
      </c>
      <c r="BO449" s="1" t="s">
        <v>74</v>
      </c>
      <c r="BP449" s="1" t="s">
        <v>74</v>
      </c>
      <c r="BQ449" s="1" t="s">
        <v>74</v>
      </c>
      <c r="BR449" s="1" t="s">
        <v>74</v>
      </c>
      <c r="BS449" s="1" t="s">
        <v>4179</v>
      </c>
      <c r="BT449" s="1" t="str">
        <f>HYPERLINK("https%3A%2F%2Fwww.webofscience.com%2Fwos%2Fwoscc%2Ffull-record%2FWOS:000481651900003","View Full Record in Web of Science")</f>
        <v>View Full Record in Web of Science</v>
      </c>
    </row>
    <row r="450" ht="12.75" customHeight="1">
      <c r="A450" s="1" t="s">
        <v>442</v>
      </c>
      <c r="B450" s="1" t="s">
        <v>4180</v>
      </c>
      <c r="C450" s="1" t="s">
        <v>74</v>
      </c>
      <c r="D450" s="1" t="s">
        <v>4181</v>
      </c>
      <c r="E450" s="1" t="s">
        <v>74</v>
      </c>
      <c r="F450" s="1" t="s">
        <v>4182</v>
      </c>
      <c r="G450" s="1" t="s">
        <v>74</v>
      </c>
      <c r="H450" s="1" t="s">
        <v>74</v>
      </c>
      <c r="I450" s="1" t="s">
        <v>4183</v>
      </c>
      <c r="J450" s="1" t="s">
        <v>4184</v>
      </c>
      <c r="K450" s="1" t="s">
        <v>1360</v>
      </c>
      <c r="L450" s="1" t="s">
        <v>74</v>
      </c>
      <c r="M450" s="1" t="s">
        <v>74</v>
      </c>
      <c r="N450" s="1" t="s">
        <v>74</v>
      </c>
      <c r="O450" s="1" t="s">
        <v>74</v>
      </c>
      <c r="P450" s="1" t="s">
        <v>74</v>
      </c>
      <c r="Q450" s="1" t="s">
        <v>74</v>
      </c>
      <c r="R450" s="1" t="s">
        <v>74</v>
      </c>
      <c r="S450" s="1" t="s">
        <v>74</v>
      </c>
      <c r="T450" s="1" t="s">
        <v>74</v>
      </c>
      <c r="U450" s="1" t="s">
        <v>74</v>
      </c>
      <c r="V450" s="1" t="s">
        <v>74</v>
      </c>
      <c r="W450" s="1" t="s">
        <v>74</v>
      </c>
      <c r="X450" s="1" t="s">
        <v>74</v>
      </c>
      <c r="Y450" s="1" t="s">
        <v>74</v>
      </c>
      <c r="Z450" s="1" t="s">
        <v>74</v>
      </c>
      <c r="AA450" s="1" t="s">
        <v>74</v>
      </c>
      <c r="AB450" s="1" t="s">
        <v>74</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74</v>
      </c>
      <c r="AP450" s="1" t="s">
        <v>74</v>
      </c>
      <c r="AQ450" s="1" t="s">
        <v>4185</v>
      </c>
      <c r="AR450" s="1" t="s">
        <v>74</v>
      </c>
      <c r="AS450" s="1" t="s">
        <v>74</v>
      </c>
      <c r="AT450" s="1" t="s">
        <v>74</v>
      </c>
      <c r="AU450" s="1">
        <v>2018.0</v>
      </c>
      <c r="AV450" s="1">
        <v>3.0</v>
      </c>
      <c r="AW450" s="1" t="s">
        <v>74</v>
      </c>
      <c r="AX450" s="1" t="s">
        <v>74</v>
      </c>
      <c r="AY450" s="1" t="s">
        <v>74</v>
      </c>
      <c r="AZ450" s="1" t="s">
        <v>74</v>
      </c>
      <c r="BA450" s="1" t="s">
        <v>74</v>
      </c>
      <c r="BB450" s="1">
        <v>17.0</v>
      </c>
      <c r="BC450" s="1">
        <v>25.0</v>
      </c>
      <c r="BD450" s="1" t="s">
        <v>74</v>
      </c>
      <c r="BE450" s="1" t="s">
        <v>74</v>
      </c>
      <c r="BF450" s="1" t="s">
        <v>74</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4186</v>
      </c>
      <c r="BT450" s="1" t="str">
        <f>HYPERLINK("https%3A%2F%2Fwww.webofscience.com%2Fwos%2Fwoscc%2Ffull-record%2FWOS:000450064500002","View Full Record in Web of Science")</f>
        <v>View Full Record in Web of Science</v>
      </c>
    </row>
    <row r="451" ht="12.75" customHeight="1">
      <c r="A451" s="1" t="s">
        <v>72</v>
      </c>
      <c r="B451" s="1" t="s">
        <v>4187</v>
      </c>
      <c r="C451" s="1" t="s">
        <v>74</v>
      </c>
      <c r="D451" s="1" t="s">
        <v>74</v>
      </c>
      <c r="E451" s="1" t="s">
        <v>74</v>
      </c>
      <c r="F451" s="1" t="s">
        <v>4188</v>
      </c>
      <c r="G451" s="1" t="s">
        <v>74</v>
      </c>
      <c r="H451" s="1" t="s">
        <v>74</v>
      </c>
      <c r="I451" s="1" t="s">
        <v>4189</v>
      </c>
      <c r="J451" s="1" t="s">
        <v>4190</v>
      </c>
      <c r="K451" s="1" t="s">
        <v>74</v>
      </c>
      <c r="L451" s="1" t="s">
        <v>74</v>
      </c>
      <c r="M451" s="1" t="s">
        <v>74</v>
      </c>
      <c r="N451" s="1" t="s">
        <v>74</v>
      </c>
      <c r="O451" s="1" t="s">
        <v>74</v>
      </c>
      <c r="P451" s="1" t="s">
        <v>74</v>
      </c>
      <c r="Q451" s="1" t="s">
        <v>74</v>
      </c>
      <c r="R451" s="1" t="s">
        <v>74</v>
      </c>
      <c r="S451" s="1" t="s">
        <v>74</v>
      </c>
      <c r="T451" s="1" t="s">
        <v>74</v>
      </c>
      <c r="U451" s="1" t="s">
        <v>74</v>
      </c>
      <c r="V451" s="1" t="s">
        <v>4191</v>
      </c>
      <c r="W451" s="1" t="s">
        <v>74</v>
      </c>
      <c r="X451" s="1" t="s">
        <v>74</v>
      </c>
      <c r="Y451" s="1" t="s">
        <v>74</v>
      </c>
      <c r="Z451" s="1" t="s">
        <v>74</v>
      </c>
      <c r="AA451" s="1" t="s">
        <v>4192</v>
      </c>
      <c r="AB451" s="1" t="s">
        <v>4193</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4194</v>
      </c>
      <c r="AP451" s="1" t="s">
        <v>74</v>
      </c>
      <c r="AQ451" s="1" t="s">
        <v>74</v>
      </c>
      <c r="AR451" s="1" t="s">
        <v>74</v>
      </c>
      <c r="AS451" s="1" t="s">
        <v>74</v>
      </c>
      <c r="AT451" s="1" t="s">
        <v>4195</v>
      </c>
      <c r="AU451" s="1">
        <v>2017.0</v>
      </c>
      <c r="AV451" s="1">
        <v>638.0</v>
      </c>
      <c r="AW451" s="1" t="s">
        <v>74</v>
      </c>
      <c r="AX451" s="1" t="s">
        <v>74</v>
      </c>
      <c r="AY451" s="1" t="s">
        <v>74</v>
      </c>
      <c r="AZ451" s="1" t="s">
        <v>74</v>
      </c>
      <c r="BA451" s="1" t="s">
        <v>74</v>
      </c>
      <c r="BB451" s="1">
        <v>114.0</v>
      </c>
      <c r="BC451" s="1">
        <v>118.0</v>
      </c>
      <c r="BD451" s="1" t="s">
        <v>74</v>
      </c>
      <c r="BE451" s="1" t="s">
        <v>4196</v>
      </c>
      <c r="BF451" s="2" t="str">
        <f>HYPERLINK("http://dx.doi.org/10.1016/j.tsf.2017.07.041","http://dx.doi.org/10.1016/j.tsf.2017.07.041")</f>
        <v>http://dx.doi.org/10.1016/j.tsf.2017.07.041</v>
      </c>
      <c r="BG451" s="1" t="s">
        <v>74</v>
      </c>
      <c r="BH451" s="1" t="s">
        <v>74</v>
      </c>
      <c r="BI451" s="1" t="s">
        <v>74</v>
      </c>
      <c r="BJ451" s="1" t="s">
        <v>74</v>
      </c>
      <c r="BK451" s="1" t="s">
        <v>74</v>
      </c>
      <c r="BL451" s="1" t="s">
        <v>74</v>
      </c>
      <c r="BM451" s="1" t="s">
        <v>74</v>
      </c>
      <c r="BN451" s="1" t="s">
        <v>74</v>
      </c>
      <c r="BO451" s="1" t="s">
        <v>74</v>
      </c>
      <c r="BP451" s="1" t="s">
        <v>74</v>
      </c>
      <c r="BQ451" s="1" t="s">
        <v>74</v>
      </c>
      <c r="BR451" s="1" t="s">
        <v>74</v>
      </c>
      <c r="BS451" s="1" t="s">
        <v>4197</v>
      </c>
      <c r="BT451" s="1" t="str">
        <f>HYPERLINK("https%3A%2F%2Fwww.webofscience.com%2Fwos%2Fwoscc%2Ffull-record%2FWOS:000411775900015","View Full Record in Web of Science")</f>
        <v>View Full Record in Web of Science</v>
      </c>
    </row>
    <row r="452" ht="12.75" customHeight="1">
      <c r="A452" s="1" t="s">
        <v>72</v>
      </c>
      <c r="B452" s="1" t="s">
        <v>4198</v>
      </c>
      <c r="C452" s="1" t="s">
        <v>74</v>
      </c>
      <c r="D452" s="1" t="s">
        <v>74</v>
      </c>
      <c r="E452" s="1" t="s">
        <v>74</v>
      </c>
      <c r="F452" s="1" t="s">
        <v>4199</v>
      </c>
      <c r="G452" s="1" t="s">
        <v>74</v>
      </c>
      <c r="H452" s="1" t="s">
        <v>74</v>
      </c>
      <c r="I452" s="1" t="s">
        <v>4200</v>
      </c>
      <c r="J452" s="1" t="s">
        <v>837</v>
      </c>
      <c r="K452" s="1" t="s">
        <v>74</v>
      </c>
      <c r="L452" s="1" t="s">
        <v>74</v>
      </c>
      <c r="M452" s="1" t="s">
        <v>74</v>
      </c>
      <c r="N452" s="1" t="s">
        <v>74</v>
      </c>
      <c r="O452" s="1" t="s">
        <v>74</v>
      </c>
      <c r="P452" s="1" t="s">
        <v>74</v>
      </c>
      <c r="Q452" s="1" t="s">
        <v>74</v>
      </c>
      <c r="R452" s="1" t="s">
        <v>74</v>
      </c>
      <c r="S452" s="1" t="s">
        <v>74</v>
      </c>
      <c r="T452" s="1" t="s">
        <v>74</v>
      </c>
      <c r="U452" s="1" t="s">
        <v>74</v>
      </c>
      <c r="V452" s="1" t="s">
        <v>4201</v>
      </c>
      <c r="W452" s="1" t="s">
        <v>74</v>
      </c>
      <c r="X452" s="1" t="s">
        <v>74</v>
      </c>
      <c r="Y452" s="1" t="s">
        <v>74</v>
      </c>
      <c r="Z452" s="1" t="s">
        <v>74</v>
      </c>
      <c r="AA452" s="1" t="s">
        <v>4202</v>
      </c>
      <c r="AB452" s="1" t="s">
        <v>4203</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839</v>
      </c>
      <c r="AP452" s="1" t="s">
        <v>74</v>
      </c>
      <c r="AQ452" s="1" t="s">
        <v>74</v>
      </c>
      <c r="AR452" s="1" t="s">
        <v>74</v>
      </c>
      <c r="AS452" s="1" t="s">
        <v>74</v>
      </c>
      <c r="AT452" s="1" t="s">
        <v>4204</v>
      </c>
      <c r="AU452" s="1">
        <v>2017.0</v>
      </c>
      <c r="AV452" s="1">
        <v>7.0</v>
      </c>
      <c r="AW452" s="1" t="s">
        <v>74</v>
      </c>
      <c r="AX452" s="1" t="s">
        <v>74</v>
      </c>
      <c r="AY452" s="1" t="s">
        <v>74</v>
      </c>
      <c r="AZ452" s="1" t="s">
        <v>74</v>
      </c>
      <c r="BA452" s="1" t="s">
        <v>74</v>
      </c>
      <c r="BB452" s="1" t="s">
        <v>74</v>
      </c>
      <c r="BC452" s="1" t="s">
        <v>74</v>
      </c>
      <c r="BD452" s="1">
        <v>4157.0</v>
      </c>
      <c r="BE452" s="1" t="s">
        <v>4205</v>
      </c>
      <c r="BF452" s="2" t="str">
        <f>HYPERLINK("http://dx.doi.org/10.1038/s41598-017-04467-1","http://dx.doi.org/10.1038/s41598-017-04467-1")</f>
        <v>http://dx.doi.org/10.1038/s41598-017-04467-1</v>
      </c>
      <c r="BG452" s="1" t="s">
        <v>74</v>
      </c>
      <c r="BH452" s="1" t="s">
        <v>74</v>
      </c>
      <c r="BI452" s="1" t="s">
        <v>74</v>
      </c>
      <c r="BJ452" s="1" t="s">
        <v>74</v>
      </c>
      <c r="BK452" s="1" t="s">
        <v>74</v>
      </c>
      <c r="BL452" s="1" t="s">
        <v>74</v>
      </c>
      <c r="BM452" s="1" t="s">
        <v>74</v>
      </c>
      <c r="BN452" s="1">
        <v>2.8646203E7</v>
      </c>
      <c r="BO452" s="1" t="s">
        <v>74</v>
      </c>
      <c r="BP452" s="1" t="s">
        <v>74</v>
      </c>
      <c r="BQ452" s="1" t="s">
        <v>74</v>
      </c>
      <c r="BR452" s="1" t="s">
        <v>74</v>
      </c>
      <c r="BS452" s="1" t="s">
        <v>4206</v>
      </c>
      <c r="BT452" s="1" t="str">
        <f>HYPERLINK("https%3A%2F%2Fwww.webofscience.com%2Fwos%2Fwoscc%2Ffull-record%2FWOS:000404118700048","View Full Record in Web of Science")</f>
        <v>View Full Record in Web of Science</v>
      </c>
    </row>
    <row r="453" ht="12.75" customHeight="1">
      <c r="A453" s="1" t="s">
        <v>241</v>
      </c>
      <c r="B453" s="1" t="s">
        <v>4207</v>
      </c>
      <c r="C453" s="1" t="s">
        <v>74</v>
      </c>
      <c r="D453" s="1" t="s">
        <v>74</v>
      </c>
      <c r="E453" s="1" t="s">
        <v>814</v>
      </c>
      <c r="F453" s="1" t="s">
        <v>4208</v>
      </c>
      <c r="G453" s="1" t="s">
        <v>74</v>
      </c>
      <c r="H453" s="1" t="s">
        <v>74</v>
      </c>
      <c r="I453" s="1" t="s">
        <v>4209</v>
      </c>
      <c r="J453" s="1" t="s">
        <v>4210</v>
      </c>
      <c r="K453" s="1" t="s">
        <v>4211</v>
      </c>
      <c r="L453" s="1" t="s">
        <v>74</v>
      </c>
      <c r="M453" s="1" t="s">
        <v>74</v>
      </c>
      <c r="N453" s="1" t="s">
        <v>74</v>
      </c>
      <c r="O453" s="1" t="s">
        <v>4211</v>
      </c>
      <c r="P453" s="1" t="s">
        <v>4212</v>
      </c>
      <c r="Q453" s="1" t="s">
        <v>4130</v>
      </c>
      <c r="R453" s="1" t="s">
        <v>4213</v>
      </c>
      <c r="S453" s="1" t="s">
        <v>74</v>
      </c>
      <c r="T453" s="1" t="s">
        <v>74</v>
      </c>
      <c r="U453" s="1" t="s">
        <v>74</v>
      </c>
      <c r="V453" s="1" t="s">
        <v>4214</v>
      </c>
      <c r="W453" s="1" t="s">
        <v>74</v>
      </c>
      <c r="X453" s="1" t="s">
        <v>74</v>
      </c>
      <c r="Y453" s="1" t="s">
        <v>74</v>
      </c>
      <c r="Z453" s="1" t="s">
        <v>74</v>
      </c>
      <c r="AA453" s="1" t="s">
        <v>74</v>
      </c>
      <c r="AB453" s="1" t="s">
        <v>74</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4215</v>
      </c>
      <c r="AP453" s="1" t="s">
        <v>74</v>
      </c>
      <c r="AQ453" s="1" t="s">
        <v>4216</v>
      </c>
      <c r="AR453" s="1" t="s">
        <v>74</v>
      </c>
      <c r="AS453" s="1" t="s">
        <v>74</v>
      </c>
      <c r="AT453" s="1" t="s">
        <v>74</v>
      </c>
      <c r="AU453" s="1">
        <v>2016.0</v>
      </c>
      <c r="AV453" s="1" t="s">
        <v>74</v>
      </c>
      <c r="AW453" s="1" t="s">
        <v>74</v>
      </c>
      <c r="AX453" s="1" t="s">
        <v>74</v>
      </c>
      <c r="AY453" s="1" t="s">
        <v>74</v>
      </c>
      <c r="AZ453" s="1" t="s">
        <v>74</v>
      </c>
      <c r="BA453" s="1" t="s">
        <v>74</v>
      </c>
      <c r="BB453" s="1" t="s">
        <v>74</v>
      </c>
      <c r="BC453" s="1" t="s">
        <v>74</v>
      </c>
      <c r="BD453" s="1" t="s">
        <v>4217</v>
      </c>
      <c r="BE453" s="1" t="s">
        <v>74</v>
      </c>
      <c r="BF453" s="1" t="s">
        <v>74</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4218</v>
      </c>
      <c r="BT453" s="1" t="str">
        <f>HYPERLINK("https%3A%2F%2Fwww.webofscience.com%2Fwos%2Fwoscc%2Ffull-record%2FWOS:000392355300088","View Full Record in Web of Science")</f>
        <v>View Full Record in Web of Science</v>
      </c>
    </row>
    <row r="454" ht="12.75" customHeight="1">
      <c r="A454" s="1" t="s">
        <v>72</v>
      </c>
      <c r="B454" s="1" t="s">
        <v>4219</v>
      </c>
      <c r="C454" s="1" t="s">
        <v>74</v>
      </c>
      <c r="D454" s="1" t="s">
        <v>74</v>
      </c>
      <c r="E454" s="1" t="s">
        <v>74</v>
      </c>
      <c r="F454" s="1" t="s">
        <v>4220</v>
      </c>
      <c r="G454" s="1" t="s">
        <v>74</v>
      </c>
      <c r="H454" s="1" t="s">
        <v>74</v>
      </c>
      <c r="I454" s="1" t="s">
        <v>4221</v>
      </c>
      <c r="J454" s="1" t="s">
        <v>2023</v>
      </c>
      <c r="K454" s="1" t="s">
        <v>74</v>
      </c>
      <c r="L454" s="1" t="s">
        <v>74</v>
      </c>
      <c r="M454" s="1" t="s">
        <v>74</v>
      </c>
      <c r="N454" s="1" t="s">
        <v>74</v>
      </c>
      <c r="O454" s="1" t="s">
        <v>74</v>
      </c>
      <c r="P454" s="1" t="s">
        <v>74</v>
      </c>
      <c r="Q454" s="1" t="s">
        <v>74</v>
      </c>
      <c r="R454" s="1" t="s">
        <v>74</v>
      </c>
      <c r="S454" s="1" t="s">
        <v>74</v>
      </c>
      <c r="T454" s="1" t="s">
        <v>74</v>
      </c>
      <c r="U454" s="1" t="s">
        <v>74</v>
      </c>
      <c r="V454" s="1" t="s">
        <v>4222</v>
      </c>
      <c r="W454" s="1" t="s">
        <v>74</v>
      </c>
      <c r="X454" s="1" t="s">
        <v>74</v>
      </c>
      <c r="Y454" s="1" t="s">
        <v>74</v>
      </c>
      <c r="Z454" s="1" t="s">
        <v>74</v>
      </c>
      <c r="AA454" s="1" t="s">
        <v>74</v>
      </c>
      <c r="AB454" s="1" t="s">
        <v>2587</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2027</v>
      </c>
      <c r="AP454" s="1" t="s">
        <v>74</v>
      </c>
      <c r="AQ454" s="1" t="s">
        <v>74</v>
      </c>
      <c r="AR454" s="1" t="s">
        <v>74</v>
      </c>
      <c r="AS454" s="1" t="s">
        <v>74</v>
      </c>
      <c r="AT454" s="1" t="s">
        <v>82</v>
      </c>
      <c r="AU454" s="1">
        <v>2009.0</v>
      </c>
      <c r="AV454" s="1">
        <v>14.0</v>
      </c>
      <c r="AW454" s="1">
        <v>6.0</v>
      </c>
      <c r="AX454" s="1" t="s">
        <v>74</v>
      </c>
      <c r="AY454" s="1" t="s">
        <v>74</v>
      </c>
      <c r="AZ454" s="1" t="s">
        <v>74</v>
      </c>
      <c r="BA454" s="1" t="s">
        <v>74</v>
      </c>
      <c r="BB454" s="1">
        <v>1966.0</v>
      </c>
      <c r="BC454" s="1">
        <v>1979.0</v>
      </c>
      <c r="BD454" s="1" t="s">
        <v>74</v>
      </c>
      <c r="BE454" s="1" t="s">
        <v>4223</v>
      </c>
      <c r="BF454" s="2" t="str">
        <f>HYPERLINK("http://dx.doi.org/10.3390/molecules14061966","http://dx.doi.org/10.3390/molecules14061966")</f>
        <v>http://dx.doi.org/10.3390/molecules14061966</v>
      </c>
      <c r="BG454" s="1" t="s">
        <v>74</v>
      </c>
      <c r="BH454" s="1" t="s">
        <v>74</v>
      </c>
      <c r="BI454" s="1" t="s">
        <v>74</v>
      </c>
      <c r="BJ454" s="1" t="s">
        <v>74</v>
      </c>
      <c r="BK454" s="1" t="s">
        <v>74</v>
      </c>
      <c r="BL454" s="1" t="s">
        <v>74</v>
      </c>
      <c r="BM454" s="1" t="s">
        <v>74</v>
      </c>
      <c r="BN454" s="1">
        <v>1.9512998E7</v>
      </c>
      <c r="BO454" s="1" t="s">
        <v>74</v>
      </c>
      <c r="BP454" s="1" t="s">
        <v>74</v>
      </c>
      <c r="BQ454" s="1" t="s">
        <v>74</v>
      </c>
      <c r="BR454" s="1" t="s">
        <v>74</v>
      </c>
      <c r="BS454" s="1" t="s">
        <v>4224</v>
      </c>
      <c r="BT454" s="1" t="str">
        <f>HYPERLINK("https%3A%2F%2Fwww.webofscience.com%2Fwos%2Fwoscc%2Ffull-record%2FWOS:000267339500001","View Full Record in Web of Science")</f>
        <v>View Full Record in Web of Science</v>
      </c>
    </row>
    <row r="455" ht="12.75" customHeight="1">
      <c r="A455" s="1" t="s">
        <v>72</v>
      </c>
      <c r="B455" s="1" t="s">
        <v>4225</v>
      </c>
      <c r="C455" s="1" t="s">
        <v>74</v>
      </c>
      <c r="D455" s="1" t="s">
        <v>74</v>
      </c>
      <c r="E455" s="1" t="s">
        <v>74</v>
      </c>
      <c r="F455" s="1" t="s">
        <v>4226</v>
      </c>
      <c r="G455" s="1" t="s">
        <v>74</v>
      </c>
      <c r="H455" s="1" t="s">
        <v>74</v>
      </c>
      <c r="I455" s="1" t="s">
        <v>4227</v>
      </c>
      <c r="J455" s="1" t="s">
        <v>4228</v>
      </c>
      <c r="K455" s="1" t="s">
        <v>74</v>
      </c>
      <c r="L455" s="1" t="s">
        <v>74</v>
      </c>
      <c r="M455" s="1" t="s">
        <v>74</v>
      </c>
      <c r="N455" s="1" t="s">
        <v>74</v>
      </c>
      <c r="O455" s="1" t="s">
        <v>74</v>
      </c>
      <c r="P455" s="1" t="s">
        <v>74</v>
      </c>
      <c r="Q455" s="1" t="s">
        <v>74</v>
      </c>
      <c r="R455" s="1" t="s">
        <v>74</v>
      </c>
      <c r="S455" s="1" t="s">
        <v>74</v>
      </c>
      <c r="T455" s="1" t="s">
        <v>74</v>
      </c>
      <c r="U455" s="1" t="s">
        <v>74</v>
      </c>
      <c r="V455" s="1" t="s">
        <v>4229</v>
      </c>
      <c r="W455" s="1" t="s">
        <v>74</v>
      </c>
      <c r="X455" s="1" t="s">
        <v>74</v>
      </c>
      <c r="Y455" s="1" t="s">
        <v>74</v>
      </c>
      <c r="Z455" s="1" t="s">
        <v>74</v>
      </c>
      <c r="AA455" s="1" t="s">
        <v>4230</v>
      </c>
      <c r="AB455" s="1" t="s">
        <v>4231</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4232</v>
      </c>
      <c r="AP455" s="1" t="s">
        <v>4233</v>
      </c>
      <c r="AQ455" s="1" t="s">
        <v>74</v>
      </c>
      <c r="AR455" s="1" t="s">
        <v>74</v>
      </c>
      <c r="AS455" s="1" t="s">
        <v>74</v>
      </c>
      <c r="AT455" s="1" t="s">
        <v>4195</v>
      </c>
      <c r="AU455" s="1">
        <v>2008.0</v>
      </c>
      <c r="AV455" s="1">
        <v>127.0</v>
      </c>
      <c r="AW455" s="1" t="s">
        <v>1569</v>
      </c>
      <c r="AX455" s="1" t="s">
        <v>74</v>
      </c>
      <c r="AY455" s="1" t="s">
        <v>74</v>
      </c>
      <c r="AZ455" s="1" t="s">
        <v>74</v>
      </c>
      <c r="BA455" s="1" t="s">
        <v>74</v>
      </c>
      <c r="BB455" s="1">
        <v>6.0</v>
      </c>
      <c r="BC455" s="1">
        <v>11.0</v>
      </c>
      <c r="BD455" s="1" t="s">
        <v>74</v>
      </c>
      <c r="BE455" s="1" t="s">
        <v>4234</v>
      </c>
      <c r="BF455" s="2" t="str">
        <f>HYPERLINK("http://dx.doi.org/10.1016/j.ijfoodmicro.2008.05.011","http://dx.doi.org/10.1016/j.ijfoodmicro.2008.05.011")</f>
        <v>http://dx.doi.org/10.1016/j.ijfoodmicro.2008.05.011</v>
      </c>
      <c r="BG455" s="1" t="s">
        <v>74</v>
      </c>
      <c r="BH455" s="1" t="s">
        <v>74</v>
      </c>
      <c r="BI455" s="1" t="s">
        <v>74</v>
      </c>
      <c r="BJ455" s="1" t="s">
        <v>74</v>
      </c>
      <c r="BK455" s="1" t="s">
        <v>74</v>
      </c>
      <c r="BL455" s="1" t="s">
        <v>74</v>
      </c>
      <c r="BM455" s="1" t="s">
        <v>74</v>
      </c>
      <c r="BN455" s="1">
        <v>1.8571756E7</v>
      </c>
      <c r="BO455" s="1" t="s">
        <v>74</v>
      </c>
      <c r="BP455" s="1" t="s">
        <v>74</v>
      </c>
      <c r="BQ455" s="1" t="s">
        <v>74</v>
      </c>
      <c r="BR455" s="1" t="s">
        <v>74</v>
      </c>
      <c r="BS455" s="1" t="s">
        <v>4235</v>
      </c>
      <c r="BT455" s="1" t="str">
        <f>HYPERLINK("https%3A%2F%2Fwww.webofscience.com%2Fwos%2Fwoscc%2Ffull-record%2FWOS:000259771300002","View Full Record in Web of Science")</f>
        <v>View Full Record in Web of Science</v>
      </c>
    </row>
    <row r="456" ht="12.75" customHeight="1">
      <c r="A456" s="1" t="s">
        <v>72</v>
      </c>
      <c r="B456" s="1" t="s">
        <v>4236</v>
      </c>
      <c r="C456" s="1" t="s">
        <v>74</v>
      </c>
      <c r="D456" s="1" t="s">
        <v>74</v>
      </c>
      <c r="E456" s="1" t="s">
        <v>74</v>
      </c>
      <c r="F456" s="1" t="s">
        <v>4236</v>
      </c>
      <c r="G456" s="1" t="s">
        <v>74</v>
      </c>
      <c r="H456" s="1" t="s">
        <v>74</v>
      </c>
      <c r="I456" s="1" t="s">
        <v>4237</v>
      </c>
      <c r="J456" s="1" t="s">
        <v>2441</v>
      </c>
      <c r="K456" s="1" t="s">
        <v>74</v>
      </c>
      <c r="L456" s="1" t="s">
        <v>74</v>
      </c>
      <c r="M456" s="1" t="s">
        <v>74</v>
      </c>
      <c r="N456" s="1" t="s">
        <v>74</v>
      </c>
      <c r="O456" s="1" t="s">
        <v>74</v>
      </c>
      <c r="P456" s="1" t="s">
        <v>74</v>
      </c>
      <c r="Q456" s="1" t="s">
        <v>74</v>
      </c>
      <c r="R456" s="1" t="s">
        <v>74</v>
      </c>
      <c r="S456" s="1" t="s">
        <v>74</v>
      </c>
      <c r="T456" s="1" t="s">
        <v>74</v>
      </c>
      <c r="U456" s="1" t="s">
        <v>74</v>
      </c>
      <c r="V456" s="1" t="s">
        <v>4238</v>
      </c>
      <c r="W456" s="1" t="s">
        <v>74</v>
      </c>
      <c r="X456" s="1" t="s">
        <v>74</v>
      </c>
      <c r="Y456" s="1" t="s">
        <v>74</v>
      </c>
      <c r="Z456" s="1" t="s">
        <v>74</v>
      </c>
      <c r="AA456" s="1" t="s">
        <v>4239</v>
      </c>
      <c r="AB456" s="1" t="s">
        <v>4240</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2444</v>
      </c>
      <c r="AP456" s="1" t="s">
        <v>4241</v>
      </c>
      <c r="AQ456" s="1" t="s">
        <v>74</v>
      </c>
      <c r="AR456" s="1" t="s">
        <v>74</v>
      </c>
      <c r="AS456" s="1" t="s">
        <v>74</v>
      </c>
      <c r="AT456" s="1" t="s">
        <v>106</v>
      </c>
      <c r="AU456" s="1">
        <v>2003.0</v>
      </c>
      <c r="AV456" s="1">
        <v>44.0</v>
      </c>
      <c r="AW456" s="1">
        <v>9.0</v>
      </c>
      <c r="AX456" s="1" t="s">
        <v>74</v>
      </c>
      <c r="AY456" s="1" t="s">
        <v>74</v>
      </c>
      <c r="AZ456" s="1" t="s">
        <v>74</v>
      </c>
      <c r="BA456" s="1" t="s">
        <v>74</v>
      </c>
      <c r="BB456" s="1">
        <v>3876.0</v>
      </c>
      <c r="BC456" s="1">
        <v>3887.0</v>
      </c>
      <c r="BD456" s="1" t="s">
        <v>74</v>
      </c>
      <c r="BE456" s="1" t="s">
        <v>4242</v>
      </c>
      <c r="BF456" s="2" t="str">
        <f>HYPERLINK("http://dx.doi.org/10.1063/1.1601299","http://dx.doi.org/10.1063/1.1601299")</f>
        <v>http://dx.doi.org/10.1063/1.1601299</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4243</v>
      </c>
      <c r="BT456" s="1" t="str">
        <f>HYPERLINK("https%3A%2F%2Fwww.webofscience.com%2Fwos%2Fwoscc%2Ffull-record%2FWOS:000184899500013","View Full Record in Web of Science")</f>
        <v>View Full Record in Web of Science</v>
      </c>
    </row>
    <row r="457" ht="12.75" customHeight="1">
      <c r="A457" s="1" t="s">
        <v>241</v>
      </c>
      <c r="B457" s="1" t="s">
        <v>4244</v>
      </c>
      <c r="C457" s="1" t="s">
        <v>74</v>
      </c>
      <c r="D457" s="1" t="s">
        <v>4245</v>
      </c>
      <c r="E457" s="1" t="s">
        <v>74</v>
      </c>
      <c r="F457" s="1" t="s">
        <v>4244</v>
      </c>
      <c r="G457" s="1" t="s">
        <v>74</v>
      </c>
      <c r="H457" s="1" t="s">
        <v>74</v>
      </c>
      <c r="I457" s="1" t="s">
        <v>4246</v>
      </c>
      <c r="J457" s="1" t="s">
        <v>4247</v>
      </c>
      <c r="K457" s="1" t="s">
        <v>4248</v>
      </c>
      <c r="L457" s="1" t="s">
        <v>74</v>
      </c>
      <c r="M457" s="1" t="s">
        <v>74</v>
      </c>
      <c r="N457" s="1" t="s">
        <v>74</v>
      </c>
      <c r="O457" s="1" t="s">
        <v>4249</v>
      </c>
      <c r="P457" s="1" t="s">
        <v>4250</v>
      </c>
      <c r="Q457" s="1" t="s">
        <v>4251</v>
      </c>
      <c r="R457" s="1" t="s">
        <v>4252</v>
      </c>
      <c r="S457" s="1" t="s">
        <v>74</v>
      </c>
      <c r="T457" s="1" t="s">
        <v>74</v>
      </c>
      <c r="U457" s="1" t="s">
        <v>74</v>
      </c>
      <c r="V457" s="1" t="s">
        <v>4253</v>
      </c>
      <c r="W457" s="1" t="s">
        <v>74</v>
      </c>
      <c r="X457" s="1" t="s">
        <v>74</v>
      </c>
      <c r="Y457" s="1" t="s">
        <v>74</v>
      </c>
      <c r="Z457" s="1" t="s">
        <v>74</v>
      </c>
      <c r="AA457" s="1" t="s">
        <v>4254</v>
      </c>
      <c r="AB457" s="1" t="s">
        <v>74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4255</v>
      </c>
      <c r="AP457" s="1" t="s">
        <v>74</v>
      </c>
      <c r="AQ457" s="1" t="s">
        <v>4256</v>
      </c>
      <c r="AR457" s="1" t="s">
        <v>74</v>
      </c>
      <c r="AS457" s="1" t="s">
        <v>74</v>
      </c>
      <c r="AT457" s="1" t="s">
        <v>74</v>
      </c>
      <c r="AU457" s="1">
        <v>2001.0</v>
      </c>
      <c r="AV457" s="1">
        <v>2001.0</v>
      </c>
      <c r="AW457" s="1">
        <v>23.0</v>
      </c>
      <c r="AX457" s="1" t="s">
        <v>74</v>
      </c>
      <c r="AY457" s="1" t="s">
        <v>74</v>
      </c>
      <c r="AZ457" s="1" t="s">
        <v>74</v>
      </c>
      <c r="BA457" s="1" t="s">
        <v>74</v>
      </c>
      <c r="BB457" s="1">
        <v>448.0</v>
      </c>
      <c r="BC457" s="1">
        <v>459.0</v>
      </c>
      <c r="BD457" s="1" t="s">
        <v>74</v>
      </c>
      <c r="BE457" s="1" t="s">
        <v>74</v>
      </c>
      <c r="BF457" s="1" t="s">
        <v>74</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4257</v>
      </c>
      <c r="BT457" s="1" t="str">
        <f>HYPERLINK("https%3A%2F%2Fwww.webofscience.com%2Fwos%2Fwoscc%2Ffull-record%2FWOS:000186760400041","View Full Record in Web of Science")</f>
        <v>View Full Record in Web of Science</v>
      </c>
    </row>
    <row r="458" ht="12.75" customHeight="1">
      <c r="A458" s="1" t="s">
        <v>72</v>
      </c>
      <c r="B458" s="1" t="s">
        <v>4258</v>
      </c>
      <c r="C458" s="1" t="s">
        <v>74</v>
      </c>
      <c r="D458" s="1" t="s">
        <v>74</v>
      </c>
      <c r="E458" s="1" t="s">
        <v>74</v>
      </c>
      <c r="F458" s="1" t="s">
        <v>4258</v>
      </c>
      <c r="G458" s="1" t="s">
        <v>74</v>
      </c>
      <c r="H458" s="1" t="s">
        <v>74</v>
      </c>
      <c r="I458" s="1" t="s">
        <v>4259</v>
      </c>
      <c r="J458" s="1" t="s">
        <v>4260</v>
      </c>
      <c r="K458" s="1" t="s">
        <v>74</v>
      </c>
      <c r="L458" s="1" t="s">
        <v>74</v>
      </c>
      <c r="M458" s="1" t="s">
        <v>74</v>
      </c>
      <c r="N458" s="1" t="s">
        <v>74</v>
      </c>
      <c r="O458" s="1" t="s">
        <v>74</v>
      </c>
      <c r="P458" s="1" t="s">
        <v>74</v>
      </c>
      <c r="Q458" s="1" t="s">
        <v>74</v>
      </c>
      <c r="R458" s="1" t="s">
        <v>74</v>
      </c>
      <c r="S458" s="1" t="s">
        <v>74</v>
      </c>
      <c r="T458" s="1" t="s">
        <v>74</v>
      </c>
      <c r="U458" s="1" t="s">
        <v>74</v>
      </c>
      <c r="V458" s="1" t="s">
        <v>4261</v>
      </c>
      <c r="W458" s="1" t="s">
        <v>74</v>
      </c>
      <c r="X458" s="1" t="s">
        <v>74</v>
      </c>
      <c r="Y458" s="1" t="s">
        <v>74</v>
      </c>
      <c r="Z458" s="1" t="s">
        <v>74</v>
      </c>
      <c r="AA458" s="1" t="s">
        <v>146</v>
      </c>
      <c r="AB458" s="1" t="s">
        <v>1155</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4262</v>
      </c>
      <c r="AP458" s="1" t="s">
        <v>74</v>
      </c>
      <c r="AQ458" s="1" t="s">
        <v>74</v>
      </c>
      <c r="AR458" s="1" t="s">
        <v>74</v>
      </c>
      <c r="AS458" s="1" t="s">
        <v>74</v>
      </c>
      <c r="AT458" s="1" t="s">
        <v>319</v>
      </c>
      <c r="AU458" s="1">
        <v>1998.0</v>
      </c>
      <c r="AV458" s="1" t="s">
        <v>74</v>
      </c>
      <c r="AW458" s="1">
        <v>3.0</v>
      </c>
      <c r="AX458" s="1" t="s">
        <v>74</v>
      </c>
      <c r="AY458" s="1" t="s">
        <v>74</v>
      </c>
      <c r="AZ458" s="1" t="s">
        <v>74</v>
      </c>
      <c r="BA458" s="1" t="s">
        <v>74</v>
      </c>
      <c r="BB458" s="1">
        <v>106.0</v>
      </c>
      <c r="BC458" s="1">
        <v>107.0</v>
      </c>
      <c r="BD458" s="1" t="s">
        <v>74</v>
      </c>
      <c r="BE458" s="1" t="s">
        <v>4263</v>
      </c>
      <c r="BF458" s="2" t="str">
        <f>HYPERLINK("http://dx.doi.org/10.1039/a705480g","http://dx.doi.org/10.1039/a705480g")</f>
        <v>http://dx.doi.org/10.1039/a705480g</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4264</v>
      </c>
      <c r="BT458" s="1" t="str">
        <f>HYPERLINK("https%3A%2F%2Fwww.webofscience.com%2Fwos%2Fwoscc%2Ffull-record%2FWOS:000074217000002","View Full Record in Web of Science")</f>
        <v>View Full Record in Web of Science</v>
      </c>
    </row>
    <row r="459" ht="12.75" customHeight="1">
      <c r="A459" s="1" t="s">
        <v>72</v>
      </c>
      <c r="B459" s="1" t="s">
        <v>4265</v>
      </c>
      <c r="C459" s="1" t="s">
        <v>74</v>
      </c>
      <c r="D459" s="1" t="s">
        <v>74</v>
      </c>
      <c r="E459" s="1" t="s">
        <v>74</v>
      </c>
      <c r="F459" s="1" t="s">
        <v>4265</v>
      </c>
      <c r="G459" s="1" t="s">
        <v>74</v>
      </c>
      <c r="H459" s="1" t="s">
        <v>74</v>
      </c>
      <c r="I459" s="1" t="s">
        <v>4266</v>
      </c>
      <c r="J459" s="1" t="s">
        <v>4267</v>
      </c>
      <c r="K459" s="1" t="s">
        <v>74</v>
      </c>
      <c r="L459" s="1" t="s">
        <v>74</v>
      </c>
      <c r="M459" s="1" t="s">
        <v>74</v>
      </c>
      <c r="N459" s="1" t="s">
        <v>74</v>
      </c>
      <c r="O459" s="1" t="s">
        <v>74</v>
      </c>
      <c r="P459" s="1" t="s">
        <v>74</v>
      </c>
      <c r="Q459" s="1" t="s">
        <v>74</v>
      </c>
      <c r="R459" s="1" t="s">
        <v>74</v>
      </c>
      <c r="S459" s="1" t="s">
        <v>74</v>
      </c>
      <c r="T459" s="1" t="s">
        <v>74</v>
      </c>
      <c r="U459" s="1" t="s">
        <v>74</v>
      </c>
      <c r="V459" s="1" t="s">
        <v>4268</v>
      </c>
      <c r="W459" s="1" t="s">
        <v>74</v>
      </c>
      <c r="X459" s="1" t="s">
        <v>74</v>
      </c>
      <c r="Y459" s="1" t="s">
        <v>74</v>
      </c>
      <c r="Z459" s="1" t="s">
        <v>74</v>
      </c>
      <c r="AA459" s="1" t="s">
        <v>4269</v>
      </c>
      <c r="AB459" s="1" t="s">
        <v>4270</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4271</v>
      </c>
      <c r="AP459" s="1" t="s">
        <v>4272</v>
      </c>
      <c r="AQ459" s="1" t="s">
        <v>74</v>
      </c>
      <c r="AR459" s="1" t="s">
        <v>74</v>
      </c>
      <c r="AS459" s="1" t="s">
        <v>74</v>
      </c>
      <c r="AT459" s="1" t="s">
        <v>4273</v>
      </c>
      <c r="AU459" s="1">
        <v>1995.0</v>
      </c>
      <c r="AV459" s="1">
        <v>357.0</v>
      </c>
      <c r="AW459" s="1" t="s">
        <v>1569</v>
      </c>
      <c r="AX459" s="1" t="s">
        <v>74</v>
      </c>
      <c r="AY459" s="1" t="s">
        <v>74</v>
      </c>
      <c r="AZ459" s="1" t="s">
        <v>74</v>
      </c>
      <c r="BA459" s="1" t="s">
        <v>74</v>
      </c>
      <c r="BB459" s="1">
        <v>131.0</v>
      </c>
      <c r="BC459" s="1">
        <v>137.0</v>
      </c>
      <c r="BD459" s="1" t="s">
        <v>74</v>
      </c>
      <c r="BE459" s="1" t="s">
        <v>4274</v>
      </c>
      <c r="BF459" s="2" t="str">
        <f>HYPERLINK("http://dx.doi.org/10.1016/0370-2693(95)00863-G","http://dx.doi.org/10.1016/0370-2693(95)00863-G")</f>
        <v>http://dx.doi.org/10.1016/0370-2693(95)00863-G</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4275</v>
      </c>
      <c r="BT459" s="1" t="str">
        <f>HYPERLINK("https%3A%2F%2Fwww.webofscience.com%2Fwos%2Fwoscc%2Ffull-record%2FWOS:A1995RT33400021","View Full Record in Web of Science")</f>
        <v>View Full Record in Web of Science</v>
      </c>
    </row>
    <row r="460" ht="12.75" customHeight="1">
      <c r="A460" s="1" t="s">
        <v>72</v>
      </c>
      <c r="B460" s="1" t="s">
        <v>540</v>
      </c>
      <c r="C460" s="1" t="s">
        <v>74</v>
      </c>
      <c r="D460" s="1" t="s">
        <v>74</v>
      </c>
      <c r="E460" s="1" t="s">
        <v>74</v>
      </c>
      <c r="F460" s="1" t="s">
        <v>540</v>
      </c>
      <c r="G460" s="1" t="s">
        <v>74</v>
      </c>
      <c r="H460" s="1" t="s">
        <v>74</v>
      </c>
      <c r="I460" s="1" t="s">
        <v>4276</v>
      </c>
      <c r="J460" s="1" t="s">
        <v>1589</v>
      </c>
      <c r="K460" s="1" t="s">
        <v>74</v>
      </c>
      <c r="L460" s="1" t="s">
        <v>74</v>
      </c>
      <c r="M460" s="1" t="s">
        <v>74</v>
      </c>
      <c r="N460" s="1" t="s">
        <v>74</v>
      </c>
      <c r="O460" s="1" t="s">
        <v>74</v>
      </c>
      <c r="P460" s="1" t="s">
        <v>74</v>
      </c>
      <c r="Q460" s="1" t="s">
        <v>74</v>
      </c>
      <c r="R460" s="1" t="s">
        <v>74</v>
      </c>
      <c r="S460" s="1" t="s">
        <v>74</v>
      </c>
      <c r="T460" s="1" t="s">
        <v>74</v>
      </c>
      <c r="U460" s="1" t="s">
        <v>74</v>
      </c>
      <c r="V460" s="1" t="s">
        <v>4277</v>
      </c>
      <c r="W460" s="1" t="s">
        <v>74</v>
      </c>
      <c r="X460" s="1" t="s">
        <v>74</v>
      </c>
      <c r="Y460" s="1" t="s">
        <v>74</v>
      </c>
      <c r="Z460" s="1" t="s">
        <v>74</v>
      </c>
      <c r="AA460" s="1" t="s">
        <v>544</v>
      </c>
      <c r="AB460" s="1" t="s">
        <v>545</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1591</v>
      </c>
      <c r="AP460" s="1" t="s">
        <v>74</v>
      </c>
      <c r="AQ460" s="1" t="s">
        <v>74</v>
      </c>
      <c r="AR460" s="1" t="s">
        <v>74</v>
      </c>
      <c r="AS460" s="1" t="s">
        <v>74</v>
      </c>
      <c r="AT460" s="1" t="s">
        <v>82</v>
      </c>
      <c r="AU460" s="1">
        <v>1994.0</v>
      </c>
      <c r="AV460" s="1">
        <v>16.0</v>
      </c>
      <c r="AW460" s="1">
        <v>6.0</v>
      </c>
      <c r="AX460" s="1" t="s">
        <v>74</v>
      </c>
      <c r="AY460" s="1" t="s">
        <v>74</v>
      </c>
      <c r="AZ460" s="1" t="s">
        <v>74</v>
      </c>
      <c r="BA460" s="1" t="s">
        <v>74</v>
      </c>
      <c r="BB460" s="1">
        <v>833.0</v>
      </c>
      <c r="BC460" s="1">
        <v>837.0</v>
      </c>
      <c r="BD460" s="1" t="s">
        <v>74</v>
      </c>
      <c r="BE460" s="1" t="s">
        <v>4278</v>
      </c>
      <c r="BF460" s="2" t="str">
        <f>HYPERLINK("http://dx.doi.org/10.1016/0891-5849(94)90200-3","http://dx.doi.org/10.1016/0891-5849(94)90200-3")</f>
        <v>http://dx.doi.org/10.1016/0891-5849(94)90200-3</v>
      </c>
      <c r="BG460" s="1" t="s">
        <v>74</v>
      </c>
      <c r="BH460" s="1" t="s">
        <v>74</v>
      </c>
      <c r="BI460" s="1" t="s">
        <v>74</v>
      </c>
      <c r="BJ460" s="1" t="s">
        <v>74</v>
      </c>
      <c r="BK460" s="1" t="s">
        <v>74</v>
      </c>
      <c r="BL460" s="1" t="s">
        <v>74</v>
      </c>
      <c r="BM460" s="1" t="s">
        <v>74</v>
      </c>
      <c r="BN460" s="1">
        <v>8070688.0</v>
      </c>
      <c r="BO460" s="1" t="s">
        <v>74</v>
      </c>
      <c r="BP460" s="1" t="s">
        <v>74</v>
      </c>
      <c r="BQ460" s="1" t="s">
        <v>74</v>
      </c>
      <c r="BR460" s="1" t="s">
        <v>74</v>
      </c>
      <c r="BS460" s="1" t="s">
        <v>4279</v>
      </c>
      <c r="BT460" s="1" t="str">
        <f>HYPERLINK("https%3A%2F%2Fwww.webofscience.com%2Fwos%2Fwoscc%2Ffull-record%2FWOS:A1994NL95100019","View Full Record in Web of Science")</f>
        <v>View Full Record in Web of Science</v>
      </c>
    </row>
    <row r="461" ht="12.75" customHeight="1">
      <c r="A461" s="1" t="s">
        <v>72</v>
      </c>
      <c r="B461" s="1" t="s">
        <v>4280</v>
      </c>
      <c r="C461" s="1" t="s">
        <v>74</v>
      </c>
      <c r="D461" s="1" t="s">
        <v>74</v>
      </c>
      <c r="E461" s="1" t="s">
        <v>74</v>
      </c>
      <c r="F461" s="1" t="s">
        <v>4280</v>
      </c>
      <c r="G461" s="1" t="s">
        <v>74</v>
      </c>
      <c r="H461" s="1" t="s">
        <v>74</v>
      </c>
      <c r="I461" s="1" t="s">
        <v>4281</v>
      </c>
      <c r="J461" s="1" t="s">
        <v>562</v>
      </c>
      <c r="K461" s="1" t="s">
        <v>74</v>
      </c>
      <c r="L461" s="1" t="s">
        <v>74</v>
      </c>
      <c r="M461" s="1" t="s">
        <v>74</v>
      </c>
      <c r="N461" s="1" t="s">
        <v>74</v>
      </c>
      <c r="O461" s="1" t="s">
        <v>74</v>
      </c>
      <c r="P461" s="1" t="s">
        <v>74</v>
      </c>
      <c r="Q461" s="1" t="s">
        <v>74</v>
      </c>
      <c r="R461" s="1" t="s">
        <v>74</v>
      </c>
      <c r="S461" s="1" t="s">
        <v>74</v>
      </c>
      <c r="T461" s="1" t="s">
        <v>74</v>
      </c>
      <c r="U461" s="1" t="s">
        <v>74</v>
      </c>
      <c r="V461" s="1" t="s">
        <v>4282</v>
      </c>
      <c r="W461" s="1" t="s">
        <v>74</v>
      </c>
      <c r="X461" s="1" t="s">
        <v>74</v>
      </c>
      <c r="Y461" s="1" t="s">
        <v>74</v>
      </c>
      <c r="Z461" s="1" t="s">
        <v>74</v>
      </c>
      <c r="AA461" s="1" t="s">
        <v>74</v>
      </c>
      <c r="AB461" s="1" t="s">
        <v>2742</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564</v>
      </c>
      <c r="AP461" s="1" t="s">
        <v>74</v>
      </c>
      <c r="AQ461" s="1" t="s">
        <v>74</v>
      </c>
      <c r="AR461" s="1" t="s">
        <v>74</v>
      </c>
      <c r="AS461" s="1" t="s">
        <v>74</v>
      </c>
      <c r="AT461" s="1" t="s">
        <v>82</v>
      </c>
      <c r="AU461" s="1">
        <v>1993.0</v>
      </c>
      <c r="AV461" s="1">
        <v>6.0</v>
      </c>
      <c r="AW461" s="1">
        <v>6.0</v>
      </c>
      <c r="AX461" s="1" t="s">
        <v>74</v>
      </c>
      <c r="AY461" s="1" t="s">
        <v>74</v>
      </c>
      <c r="AZ461" s="1" t="s">
        <v>74</v>
      </c>
      <c r="BA461" s="1" t="s">
        <v>74</v>
      </c>
      <c r="BB461" s="1">
        <v>607.0</v>
      </c>
      <c r="BC461" s="1">
        <v>617.0</v>
      </c>
      <c r="BD461" s="1" t="s">
        <v>74</v>
      </c>
      <c r="BE461" s="1" t="s">
        <v>4283</v>
      </c>
      <c r="BF461" s="2" t="str">
        <f>HYPERLINK("http://dx.doi.org/10.1016/0892-6875(93)90115-4","http://dx.doi.org/10.1016/0892-6875(93)90115-4")</f>
        <v>http://dx.doi.org/10.1016/0892-6875(93)90115-4</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4284</v>
      </c>
      <c r="BT461" s="1" t="str">
        <f>HYPERLINK("https%3A%2F%2Fwww.webofscience.com%2Fwos%2Fwoscc%2Ffull-record%2FWOS:A1993LH30100006","View Full Record in Web of Science")</f>
        <v>View Full Record in Web of Science</v>
      </c>
    </row>
    <row r="462" ht="12.75" customHeight="1">
      <c r="A462" s="1" t="s">
        <v>72</v>
      </c>
      <c r="B462" s="1" t="s">
        <v>4285</v>
      </c>
      <c r="C462" s="1" t="s">
        <v>74</v>
      </c>
      <c r="D462" s="1" t="s">
        <v>74</v>
      </c>
      <c r="E462" s="1" t="s">
        <v>74</v>
      </c>
      <c r="F462" s="1" t="s">
        <v>4285</v>
      </c>
      <c r="G462" s="1" t="s">
        <v>74</v>
      </c>
      <c r="H462" s="1" t="s">
        <v>74</v>
      </c>
      <c r="I462" s="1" t="s">
        <v>4286</v>
      </c>
      <c r="J462" s="1" t="s">
        <v>4287</v>
      </c>
      <c r="K462" s="1" t="s">
        <v>74</v>
      </c>
      <c r="L462" s="1" t="s">
        <v>74</v>
      </c>
      <c r="M462" s="1" t="s">
        <v>74</v>
      </c>
      <c r="N462" s="1" t="s">
        <v>74</v>
      </c>
      <c r="O462" s="1" t="s">
        <v>74</v>
      </c>
      <c r="P462" s="1" t="s">
        <v>74</v>
      </c>
      <c r="Q462" s="1" t="s">
        <v>74</v>
      </c>
      <c r="R462" s="1" t="s">
        <v>74</v>
      </c>
      <c r="S462" s="1" t="s">
        <v>74</v>
      </c>
      <c r="T462" s="1" t="s">
        <v>74</v>
      </c>
      <c r="U462" s="1" t="s">
        <v>74</v>
      </c>
      <c r="V462" s="1" t="s">
        <v>74</v>
      </c>
      <c r="W462" s="1" t="s">
        <v>74</v>
      </c>
      <c r="X462" s="1" t="s">
        <v>74</v>
      </c>
      <c r="Y462" s="1" t="s">
        <v>74</v>
      </c>
      <c r="Z462" s="1" t="s">
        <v>74</v>
      </c>
      <c r="AA462" s="1" t="s">
        <v>4288</v>
      </c>
      <c r="AB462" s="1" t="s">
        <v>4289</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4290</v>
      </c>
      <c r="AP462" s="1" t="s">
        <v>74</v>
      </c>
      <c r="AQ462" s="1" t="s">
        <v>74</v>
      </c>
      <c r="AR462" s="1" t="s">
        <v>74</v>
      </c>
      <c r="AS462" s="1" t="s">
        <v>74</v>
      </c>
      <c r="AT462" s="1" t="s">
        <v>74</v>
      </c>
      <c r="AU462" s="1">
        <v>1989.0</v>
      </c>
      <c r="AV462" s="1">
        <v>163.0</v>
      </c>
      <c r="AW462" s="1" t="s">
        <v>74</v>
      </c>
      <c r="AX462" s="1">
        <v>2.0</v>
      </c>
      <c r="AY462" s="1" t="s">
        <v>74</v>
      </c>
      <c r="AZ462" s="1" t="s">
        <v>74</v>
      </c>
      <c r="BA462" s="1" t="s">
        <v>74</v>
      </c>
      <c r="BB462" s="1">
        <v>521.0</v>
      </c>
      <c r="BC462" s="1">
        <v>525.0</v>
      </c>
      <c r="BD462" s="1" t="s">
        <v>74</v>
      </c>
      <c r="BE462" s="1" t="s">
        <v>4291</v>
      </c>
      <c r="BF462" s="2" t="str">
        <f>HYPERLINK("http://dx.doi.org/10.1524/zpch.1989.163.Part_2.0521","http://dx.doi.org/10.1524/zpch.1989.163.Part_2.0521")</f>
        <v>http://dx.doi.org/10.1524/zpch.1989.163.Part_2.0521</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4292</v>
      </c>
      <c r="BT462" s="1" t="str">
        <f>HYPERLINK("https%3A%2F%2Fwww.webofscience.com%2Fwos%2Fwoscc%2Ffull-record%2FWOS:A1989AZ51800033","View Full Record in Web of Science")</f>
        <v>View Full Record in Web of Science</v>
      </c>
    </row>
    <row r="463" ht="12.75" customHeight="1">
      <c r="A463" s="1" t="s">
        <v>72</v>
      </c>
      <c r="B463" s="1" t="s">
        <v>4293</v>
      </c>
      <c r="C463" s="1" t="s">
        <v>74</v>
      </c>
      <c r="D463" s="1" t="s">
        <v>74</v>
      </c>
      <c r="E463" s="1" t="s">
        <v>74</v>
      </c>
      <c r="F463" s="1" t="s">
        <v>4294</v>
      </c>
      <c r="G463" s="1" t="s">
        <v>74</v>
      </c>
      <c r="H463" s="1" t="s">
        <v>74</v>
      </c>
      <c r="I463" s="1" t="s">
        <v>4295</v>
      </c>
      <c r="J463" s="1" t="s">
        <v>4296</v>
      </c>
      <c r="K463" s="1" t="s">
        <v>74</v>
      </c>
      <c r="L463" s="1" t="s">
        <v>74</v>
      </c>
      <c r="M463" s="1" t="s">
        <v>74</v>
      </c>
      <c r="N463" s="1" t="s">
        <v>74</v>
      </c>
      <c r="O463" s="1" t="s">
        <v>74</v>
      </c>
      <c r="P463" s="1" t="s">
        <v>74</v>
      </c>
      <c r="Q463" s="1" t="s">
        <v>74</v>
      </c>
      <c r="R463" s="1" t="s">
        <v>74</v>
      </c>
      <c r="S463" s="1" t="s">
        <v>74</v>
      </c>
      <c r="T463" s="1" t="s">
        <v>74</v>
      </c>
      <c r="U463" s="1" t="s">
        <v>74</v>
      </c>
      <c r="V463" s="1" t="s">
        <v>4297</v>
      </c>
      <c r="W463" s="1" t="s">
        <v>74</v>
      </c>
      <c r="X463" s="1" t="s">
        <v>74</v>
      </c>
      <c r="Y463" s="1" t="s">
        <v>74</v>
      </c>
      <c r="Z463" s="1" t="s">
        <v>74</v>
      </c>
      <c r="AA463" s="1" t="s">
        <v>4298</v>
      </c>
      <c r="AB463" s="1" t="s">
        <v>4299</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4300</v>
      </c>
      <c r="AP463" s="1" t="s">
        <v>4301</v>
      </c>
      <c r="AQ463" s="1" t="s">
        <v>74</v>
      </c>
      <c r="AR463" s="1" t="s">
        <v>74</v>
      </c>
      <c r="AS463" s="1" t="s">
        <v>74</v>
      </c>
      <c r="AT463" s="1" t="s">
        <v>174</v>
      </c>
      <c r="AU463" s="1">
        <v>2025.0</v>
      </c>
      <c r="AV463" s="1">
        <v>76.0</v>
      </c>
      <c r="AW463" s="1">
        <v>2.0</v>
      </c>
      <c r="AX463" s="1" t="s">
        <v>74</v>
      </c>
      <c r="AY463" s="1" t="s">
        <v>74</v>
      </c>
      <c r="AZ463" s="1" t="s">
        <v>74</v>
      </c>
      <c r="BA463" s="1" t="s">
        <v>74</v>
      </c>
      <c r="BB463" s="1" t="s">
        <v>74</v>
      </c>
      <c r="BC463" s="1" t="s">
        <v>74</v>
      </c>
      <c r="BD463" s="1">
        <v>48.0</v>
      </c>
      <c r="BE463" s="1" t="s">
        <v>4302</v>
      </c>
      <c r="BF463" s="2" t="str">
        <f>HYPERLINK("http://dx.doi.org/10.1007/s00033-024-02418-1","http://dx.doi.org/10.1007/s00033-024-02418-1")</f>
        <v>http://dx.doi.org/10.1007/s00033-024-02418-1</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4303</v>
      </c>
      <c r="BT463" s="1" t="str">
        <f>HYPERLINK("https%3A%2F%2Fwww.webofscience.com%2Fwos%2Fwoscc%2Ffull-record%2FWOS:001409140600003","View Full Record in Web of Science")</f>
        <v>View Full Record in Web of Science</v>
      </c>
    </row>
    <row r="464" ht="12.75" customHeight="1">
      <c r="A464" s="1" t="s">
        <v>72</v>
      </c>
      <c r="B464" s="1" t="s">
        <v>4304</v>
      </c>
      <c r="C464" s="1" t="s">
        <v>74</v>
      </c>
      <c r="D464" s="1" t="s">
        <v>74</v>
      </c>
      <c r="E464" s="1" t="s">
        <v>74</v>
      </c>
      <c r="F464" s="1" t="s">
        <v>4305</v>
      </c>
      <c r="G464" s="1" t="s">
        <v>74</v>
      </c>
      <c r="H464" s="1" t="s">
        <v>74</v>
      </c>
      <c r="I464" s="1" t="s">
        <v>4306</v>
      </c>
      <c r="J464" s="1" t="s">
        <v>4307</v>
      </c>
      <c r="K464" s="1" t="s">
        <v>74</v>
      </c>
      <c r="L464" s="1" t="s">
        <v>74</v>
      </c>
      <c r="M464" s="1" t="s">
        <v>74</v>
      </c>
      <c r="N464" s="1" t="s">
        <v>74</v>
      </c>
      <c r="O464" s="1" t="s">
        <v>74</v>
      </c>
      <c r="P464" s="1" t="s">
        <v>74</v>
      </c>
      <c r="Q464" s="1" t="s">
        <v>74</v>
      </c>
      <c r="R464" s="1" t="s">
        <v>74</v>
      </c>
      <c r="S464" s="1" t="s">
        <v>74</v>
      </c>
      <c r="T464" s="1" t="s">
        <v>74</v>
      </c>
      <c r="U464" s="1" t="s">
        <v>74</v>
      </c>
      <c r="V464" s="1" t="s">
        <v>4308</v>
      </c>
      <c r="W464" s="1" t="s">
        <v>74</v>
      </c>
      <c r="X464" s="1" t="s">
        <v>74</v>
      </c>
      <c r="Y464" s="1" t="s">
        <v>74</v>
      </c>
      <c r="Z464" s="1" t="s">
        <v>74</v>
      </c>
      <c r="AA464" s="1" t="s">
        <v>74</v>
      </c>
      <c r="AB464" s="1" t="s">
        <v>74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4309</v>
      </c>
      <c r="AP464" s="1" t="s">
        <v>4310</v>
      </c>
      <c r="AQ464" s="1" t="s">
        <v>74</v>
      </c>
      <c r="AR464" s="1" t="s">
        <v>74</v>
      </c>
      <c r="AS464" s="1" t="s">
        <v>74</v>
      </c>
      <c r="AT464" s="1" t="s">
        <v>4311</v>
      </c>
      <c r="AU464" s="1">
        <v>2025.0</v>
      </c>
      <c r="AV464" s="1" t="s">
        <v>74</v>
      </c>
      <c r="AW464" s="1" t="s">
        <v>74</v>
      </c>
      <c r="AX464" s="1" t="s">
        <v>74</v>
      </c>
      <c r="AY464" s="1" t="s">
        <v>74</v>
      </c>
      <c r="AZ464" s="1" t="s">
        <v>74</v>
      </c>
      <c r="BA464" s="1" t="s">
        <v>74</v>
      </c>
      <c r="BB464" s="1" t="s">
        <v>74</v>
      </c>
      <c r="BC464" s="1" t="s">
        <v>74</v>
      </c>
      <c r="BD464" s="1" t="s">
        <v>74</v>
      </c>
      <c r="BE464" s="1" t="s">
        <v>4312</v>
      </c>
      <c r="BF464" s="2" t="str">
        <f>HYPERLINK("http://dx.doi.org/10.1007/s11010-024-05190-y","http://dx.doi.org/10.1007/s11010-024-05190-y")</f>
        <v>http://dx.doi.org/10.1007/s11010-024-05190-y</v>
      </c>
      <c r="BG464" s="1" t="s">
        <v>74</v>
      </c>
      <c r="BH464" s="1" t="s">
        <v>1054</v>
      </c>
      <c r="BI464" s="1" t="s">
        <v>74</v>
      </c>
      <c r="BJ464" s="1" t="s">
        <v>74</v>
      </c>
      <c r="BK464" s="1" t="s">
        <v>74</v>
      </c>
      <c r="BL464" s="1" t="s">
        <v>74</v>
      </c>
      <c r="BM464" s="1" t="s">
        <v>74</v>
      </c>
      <c r="BN464" s="1">
        <v>3.9760833E7</v>
      </c>
      <c r="BO464" s="1" t="s">
        <v>74</v>
      </c>
      <c r="BP464" s="1" t="s">
        <v>74</v>
      </c>
      <c r="BQ464" s="1" t="s">
        <v>74</v>
      </c>
      <c r="BR464" s="1" t="s">
        <v>74</v>
      </c>
      <c r="BS464" s="1" t="s">
        <v>4313</v>
      </c>
      <c r="BT464" s="1" t="str">
        <f>HYPERLINK("https%3A%2F%2Fwww.webofscience.com%2Fwos%2Fwoscc%2Ffull-record%2FWOS:001390289200001","View Full Record in Web of Science")</f>
        <v>View Full Record in Web of Science</v>
      </c>
    </row>
    <row r="465" ht="12.75" customHeight="1">
      <c r="A465" s="1" t="s">
        <v>72</v>
      </c>
      <c r="B465" s="1" t="s">
        <v>4314</v>
      </c>
      <c r="C465" s="1" t="s">
        <v>74</v>
      </c>
      <c r="D465" s="1" t="s">
        <v>74</v>
      </c>
      <c r="E465" s="1" t="s">
        <v>74</v>
      </c>
      <c r="F465" s="1" t="s">
        <v>4315</v>
      </c>
      <c r="G465" s="1" t="s">
        <v>74</v>
      </c>
      <c r="H465" s="1" t="s">
        <v>74</v>
      </c>
      <c r="I465" s="1" t="s">
        <v>4316</v>
      </c>
      <c r="J465" s="1" t="s">
        <v>4317</v>
      </c>
      <c r="K465" s="1" t="s">
        <v>74</v>
      </c>
      <c r="L465" s="1" t="s">
        <v>74</v>
      </c>
      <c r="M465" s="1" t="s">
        <v>74</v>
      </c>
      <c r="N465" s="1" t="s">
        <v>74</v>
      </c>
      <c r="O465" s="1" t="s">
        <v>74</v>
      </c>
      <c r="P465" s="1" t="s">
        <v>74</v>
      </c>
      <c r="Q465" s="1" t="s">
        <v>74</v>
      </c>
      <c r="R465" s="1" t="s">
        <v>74</v>
      </c>
      <c r="S465" s="1" t="s">
        <v>74</v>
      </c>
      <c r="T465" s="1" t="s">
        <v>74</v>
      </c>
      <c r="U465" s="1" t="s">
        <v>74</v>
      </c>
      <c r="V465" s="1" t="s">
        <v>74</v>
      </c>
      <c r="W465" s="1" t="s">
        <v>74</v>
      </c>
      <c r="X465" s="1" t="s">
        <v>74</v>
      </c>
      <c r="Y465" s="1" t="s">
        <v>74</v>
      </c>
      <c r="Z465" s="1" t="s">
        <v>74</v>
      </c>
      <c r="AA465" s="1" t="s">
        <v>74</v>
      </c>
      <c r="AB465" s="1" t="s">
        <v>74</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4318</v>
      </c>
      <c r="AP465" s="1" t="s">
        <v>4319</v>
      </c>
      <c r="AQ465" s="1" t="s">
        <v>74</v>
      </c>
      <c r="AR465" s="1" t="s">
        <v>74</v>
      </c>
      <c r="AS465" s="1" t="s">
        <v>74</v>
      </c>
      <c r="AT465" s="1" t="s">
        <v>116</v>
      </c>
      <c r="AU465" s="1">
        <v>2024.0</v>
      </c>
      <c r="AV465" s="1">
        <v>81.0</v>
      </c>
      <c r="AW465" s="1">
        <v>3.0</v>
      </c>
      <c r="AX465" s="1" t="s">
        <v>74</v>
      </c>
      <c r="AY465" s="1" t="s">
        <v>74</v>
      </c>
      <c r="AZ465" s="1" t="s">
        <v>74</v>
      </c>
      <c r="BA465" s="1" t="s">
        <v>74</v>
      </c>
      <c r="BB465" s="1">
        <v>526.0</v>
      </c>
      <c r="BC465" s="1">
        <v>527.0</v>
      </c>
      <c r="BD465" s="1" t="s">
        <v>74</v>
      </c>
      <c r="BE465" s="1" t="s">
        <v>4320</v>
      </c>
      <c r="BF465" s="2" t="str">
        <f>HYPERLINK("http://dx.doi.org/10.1017/tam.2024.136","http://dx.doi.org/10.1017/tam.2024.136")</f>
        <v>http://dx.doi.org/10.1017/tam.2024.136</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4321</v>
      </c>
      <c r="BT465" s="1" t="str">
        <f>HYPERLINK("https%3A%2F%2Fwww.webofscience.com%2Fwos%2Fwoscc%2Ffull-record%2FWOS:001377186900004","View Full Record in Web of Science")</f>
        <v>View Full Record in Web of Science</v>
      </c>
    </row>
    <row r="466" ht="12.75" customHeight="1">
      <c r="A466" s="1" t="s">
        <v>72</v>
      </c>
      <c r="B466" s="1" t="s">
        <v>4322</v>
      </c>
      <c r="C466" s="1" t="s">
        <v>74</v>
      </c>
      <c r="D466" s="1" t="s">
        <v>74</v>
      </c>
      <c r="E466" s="1" t="s">
        <v>74</v>
      </c>
      <c r="F466" s="1" t="s">
        <v>4323</v>
      </c>
      <c r="G466" s="1" t="s">
        <v>74</v>
      </c>
      <c r="H466" s="1" t="s">
        <v>74</v>
      </c>
      <c r="I466" s="1" t="s">
        <v>4324</v>
      </c>
      <c r="J466" s="1" t="s">
        <v>2194</v>
      </c>
      <c r="K466" s="1" t="s">
        <v>74</v>
      </c>
      <c r="L466" s="1" t="s">
        <v>74</v>
      </c>
      <c r="M466" s="1" t="s">
        <v>74</v>
      </c>
      <c r="N466" s="1" t="s">
        <v>74</v>
      </c>
      <c r="O466" s="1" t="s">
        <v>74</v>
      </c>
      <c r="P466" s="1" t="s">
        <v>74</v>
      </c>
      <c r="Q466" s="1" t="s">
        <v>74</v>
      </c>
      <c r="R466" s="1" t="s">
        <v>74</v>
      </c>
      <c r="S466" s="1" t="s">
        <v>74</v>
      </c>
      <c r="T466" s="1" t="s">
        <v>74</v>
      </c>
      <c r="U466" s="1" t="s">
        <v>74</v>
      </c>
      <c r="V466" s="1" t="s">
        <v>4325</v>
      </c>
      <c r="W466" s="1" t="s">
        <v>74</v>
      </c>
      <c r="X466" s="1" t="s">
        <v>74</v>
      </c>
      <c r="Y466" s="1" t="s">
        <v>74</v>
      </c>
      <c r="Z466" s="1" t="s">
        <v>74</v>
      </c>
      <c r="AA466" s="1" t="s">
        <v>4326</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2198</v>
      </c>
      <c r="AP466" s="1" t="s">
        <v>2199</v>
      </c>
      <c r="AQ466" s="1" t="s">
        <v>74</v>
      </c>
      <c r="AR466" s="1" t="s">
        <v>74</v>
      </c>
      <c r="AS466" s="1" t="s">
        <v>74</v>
      </c>
      <c r="AT466" s="1" t="s">
        <v>2619</v>
      </c>
      <c r="AU466" s="1">
        <v>2024.0</v>
      </c>
      <c r="AV466" s="1">
        <v>194.0</v>
      </c>
      <c r="AW466" s="1" t="s">
        <v>74</v>
      </c>
      <c r="AX466" s="1" t="s">
        <v>74</v>
      </c>
      <c r="AY466" s="1" t="s">
        <v>74</v>
      </c>
      <c r="AZ466" s="1" t="s">
        <v>74</v>
      </c>
      <c r="BA466" s="1" t="s">
        <v>74</v>
      </c>
      <c r="BB466" s="1" t="s">
        <v>74</v>
      </c>
      <c r="BC466" s="1" t="s">
        <v>74</v>
      </c>
      <c r="BD466" s="1">
        <v>115787.0</v>
      </c>
      <c r="BE466" s="1" t="s">
        <v>4327</v>
      </c>
      <c r="BF466" s="2" t="str">
        <f>HYPERLINK("http://dx.doi.org/10.1016/j.lwt.2024.115787","http://dx.doi.org/10.1016/j.lwt.2024.115787")</f>
        <v>http://dx.doi.org/10.1016/j.lwt.2024.115787</v>
      </c>
      <c r="BG466" s="1" t="s">
        <v>74</v>
      </c>
      <c r="BH466" s="1" t="s">
        <v>2655</v>
      </c>
      <c r="BI466" s="1" t="s">
        <v>74</v>
      </c>
      <c r="BJ466" s="1" t="s">
        <v>74</v>
      </c>
      <c r="BK466" s="1" t="s">
        <v>74</v>
      </c>
      <c r="BL466" s="1" t="s">
        <v>74</v>
      </c>
      <c r="BM466" s="1" t="s">
        <v>74</v>
      </c>
      <c r="BN466" s="1" t="s">
        <v>74</v>
      </c>
      <c r="BO466" s="1" t="s">
        <v>74</v>
      </c>
      <c r="BP466" s="1" t="s">
        <v>74</v>
      </c>
      <c r="BQ466" s="1" t="s">
        <v>74</v>
      </c>
      <c r="BR466" s="1" t="s">
        <v>74</v>
      </c>
      <c r="BS466" s="1" t="s">
        <v>4328</v>
      </c>
      <c r="BT466" s="1" t="str">
        <f>HYPERLINK("https%3A%2F%2Fwww.webofscience.com%2Fwos%2Fwoscc%2Ffull-record%2FWOS:001176308100001","View Full Record in Web of Science")</f>
        <v>View Full Record in Web of Science</v>
      </c>
    </row>
    <row r="467" ht="12.75" customHeight="1">
      <c r="A467" s="1" t="s">
        <v>72</v>
      </c>
      <c r="B467" s="1" t="s">
        <v>4329</v>
      </c>
      <c r="C467" s="1" t="s">
        <v>74</v>
      </c>
      <c r="D467" s="1" t="s">
        <v>74</v>
      </c>
      <c r="E467" s="1" t="s">
        <v>74</v>
      </c>
      <c r="F467" s="1" t="s">
        <v>4330</v>
      </c>
      <c r="G467" s="1" t="s">
        <v>74</v>
      </c>
      <c r="H467" s="1" t="s">
        <v>74</v>
      </c>
      <c r="I467" s="1" t="s">
        <v>4331</v>
      </c>
      <c r="J467" s="1" t="s">
        <v>4332</v>
      </c>
      <c r="K467" s="1" t="s">
        <v>74</v>
      </c>
      <c r="L467" s="1" t="s">
        <v>74</v>
      </c>
      <c r="M467" s="1" t="s">
        <v>74</v>
      </c>
      <c r="N467" s="1" t="s">
        <v>74</v>
      </c>
      <c r="O467" s="1" t="s">
        <v>74</v>
      </c>
      <c r="P467" s="1" t="s">
        <v>74</v>
      </c>
      <c r="Q467" s="1" t="s">
        <v>74</v>
      </c>
      <c r="R467" s="1" t="s">
        <v>74</v>
      </c>
      <c r="S467" s="1" t="s">
        <v>74</v>
      </c>
      <c r="T467" s="1" t="s">
        <v>74</v>
      </c>
      <c r="U467" s="1" t="s">
        <v>74</v>
      </c>
      <c r="V467" s="1" t="s">
        <v>4333</v>
      </c>
      <c r="W467" s="1" t="s">
        <v>74</v>
      </c>
      <c r="X467" s="1" t="s">
        <v>74</v>
      </c>
      <c r="Y467" s="1" t="s">
        <v>74</v>
      </c>
      <c r="Z467" s="1" t="s">
        <v>74</v>
      </c>
      <c r="AA467" s="1" t="s">
        <v>74</v>
      </c>
      <c r="AB467" s="1" t="s">
        <v>4334</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4335</v>
      </c>
      <c r="AP467" s="1" t="s">
        <v>4336</v>
      </c>
      <c r="AQ467" s="1" t="s">
        <v>74</v>
      </c>
      <c r="AR467" s="1" t="s">
        <v>74</v>
      </c>
      <c r="AS467" s="1" t="s">
        <v>74</v>
      </c>
      <c r="AT467" s="1" t="s">
        <v>74</v>
      </c>
      <c r="AU467" s="1">
        <v>2024.0</v>
      </c>
      <c r="AV467" s="1">
        <v>12.0</v>
      </c>
      <c r="AW467" s="1" t="s">
        <v>74</v>
      </c>
      <c r="AX467" s="1" t="s">
        <v>74</v>
      </c>
      <c r="AY467" s="1" t="s">
        <v>74</v>
      </c>
      <c r="AZ467" s="1" t="s">
        <v>74</v>
      </c>
      <c r="BA467" s="1" t="s">
        <v>74</v>
      </c>
      <c r="BB467" s="1" t="s">
        <v>74</v>
      </c>
      <c r="BC467" s="1" t="s">
        <v>74</v>
      </c>
      <c r="BD467" s="1" t="s">
        <v>4337</v>
      </c>
      <c r="BE467" s="1" t="s">
        <v>4338</v>
      </c>
      <c r="BF467" s="2" t="str">
        <f>HYPERLINK("http://dx.doi.org/10.22234/recu.20241201.e853","http://dx.doi.org/10.22234/recu.20241201.e853")</f>
        <v>http://dx.doi.org/10.22234/recu.20241201.e853</v>
      </c>
      <c r="BG467" s="1" t="s">
        <v>74</v>
      </c>
      <c r="BH467" s="1" t="s">
        <v>74</v>
      </c>
      <c r="BI467" s="1" t="s">
        <v>74</v>
      </c>
      <c r="BJ467" s="1" t="s">
        <v>74</v>
      </c>
      <c r="BK467" s="1" t="s">
        <v>74</v>
      </c>
      <c r="BL467" s="1" t="s">
        <v>74</v>
      </c>
      <c r="BM467" s="1" t="s">
        <v>74</v>
      </c>
      <c r="BN467" s="1" t="s">
        <v>74</v>
      </c>
      <c r="BO467" s="1" t="s">
        <v>74</v>
      </c>
      <c r="BP467" s="1" t="s">
        <v>74</v>
      </c>
      <c r="BQ467" s="1" t="s">
        <v>74</v>
      </c>
      <c r="BR467" s="1" t="s">
        <v>74</v>
      </c>
      <c r="BS467" s="1" t="s">
        <v>4339</v>
      </c>
      <c r="BT467" s="1" t="str">
        <f>HYPERLINK("https%3A%2F%2Fwww.webofscience.com%2Fwos%2Fwoscc%2Ffull-record%2FWOS:001359429300001","View Full Record in Web of Science")</f>
        <v>View Full Record in Web of Science</v>
      </c>
    </row>
    <row r="468" ht="12.75" customHeight="1">
      <c r="A468" s="1" t="s">
        <v>72</v>
      </c>
      <c r="B468" s="1" t="s">
        <v>4340</v>
      </c>
      <c r="C468" s="1" t="s">
        <v>74</v>
      </c>
      <c r="D468" s="1" t="s">
        <v>74</v>
      </c>
      <c r="E468" s="1" t="s">
        <v>74</v>
      </c>
      <c r="F468" s="1" t="s">
        <v>4341</v>
      </c>
      <c r="G468" s="1" t="s">
        <v>74</v>
      </c>
      <c r="H468" s="1" t="s">
        <v>74</v>
      </c>
      <c r="I468" s="1" t="s">
        <v>4342</v>
      </c>
      <c r="J468" s="1" t="s">
        <v>3538</v>
      </c>
      <c r="K468" s="1" t="s">
        <v>74</v>
      </c>
      <c r="L468" s="1" t="s">
        <v>74</v>
      </c>
      <c r="M468" s="1" t="s">
        <v>74</v>
      </c>
      <c r="N468" s="1" t="s">
        <v>74</v>
      </c>
      <c r="O468" s="1" t="s">
        <v>74</v>
      </c>
      <c r="P468" s="1" t="s">
        <v>74</v>
      </c>
      <c r="Q468" s="1" t="s">
        <v>74</v>
      </c>
      <c r="R468" s="1" t="s">
        <v>74</v>
      </c>
      <c r="S468" s="1" t="s">
        <v>74</v>
      </c>
      <c r="T468" s="1" t="s">
        <v>74</v>
      </c>
      <c r="U468" s="1" t="s">
        <v>74</v>
      </c>
      <c r="V468" s="1" t="s">
        <v>4343</v>
      </c>
      <c r="W468" s="1" t="s">
        <v>74</v>
      </c>
      <c r="X468" s="1" t="s">
        <v>74</v>
      </c>
      <c r="Y468" s="1" t="s">
        <v>74</v>
      </c>
      <c r="Z468" s="1" t="s">
        <v>74</v>
      </c>
      <c r="AA468" s="1" t="s">
        <v>4344</v>
      </c>
      <c r="AB468" s="1" t="s">
        <v>74</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3542</v>
      </c>
      <c r="AP468" s="1" t="s">
        <v>74</v>
      </c>
      <c r="AQ468" s="1" t="s">
        <v>74</v>
      </c>
      <c r="AR468" s="1" t="s">
        <v>74</v>
      </c>
      <c r="AS468" s="1" t="s">
        <v>74</v>
      </c>
      <c r="AT468" s="1" t="s">
        <v>74</v>
      </c>
      <c r="AU468" s="1">
        <v>2024.0</v>
      </c>
      <c r="AV468" s="1">
        <v>12.0</v>
      </c>
      <c r="AW468" s="1" t="s">
        <v>74</v>
      </c>
      <c r="AX468" s="1" t="s">
        <v>74</v>
      </c>
      <c r="AY468" s="1" t="s">
        <v>74</v>
      </c>
      <c r="AZ468" s="1" t="s">
        <v>74</v>
      </c>
      <c r="BA468" s="1" t="s">
        <v>74</v>
      </c>
      <c r="BB468" s="1">
        <v>76844.0</v>
      </c>
      <c r="BC468" s="1">
        <v>76857.0</v>
      </c>
      <c r="BD468" s="1" t="s">
        <v>74</v>
      </c>
      <c r="BE468" s="1" t="s">
        <v>4345</v>
      </c>
      <c r="BF468" s="2" t="str">
        <f>HYPERLINK("http://dx.doi.org/10.1109/ACCESS.2024.3404609","http://dx.doi.org/10.1109/ACCESS.2024.3404609")</f>
        <v>http://dx.doi.org/10.1109/ACCESS.2024.3404609</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4346</v>
      </c>
      <c r="BT468" s="1" t="str">
        <f>HYPERLINK("https%3A%2F%2Fwww.webofscience.com%2Fwos%2Fwoscc%2Ffull-record%2FWOS:001242965900001","View Full Record in Web of Science")</f>
        <v>View Full Record in Web of Science</v>
      </c>
    </row>
    <row r="469" ht="12.75" customHeight="1">
      <c r="A469" s="1" t="s">
        <v>72</v>
      </c>
      <c r="B469" s="1" t="s">
        <v>4347</v>
      </c>
      <c r="C469" s="1" t="s">
        <v>74</v>
      </c>
      <c r="D469" s="1" t="s">
        <v>74</v>
      </c>
      <c r="E469" s="1" t="s">
        <v>74</v>
      </c>
      <c r="F469" s="1" t="s">
        <v>4348</v>
      </c>
      <c r="G469" s="1" t="s">
        <v>74</v>
      </c>
      <c r="H469" s="1" t="s">
        <v>74</v>
      </c>
      <c r="I469" s="1" t="s">
        <v>4349</v>
      </c>
      <c r="J469" s="1" t="s">
        <v>3520</v>
      </c>
      <c r="K469" s="1" t="s">
        <v>74</v>
      </c>
      <c r="L469" s="1" t="s">
        <v>74</v>
      </c>
      <c r="M469" s="1" t="s">
        <v>74</v>
      </c>
      <c r="N469" s="1" t="s">
        <v>74</v>
      </c>
      <c r="O469" s="1" t="s">
        <v>74</v>
      </c>
      <c r="P469" s="1" t="s">
        <v>74</v>
      </c>
      <c r="Q469" s="1" t="s">
        <v>74</v>
      </c>
      <c r="R469" s="1" t="s">
        <v>74</v>
      </c>
      <c r="S469" s="1" t="s">
        <v>74</v>
      </c>
      <c r="T469" s="1" t="s">
        <v>74</v>
      </c>
      <c r="U469" s="1" t="s">
        <v>74</v>
      </c>
      <c r="V469" s="1" t="s">
        <v>4350</v>
      </c>
      <c r="W469" s="1" t="s">
        <v>74</v>
      </c>
      <c r="X469" s="1" t="s">
        <v>74</v>
      </c>
      <c r="Y469" s="1" t="s">
        <v>74</v>
      </c>
      <c r="Z469" s="1" t="s">
        <v>74</v>
      </c>
      <c r="AA469" s="1" t="s">
        <v>4351</v>
      </c>
      <c r="AB469" s="1" t="s">
        <v>4352</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74</v>
      </c>
      <c r="AP469" s="1" t="s">
        <v>3524</v>
      </c>
      <c r="AQ469" s="1" t="s">
        <v>74</v>
      </c>
      <c r="AR469" s="1" t="s">
        <v>74</v>
      </c>
      <c r="AS469" s="1" t="s">
        <v>74</v>
      </c>
      <c r="AT469" s="1" t="s">
        <v>106</v>
      </c>
      <c r="AU469" s="1">
        <v>2023.0</v>
      </c>
      <c r="AV469" s="1">
        <v>11.0</v>
      </c>
      <c r="AW469" s="1">
        <v>9.0</v>
      </c>
      <c r="AX469" s="1" t="s">
        <v>74</v>
      </c>
      <c r="AY469" s="1" t="s">
        <v>74</v>
      </c>
      <c r="AZ469" s="1" t="s">
        <v>74</v>
      </c>
      <c r="BA469" s="1" t="s">
        <v>74</v>
      </c>
      <c r="BB469" s="1" t="s">
        <v>74</v>
      </c>
      <c r="BC469" s="1" t="s">
        <v>74</v>
      </c>
      <c r="BD469" s="1">
        <v>2612.0</v>
      </c>
      <c r="BE469" s="1" t="s">
        <v>4353</v>
      </c>
      <c r="BF469" s="2" t="str">
        <f>HYPERLINK("http://dx.doi.org/10.3390/pr11092612","http://dx.doi.org/10.3390/pr11092612")</f>
        <v>http://dx.doi.org/10.3390/pr11092612</v>
      </c>
      <c r="BG469" s="1" t="s">
        <v>74</v>
      </c>
      <c r="BH469" s="1" t="s">
        <v>74</v>
      </c>
      <c r="BI469" s="1" t="s">
        <v>74</v>
      </c>
      <c r="BJ469" s="1" t="s">
        <v>74</v>
      </c>
      <c r="BK469" s="1" t="s">
        <v>74</v>
      </c>
      <c r="BL469" s="1" t="s">
        <v>74</v>
      </c>
      <c r="BM469" s="1" t="s">
        <v>74</v>
      </c>
      <c r="BN469" s="1" t="s">
        <v>74</v>
      </c>
      <c r="BO469" s="1" t="s">
        <v>74</v>
      </c>
      <c r="BP469" s="1" t="s">
        <v>74</v>
      </c>
      <c r="BQ469" s="1" t="s">
        <v>74</v>
      </c>
      <c r="BR469" s="1" t="s">
        <v>74</v>
      </c>
      <c r="BS469" s="1" t="s">
        <v>4354</v>
      </c>
      <c r="BT469" s="1" t="str">
        <f>HYPERLINK("https%3A%2F%2Fwww.webofscience.com%2Fwos%2Fwoscc%2Ffull-record%2FWOS:001074429400001","View Full Record in Web of Science")</f>
        <v>View Full Record in Web of Science</v>
      </c>
    </row>
    <row r="470" ht="12.75" customHeight="1">
      <c r="A470" s="1" t="s">
        <v>72</v>
      </c>
      <c r="B470" s="1" t="s">
        <v>4355</v>
      </c>
      <c r="C470" s="1" t="s">
        <v>74</v>
      </c>
      <c r="D470" s="1" t="s">
        <v>74</v>
      </c>
      <c r="E470" s="1" t="s">
        <v>74</v>
      </c>
      <c r="F470" s="1" t="s">
        <v>4356</v>
      </c>
      <c r="G470" s="1" t="s">
        <v>74</v>
      </c>
      <c r="H470" s="1" t="s">
        <v>74</v>
      </c>
      <c r="I470" s="1" t="s">
        <v>4357</v>
      </c>
      <c r="J470" s="1" t="s">
        <v>4358</v>
      </c>
      <c r="K470" s="1" t="s">
        <v>74</v>
      </c>
      <c r="L470" s="1" t="s">
        <v>74</v>
      </c>
      <c r="M470" s="1" t="s">
        <v>74</v>
      </c>
      <c r="N470" s="1" t="s">
        <v>74</v>
      </c>
      <c r="O470" s="1" t="s">
        <v>74</v>
      </c>
      <c r="P470" s="1" t="s">
        <v>74</v>
      </c>
      <c r="Q470" s="1" t="s">
        <v>74</v>
      </c>
      <c r="R470" s="1" t="s">
        <v>74</v>
      </c>
      <c r="S470" s="1" t="s">
        <v>74</v>
      </c>
      <c r="T470" s="1" t="s">
        <v>74</v>
      </c>
      <c r="U470" s="1" t="s">
        <v>74</v>
      </c>
      <c r="V470" s="1" t="s">
        <v>4359</v>
      </c>
      <c r="W470" s="1" t="s">
        <v>74</v>
      </c>
      <c r="X470" s="1" t="s">
        <v>74</v>
      </c>
      <c r="Y470" s="1" t="s">
        <v>74</v>
      </c>
      <c r="Z470" s="1" t="s">
        <v>74</v>
      </c>
      <c r="AA470" s="1" t="s">
        <v>4360</v>
      </c>
      <c r="AB470" s="1" t="s">
        <v>4361</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4362</v>
      </c>
      <c r="AP470" s="1" t="s">
        <v>4363</v>
      </c>
      <c r="AQ470" s="1" t="s">
        <v>74</v>
      </c>
      <c r="AR470" s="1" t="s">
        <v>74</v>
      </c>
      <c r="AS470" s="1" t="s">
        <v>74</v>
      </c>
      <c r="AT470" s="1" t="s">
        <v>4364</v>
      </c>
      <c r="AU470" s="1">
        <v>2023.0</v>
      </c>
      <c r="AV470" s="1">
        <v>125.0</v>
      </c>
      <c r="AW470" s="1">
        <v>13.0</v>
      </c>
      <c r="AX470" s="1" t="s">
        <v>74</v>
      </c>
      <c r="AY470" s="1" t="s">
        <v>74</v>
      </c>
      <c r="AZ470" s="1" t="s">
        <v>74</v>
      </c>
      <c r="BA470" s="1" t="s">
        <v>74</v>
      </c>
      <c r="BB470" s="1">
        <v>220.0</v>
      </c>
      <c r="BC470" s="1">
        <v>236.0</v>
      </c>
      <c r="BD470" s="1" t="s">
        <v>74</v>
      </c>
      <c r="BE470" s="1" t="s">
        <v>4365</v>
      </c>
      <c r="BF470" s="2" t="str">
        <f>HYPERLINK("http://dx.doi.org/10.1108/BFJ-06-2022-0528","http://dx.doi.org/10.1108/BFJ-06-2022-0528")</f>
        <v>http://dx.doi.org/10.1108/BFJ-06-2022-0528</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4366</v>
      </c>
      <c r="BT470" s="1" t="str">
        <f>HYPERLINK("https%3A%2F%2Fwww.webofscience.com%2Fwos%2Fwoscc%2Ffull-record%2FWOS:000939452800001","View Full Record in Web of Science")</f>
        <v>View Full Record in Web of Science</v>
      </c>
    </row>
    <row r="471" ht="12.75" customHeight="1">
      <c r="A471" s="1" t="s">
        <v>72</v>
      </c>
      <c r="B471" s="1" t="s">
        <v>4367</v>
      </c>
      <c r="C471" s="1" t="s">
        <v>74</v>
      </c>
      <c r="D471" s="1" t="s">
        <v>74</v>
      </c>
      <c r="E471" s="1" t="s">
        <v>74</v>
      </c>
      <c r="F471" s="1" t="s">
        <v>4368</v>
      </c>
      <c r="G471" s="1" t="s">
        <v>74</v>
      </c>
      <c r="H471" s="1" t="s">
        <v>74</v>
      </c>
      <c r="I471" s="1" t="s">
        <v>4369</v>
      </c>
      <c r="J471" s="1" t="s">
        <v>4370</v>
      </c>
      <c r="K471" s="1" t="s">
        <v>74</v>
      </c>
      <c r="L471" s="1" t="s">
        <v>74</v>
      </c>
      <c r="M471" s="1" t="s">
        <v>74</v>
      </c>
      <c r="N471" s="1" t="s">
        <v>74</v>
      </c>
      <c r="O471" s="1" t="s">
        <v>74</v>
      </c>
      <c r="P471" s="1" t="s">
        <v>74</v>
      </c>
      <c r="Q471" s="1" t="s">
        <v>74</v>
      </c>
      <c r="R471" s="1" t="s">
        <v>74</v>
      </c>
      <c r="S471" s="1" t="s">
        <v>74</v>
      </c>
      <c r="T471" s="1" t="s">
        <v>74</v>
      </c>
      <c r="U471" s="1" t="s">
        <v>74</v>
      </c>
      <c r="V471" s="1" t="s">
        <v>4371</v>
      </c>
      <c r="W471" s="1" t="s">
        <v>74</v>
      </c>
      <c r="X471" s="1" t="s">
        <v>74</v>
      </c>
      <c r="Y471" s="1" t="s">
        <v>74</v>
      </c>
      <c r="Z471" s="1" t="s">
        <v>74</v>
      </c>
      <c r="AA471" s="1" t="s">
        <v>4372</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4373</v>
      </c>
      <c r="AP471" s="1" t="s">
        <v>4374</v>
      </c>
      <c r="AQ471" s="1" t="s">
        <v>74</v>
      </c>
      <c r="AR471" s="1" t="s">
        <v>74</v>
      </c>
      <c r="AS471" s="1" t="s">
        <v>74</v>
      </c>
      <c r="AT471" s="1" t="s">
        <v>607</v>
      </c>
      <c r="AU471" s="1">
        <v>2024.0</v>
      </c>
      <c r="AV471" s="1">
        <v>388.0</v>
      </c>
      <c r="AW471" s="1">
        <v>2.0</v>
      </c>
      <c r="AX471" s="1" t="s">
        <v>74</v>
      </c>
      <c r="AY471" s="1" t="s">
        <v>74</v>
      </c>
      <c r="AZ471" s="1" t="s">
        <v>74</v>
      </c>
      <c r="BA471" s="1" t="s">
        <v>74</v>
      </c>
      <c r="BB471" s="1">
        <v>1817.0</v>
      </c>
      <c r="BC471" s="1">
        <v>1840.0</v>
      </c>
      <c r="BD471" s="1" t="s">
        <v>74</v>
      </c>
      <c r="BE471" s="1" t="s">
        <v>4375</v>
      </c>
      <c r="BF471" s="2" t="str">
        <f>HYPERLINK("http://dx.doi.org/10.1007/s00208-022-02561-y","http://dx.doi.org/10.1007/s00208-022-02561-y")</f>
        <v>http://dx.doi.org/10.1007/s00208-022-02561-y</v>
      </c>
      <c r="BG471" s="1" t="s">
        <v>74</v>
      </c>
      <c r="BH471" s="1" t="s">
        <v>4376</v>
      </c>
      <c r="BI471" s="1" t="s">
        <v>74</v>
      </c>
      <c r="BJ471" s="1" t="s">
        <v>74</v>
      </c>
      <c r="BK471" s="1" t="s">
        <v>74</v>
      </c>
      <c r="BL471" s="1" t="s">
        <v>74</v>
      </c>
      <c r="BM471" s="1" t="s">
        <v>74</v>
      </c>
      <c r="BN471" s="1" t="s">
        <v>74</v>
      </c>
      <c r="BO471" s="1" t="s">
        <v>74</v>
      </c>
      <c r="BP471" s="1" t="s">
        <v>74</v>
      </c>
      <c r="BQ471" s="1" t="s">
        <v>74</v>
      </c>
      <c r="BR471" s="1" t="s">
        <v>74</v>
      </c>
      <c r="BS471" s="1" t="s">
        <v>4377</v>
      </c>
      <c r="BT471" s="1" t="str">
        <f>HYPERLINK("https%3A%2F%2Fwww.webofscience.com%2Fwos%2Fwoscc%2Ffull-record%2FWOS:000917799300001","View Full Record in Web of Science")</f>
        <v>View Full Record in Web of Science</v>
      </c>
    </row>
    <row r="472" ht="12.75" customHeight="1">
      <c r="A472" s="1" t="s">
        <v>72</v>
      </c>
      <c r="B472" s="1" t="s">
        <v>4378</v>
      </c>
      <c r="C472" s="1" t="s">
        <v>74</v>
      </c>
      <c r="D472" s="1" t="s">
        <v>74</v>
      </c>
      <c r="E472" s="1" t="s">
        <v>74</v>
      </c>
      <c r="F472" s="1" t="s">
        <v>4379</v>
      </c>
      <c r="G472" s="1" t="s">
        <v>74</v>
      </c>
      <c r="H472" s="1" t="s">
        <v>74</v>
      </c>
      <c r="I472" s="1" t="s">
        <v>4380</v>
      </c>
      <c r="J472" s="1" t="s">
        <v>4381</v>
      </c>
      <c r="K472" s="1" t="s">
        <v>74</v>
      </c>
      <c r="L472" s="1" t="s">
        <v>74</v>
      </c>
      <c r="M472" s="1" t="s">
        <v>74</v>
      </c>
      <c r="N472" s="1" t="s">
        <v>74</v>
      </c>
      <c r="O472" s="1" t="s">
        <v>74</v>
      </c>
      <c r="P472" s="1" t="s">
        <v>74</v>
      </c>
      <c r="Q472" s="1" t="s">
        <v>74</v>
      </c>
      <c r="R472" s="1" t="s">
        <v>74</v>
      </c>
      <c r="S472" s="1" t="s">
        <v>74</v>
      </c>
      <c r="T472" s="1" t="s">
        <v>74</v>
      </c>
      <c r="U472" s="1" t="s">
        <v>74</v>
      </c>
      <c r="V472" s="1" t="s">
        <v>4382</v>
      </c>
      <c r="W472" s="1" t="s">
        <v>74</v>
      </c>
      <c r="X472" s="1" t="s">
        <v>74</v>
      </c>
      <c r="Y472" s="1" t="s">
        <v>74</v>
      </c>
      <c r="Z472" s="1" t="s">
        <v>74</v>
      </c>
      <c r="AA472" s="1" t="s">
        <v>4383</v>
      </c>
      <c r="AB472" s="1" t="s">
        <v>4384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4385</v>
      </c>
      <c r="AP472" s="1" t="s">
        <v>4386</v>
      </c>
      <c r="AQ472" s="1" t="s">
        <v>74</v>
      </c>
      <c r="AR472" s="1" t="s">
        <v>74</v>
      </c>
      <c r="AS472" s="1" t="s">
        <v>74</v>
      </c>
      <c r="AT472" s="1" t="s">
        <v>319</v>
      </c>
      <c r="AU472" s="1">
        <v>2023.0</v>
      </c>
      <c r="AV472" s="1">
        <v>30.0</v>
      </c>
      <c r="AW472" s="1">
        <v>14.0</v>
      </c>
      <c r="AX472" s="1" t="s">
        <v>74</v>
      </c>
      <c r="AY472" s="1" t="s">
        <v>74</v>
      </c>
      <c r="AZ472" s="1" t="s">
        <v>74</v>
      </c>
      <c r="BA472" s="1" t="s">
        <v>74</v>
      </c>
      <c r="BB472" s="1">
        <v>41014.0</v>
      </c>
      <c r="BC472" s="1">
        <v>41027.0</v>
      </c>
      <c r="BD472" s="1" t="s">
        <v>74</v>
      </c>
      <c r="BE472" s="1" t="s">
        <v>4387</v>
      </c>
      <c r="BF472" s="2" t="str">
        <f>HYPERLINK("http://dx.doi.org/10.1007/s11356-022-24891-9","http://dx.doi.org/10.1007/s11356-022-24891-9")</f>
        <v>http://dx.doi.org/10.1007/s11356-022-24891-9</v>
      </c>
      <c r="BG472" s="1" t="s">
        <v>74</v>
      </c>
      <c r="BH472" s="1" t="s">
        <v>4376</v>
      </c>
      <c r="BI472" s="1" t="s">
        <v>74</v>
      </c>
      <c r="BJ472" s="1" t="s">
        <v>74</v>
      </c>
      <c r="BK472" s="1" t="s">
        <v>74</v>
      </c>
      <c r="BL472" s="1" t="s">
        <v>74</v>
      </c>
      <c r="BM472" s="1" t="s">
        <v>74</v>
      </c>
      <c r="BN472" s="1">
        <v>3.6626055E7</v>
      </c>
      <c r="BO472" s="1" t="s">
        <v>74</v>
      </c>
      <c r="BP472" s="1" t="s">
        <v>74</v>
      </c>
      <c r="BQ472" s="1" t="s">
        <v>74</v>
      </c>
      <c r="BR472" s="1" t="s">
        <v>74</v>
      </c>
      <c r="BS472" s="1" t="s">
        <v>4388</v>
      </c>
      <c r="BT472" s="1" t="str">
        <f>HYPERLINK("https%3A%2F%2Fwww.webofscience.com%2Fwos%2Fwoscc%2Ffull-record%2FWOS:000911910500012","View Full Record in Web of Science")</f>
        <v>View Full Record in Web of Science</v>
      </c>
    </row>
    <row r="473" ht="12.75" customHeight="1">
      <c r="A473" s="1" t="s">
        <v>72</v>
      </c>
      <c r="B473" s="1" t="s">
        <v>4389</v>
      </c>
      <c r="C473" s="1" t="s">
        <v>74</v>
      </c>
      <c r="D473" s="1" t="s">
        <v>74</v>
      </c>
      <c r="E473" s="1" t="s">
        <v>74</v>
      </c>
      <c r="F473" s="1" t="s">
        <v>4390</v>
      </c>
      <c r="G473" s="1" t="s">
        <v>74</v>
      </c>
      <c r="H473" s="1" t="s">
        <v>74</v>
      </c>
      <c r="I473" s="1" t="s">
        <v>4391</v>
      </c>
      <c r="J473" s="1" t="s">
        <v>4392</v>
      </c>
      <c r="K473" s="1" t="s">
        <v>74</v>
      </c>
      <c r="L473" s="1" t="s">
        <v>74</v>
      </c>
      <c r="M473" s="1" t="s">
        <v>74</v>
      </c>
      <c r="N473" s="1" t="s">
        <v>74</v>
      </c>
      <c r="O473" s="1" t="s">
        <v>74</v>
      </c>
      <c r="P473" s="1" t="s">
        <v>74</v>
      </c>
      <c r="Q473" s="1" t="s">
        <v>74</v>
      </c>
      <c r="R473" s="1" t="s">
        <v>74</v>
      </c>
      <c r="S473" s="1" t="s">
        <v>74</v>
      </c>
      <c r="T473" s="1" t="s">
        <v>74</v>
      </c>
      <c r="U473" s="1" t="s">
        <v>74</v>
      </c>
      <c r="V473" s="1" t="s">
        <v>4393</v>
      </c>
      <c r="W473" s="1" t="s">
        <v>74</v>
      </c>
      <c r="X473" s="1" t="s">
        <v>74</v>
      </c>
      <c r="Y473" s="1" t="s">
        <v>74</v>
      </c>
      <c r="Z473" s="1" t="s">
        <v>74</v>
      </c>
      <c r="AA473" s="1" t="s">
        <v>3204</v>
      </c>
      <c r="AB473" s="1" t="s">
        <v>74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4394</v>
      </c>
      <c r="AP473" s="1" t="s">
        <v>4395</v>
      </c>
      <c r="AQ473" s="1" t="s">
        <v>74</v>
      </c>
      <c r="AR473" s="1" t="s">
        <v>74</v>
      </c>
      <c r="AS473" s="1" t="s">
        <v>74</v>
      </c>
      <c r="AT473" s="1" t="s">
        <v>319</v>
      </c>
      <c r="AU473" s="1">
        <v>2023.0</v>
      </c>
      <c r="AV473" s="1">
        <v>253.0</v>
      </c>
      <c r="AW473" s="1">
        <v>2.0</v>
      </c>
      <c r="AX473" s="1" t="s">
        <v>74</v>
      </c>
      <c r="AY473" s="1" t="s">
        <v>74</v>
      </c>
      <c r="AZ473" s="1" t="s">
        <v>74</v>
      </c>
      <c r="BA473" s="1" t="s">
        <v>74</v>
      </c>
      <c r="BB473" s="1">
        <v>917.0</v>
      </c>
      <c r="BC473" s="1">
        <v>987.0</v>
      </c>
      <c r="BD473" s="1" t="s">
        <v>74</v>
      </c>
      <c r="BE473" s="1" t="s">
        <v>4396</v>
      </c>
      <c r="BF473" s="2" t="str">
        <f>HYPERLINK("http://dx.doi.org/10.1007/s11856-022-2353-z","http://dx.doi.org/10.1007/s11856-022-2353-z")</f>
        <v>http://dx.doi.org/10.1007/s11856-022-2353-z</v>
      </c>
      <c r="BG473" s="1" t="s">
        <v>74</v>
      </c>
      <c r="BH473" s="1" t="s">
        <v>3747</v>
      </c>
      <c r="BI473" s="1" t="s">
        <v>74</v>
      </c>
      <c r="BJ473" s="1" t="s">
        <v>74</v>
      </c>
      <c r="BK473" s="1" t="s">
        <v>74</v>
      </c>
      <c r="BL473" s="1" t="s">
        <v>74</v>
      </c>
      <c r="BM473" s="1" t="s">
        <v>74</v>
      </c>
      <c r="BN473" s="1" t="s">
        <v>74</v>
      </c>
      <c r="BO473" s="1" t="s">
        <v>74</v>
      </c>
      <c r="BP473" s="1" t="s">
        <v>74</v>
      </c>
      <c r="BQ473" s="1" t="s">
        <v>74</v>
      </c>
      <c r="BR473" s="1" t="s">
        <v>74</v>
      </c>
      <c r="BS473" s="1" t="s">
        <v>4397</v>
      </c>
      <c r="BT473" s="1" t="str">
        <f>HYPERLINK("https%3A%2F%2Fwww.webofscience.com%2Fwos%2Fwoscc%2Ffull-record%2FWOS:000852107800009","View Full Record in Web of Science")</f>
        <v>View Full Record in Web of Science</v>
      </c>
    </row>
    <row r="474" ht="12.75" customHeight="1">
      <c r="A474" s="1" t="s">
        <v>72</v>
      </c>
      <c r="B474" s="1" t="s">
        <v>4398</v>
      </c>
      <c r="C474" s="1" t="s">
        <v>74</v>
      </c>
      <c r="D474" s="1" t="s">
        <v>74</v>
      </c>
      <c r="E474" s="1" t="s">
        <v>74</v>
      </c>
      <c r="F474" s="1" t="s">
        <v>4399</v>
      </c>
      <c r="G474" s="1" t="s">
        <v>74</v>
      </c>
      <c r="H474" s="1" t="s">
        <v>74</v>
      </c>
      <c r="I474" s="1" t="s">
        <v>4400</v>
      </c>
      <c r="J474" s="1" t="s">
        <v>4401</v>
      </c>
      <c r="K474" s="1" t="s">
        <v>74</v>
      </c>
      <c r="L474" s="1" t="s">
        <v>74</v>
      </c>
      <c r="M474" s="1" t="s">
        <v>74</v>
      </c>
      <c r="N474" s="1" t="s">
        <v>74</v>
      </c>
      <c r="O474" s="1" t="s">
        <v>74</v>
      </c>
      <c r="P474" s="1" t="s">
        <v>74</v>
      </c>
      <c r="Q474" s="1" t="s">
        <v>74</v>
      </c>
      <c r="R474" s="1" t="s">
        <v>74</v>
      </c>
      <c r="S474" s="1" t="s">
        <v>74</v>
      </c>
      <c r="T474" s="1" t="s">
        <v>74</v>
      </c>
      <c r="U474" s="1" t="s">
        <v>74</v>
      </c>
      <c r="V474" s="1" t="s">
        <v>4402</v>
      </c>
      <c r="W474" s="1" t="s">
        <v>74</v>
      </c>
      <c r="X474" s="1" t="s">
        <v>74</v>
      </c>
      <c r="Y474" s="1" t="s">
        <v>74</v>
      </c>
      <c r="Z474" s="1" t="s">
        <v>74</v>
      </c>
      <c r="AA474" s="1" t="s">
        <v>4403</v>
      </c>
      <c r="AB474" s="1" t="s">
        <v>4404</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74</v>
      </c>
      <c r="AP474" s="1" t="s">
        <v>4405</v>
      </c>
      <c r="AQ474" s="1" t="s">
        <v>74</v>
      </c>
      <c r="AR474" s="1" t="s">
        <v>74</v>
      </c>
      <c r="AS474" s="1" t="s">
        <v>74</v>
      </c>
      <c r="AT474" s="1" t="s">
        <v>4406</v>
      </c>
      <c r="AU474" s="1">
        <v>2022.0</v>
      </c>
      <c r="AV474" s="1">
        <v>12.0</v>
      </c>
      <c r="AW474" s="1">
        <v>13.0</v>
      </c>
      <c r="AX474" s="1" t="s">
        <v>74</v>
      </c>
      <c r="AY474" s="1" t="s">
        <v>74</v>
      </c>
      <c r="AZ474" s="1" t="s">
        <v>74</v>
      </c>
      <c r="BA474" s="1" t="s">
        <v>74</v>
      </c>
      <c r="BB474" s="1">
        <v>7906.0</v>
      </c>
      <c r="BC474" s="1">
        <v>7910.0</v>
      </c>
      <c r="BD474" s="1" t="s">
        <v>74</v>
      </c>
      <c r="BE474" s="1" t="s">
        <v>4407</v>
      </c>
      <c r="BF474" s="2" t="str">
        <f>HYPERLINK("http://dx.doi.org/10.1039/d1ra06457f","http://dx.doi.org/10.1039/d1ra06457f")</f>
        <v>http://dx.doi.org/10.1039/d1ra06457f</v>
      </c>
      <c r="BG474" s="1" t="s">
        <v>74</v>
      </c>
      <c r="BH474" s="1" t="s">
        <v>74</v>
      </c>
      <c r="BI474" s="1" t="s">
        <v>74</v>
      </c>
      <c r="BJ474" s="1" t="s">
        <v>74</v>
      </c>
      <c r="BK474" s="1" t="s">
        <v>74</v>
      </c>
      <c r="BL474" s="1" t="s">
        <v>74</v>
      </c>
      <c r="BM474" s="1" t="s">
        <v>74</v>
      </c>
      <c r="BN474" s="1">
        <v>3.5424723E7</v>
      </c>
      <c r="BO474" s="1" t="s">
        <v>74</v>
      </c>
      <c r="BP474" s="1" t="s">
        <v>74</v>
      </c>
      <c r="BQ474" s="1" t="s">
        <v>74</v>
      </c>
      <c r="BR474" s="1" t="s">
        <v>74</v>
      </c>
      <c r="BS474" s="1" t="s">
        <v>4408</v>
      </c>
      <c r="BT474" s="1" t="str">
        <f>HYPERLINK("https%3A%2F%2Fwww.webofscience.com%2Fwos%2Fwoscc%2Ffull-record%2FWOS:000766708100001","View Full Record in Web of Science")</f>
        <v>View Full Record in Web of Science</v>
      </c>
    </row>
    <row r="475" ht="12.75" customHeight="1">
      <c r="A475" s="1" t="s">
        <v>72</v>
      </c>
      <c r="B475" s="1" t="s">
        <v>4409</v>
      </c>
      <c r="C475" s="1" t="s">
        <v>74</v>
      </c>
      <c r="D475" s="1" t="s">
        <v>74</v>
      </c>
      <c r="E475" s="1" t="s">
        <v>74</v>
      </c>
      <c r="F475" s="1" t="s">
        <v>4410</v>
      </c>
      <c r="G475" s="1" t="s">
        <v>74</v>
      </c>
      <c r="H475" s="1" t="s">
        <v>74</v>
      </c>
      <c r="I475" s="1" t="s">
        <v>4411</v>
      </c>
      <c r="J475" s="1" t="s">
        <v>4412</v>
      </c>
      <c r="K475" s="1" t="s">
        <v>74</v>
      </c>
      <c r="L475" s="1" t="s">
        <v>74</v>
      </c>
      <c r="M475" s="1" t="s">
        <v>74</v>
      </c>
      <c r="N475" s="1" t="s">
        <v>74</v>
      </c>
      <c r="O475" s="1" t="s">
        <v>74</v>
      </c>
      <c r="P475" s="1" t="s">
        <v>74</v>
      </c>
      <c r="Q475" s="1" t="s">
        <v>74</v>
      </c>
      <c r="R475" s="1" t="s">
        <v>74</v>
      </c>
      <c r="S475" s="1" t="s">
        <v>74</v>
      </c>
      <c r="T475" s="1" t="s">
        <v>74</v>
      </c>
      <c r="U475" s="1" t="s">
        <v>74</v>
      </c>
      <c r="V475" s="1" t="s">
        <v>74</v>
      </c>
      <c r="W475" s="1" t="s">
        <v>74</v>
      </c>
      <c r="X475" s="1" t="s">
        <v>74</v>
      </c>
      <c r="Y475" s="1" t="s">
        <v>74</v>
      </c>
      <c r="Z475" s="1" t="s">
        <v>74</v>
      </c>
      <c r="AA475" s="1" t="s">
        <v>74</v>
      </c>
      <c r="AB475" s="1" t="s">
        <v>74</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74</v>
      </c>
      <c r="AP475" s="1" t="s">
        <v>4413</v>
      </c>
      <c r="AQ475" s="1" t="s">
        <v>74</v>
      </c>
      <c r="AR475" s="1" t="s">
        <v>74</v>
      </c>
      <c r="AS475" s="1" t="s">
        <v>74</v>
      </c>
      <c r="AT475" s="1" t="s">
        <v>2405</v>
      </c>
      <c r="AU475" s="1">
        <v>2021.0</v>
      </c>
      <c r="AV475" s="1">
        <v>92.0</v>
      </c>
      <c r="AW475" s="1">
        <v>2.0</v>
      </c>
      <c r="AX475" s="1" t="s">
        <v>74</v>
      </c>
      <c r="AY475" s="1" t="s">
        <v>74</v>
      </c>
      <c r="AZ475" s="1" t="s">
        <v>74</v>
      </c>
      <c r="BA475" s="1" t="s">
        <v>74</v>
      </c>
      <c r="BB475" s="1">
        <v>172.0</v>
      </c>
      <c r="BC475" s="1">
        <v>173.0</v>
      </c>
      <c r="BD475" s="1" t="s">
        <v>74</v>
      </c>
      <c r="BE475" s="1" t="s">
        <v>4414</v>
      </c>
      <c r="BF475" s="2" t="str">
        <f>HYPERLINK("http://dx.doi.org/10.32641/andespediatr.v92i2.3347","http://dx.doi.org/10.32641/andespediatr.v92i2.3347")</f>
        <v>http://dx.doi.org/10.32641/andespediatr.v92i2.3347</v>
      </c>
      <c r="BG475" s="1" t="s">
        <v>74</v>
      </c>
      <c r="BH475" s="1" t="s">
        <v>74</v>
      </c>
      <c r="BI475" s="1" t="s">
        <v>74</v>
      </c>
      <c r="BJ475" s="1" t="s">
        <v>74</v>
      </c>
      <c r="BK475" s="1" t="s">
        <v>74</v>
      </c>
      <c r="BL475" s="1" t="s">
        <v>74</v>
      </c>
      <c r="BM475" s="1" t="s">
        <v>74</v>
      </c>
      <c r="BN475" s="1">
        <v>3.4106154E7</v>
      </c>
      <c r="BO475" s="1" t="s">
        <v>74</v>
      </c>
      <c r="BP475" s="1" t="s">
        <v>74</v>
      </c>
      <c r="BQ475" s="1" t="s">
        <v>74</v>
      </c>
      <c r="BR475" s="1" t="s">
        <v>74</v>
      </c>
      <c r="BS475" s="1" t="s">
        <v>4415</v>
      </c>
      <c r="BT475" s="1" t="str">
        <f>HYPERLINK("https%3A%2F%2Fwww.webofscience.com%2Fwos%2Fwoscc%2Ffull-record%2FWOS:000808817300002","View Full Record in Web of Science")</f>
        <v>View Full Record in Web of Science</v>
      </c>
    </row>
    <row r="476" ht="12.75" customHeight="1">
      <c r="A476" s="1" t="s">
        <v>72</v>
      </c>
      <c r="B476" s="1" t="s">
        <v>4416</v>
      </c>
      <c r="C476" s="1" t="s">
        <v>74</v>
      </c>
      <c r="D476" s="1" t="s">
        <v>74</v>
      </c>
      <c r="E476" s="1" t="s">
        <v>74</v>
      </c>
      <c r="F476" s="1" t="s">
        <v>4417</v>
      </c>
      <c r="G476" s="1" t="s">
        <v>74</v>
      </c>
      <c r="H476" s="1" t="s">
        <v>74</v>
      </c>
      <c r="I476" s="1" t="s">
        <v>4418</v>
      </c>
      <c r="J476" s="1" t="s">
        <v>4419</v>
      </c>
      <c r="K476" s="1" t="s">
        <v>74</v>
      </c>
      <c r="L476" s="1" t="s">
        <v>74</v>
      </c>
      <c r="M476" s="1" t="s">
        <v>74</v>
      </c>
      <c r="N476" s="1" t="s">
        <v>74</v>
      </c>
      <c r="O476" s="1" t="s">
        <v>74</v>
      </c>
      <c r="P476" s="1" t="s">
        <v>74</v>
      </c>
      <c r="Q476" s="1" t="s">
        <v>74</v>
      </c>
      <c r="R476" s="1" t="s">
        <v>74</v>
      </c>
      <c r="S476" s="1" t="s">
        <v>74</v>
      </c>
      <c r="T476" s="1" t="s">
        <v>74</v>
      </c>
      <c r="U476" s="1" t="s">
        <v>74</v>
      </c>
      <c r="V476" s="1" t="s">
        <v>4420</v>
      </c>
      <c r="W476" s="1" t="s">
        <v>74</v>
      </c>
      <c r="X476" s="1" t="s">
        <v>74</v>
      </c>
      <c r="Y476" s="1" t="s">
        <v>74</v>
      </c>
      <c r="Z476" s="1" t="s">
        <v>74</v>
      </c>
      <c r="AA476" s="1" t="s">
        <v>4421</v>
      </c>
      <c r="AB476" s="1" t="s">
        <v>4422</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74</v>
      </c>
      <c r="AP476" s="1" t="s">
        <v>4423</v>
      </c>
      <c r="AQ476" s="1" t="s">
        <v>74</v>
      </c>
      <c r="AR476" s="1" t="s">
        <v>74</v>
      </c>
      <c r="AS476" s="1" t="s">
        <v>74</v>
      </c>
      <c r="AT476" s="1" t="s">
        <v>607</v>
      </c>
      <c r="AU476" s="1">
        <v>2021.0</v>
      </c>
      <c r="AV476" s="1">
        <v>34.0</v>
      </c>
      <c r="AW476" s="1" t="s">
        <v>74</v>
      </c>
      <c r="AX476" s="1" t="s">
        <v>74</v>
      </c>
      <c r="AY476" s="1" t="s">
        <v>74</v>
      </c>
      <c r="AZ476" s="1" t="s">
        <v>74</v>
      </c>
      <c r="BA476" s="1" t="s">
        <v>74</v>
      </c>
      <c r="BB476" s="1" t="s">
        <v>74</v>
      </c>
      <c r="BC476" s="1" t="s">
        <v>74</v>
      </c>
      <c r="BD476" s="1">
        <v>101913.0</v>
      </c>
      <c r="BE476" s="1" t="s">
        <v>4424</v>
      </c>
      <c r="BF476" s="2" t="str">
        <f>HYPERLINK("http://dx.doi.org/10.1016/j.jobe.2020.101913","http://dx.doi.org/10.1016/j.jobe.2020.101913")</f>
        <v>http://dx.doi.org/10.1016/j.jobe.2020.101913</v>
      </c>
      <c r="BG476" s="1" t="s">
        <v>74</v>
      </c>
      <c r="BH476" s="1" t="s">
        <v>4425</v>
      </c>
      <c r="BI476" s="1" t="s">
        <v>74</v>
      </c>
      <c r="BJ476" s="1" t="s">
        <v>74</v>
      </c>
      <c r="BK476" s="1" t="s">
        <v>74</v>
      </c>
      <c r="BL476" s="1" t="s">
        <v>74</v>
      </c>
      <c r="BM476" s="1" t="s">
        <v>74</v>
      </c>
      <c r="BN476" s="1" t="s">
        <v>74</v>
      </c>
      <c r="BO476" s="1" t="s">
        <v>74</v>
      </c>
      <c r="BP476" s="1" t="s">
        <v>74</v>
      </c>
      <c r="BQ476" s="1" t="s">
        <v>74</v>
      </c>
      <c r="BR476" s="1" t="s">
        <v>74</v>
      </c>
      <c r="BS476" s="1" t="s">
        <v>4426</v>
      </c>
      <c r="BT476" s="1" t="str">
        <f>HYPERLINK("https%3A%2F%2Fwww.webofscience.com%2Fwos%2Fwoscc%2Ffull-record%2FWOS:000608431700003","View Full Record in Web of Science")</f>
        <v>View Full Record in Web of Science</v>
      </c>
    </row>
    <row r="477" ht="12.75" customHeight="1">
      <c r="A477" s="1" t="s">
        <v>72</v>
      </c>
      <c r="B477" s="1" t="s">
        <v>4427</v>
      </c>
      <c r="C477" s="1" t="s">
        <v>74</v>
      </c>
      <c r="D477" s="1" t="s">
        <v>74</v>
      </c>
      <c r="E477" s="1" t="s">
        <v>74</v>
      </c>
      <c r="F477" s="1" t="s">
        <v>4428</v>
      </c>
      <c r="G477" s="1" t="s">
        <v>74</v>
      </c>
      <c r="H477" s="1" t="s">
        <v>74</v>
      </c>
      <c r="I477" s="1" t="s">
        <v>4429</v>
      </c>
      <c r="J477" s="1" t="s">
        <v>806</v>
      </c>
      <c r="K477" s="1" t="s">
        <v>74</v>
      </c>
      <c r="L477" s="1" t="s">
        <v>74</v>
      </c>
      <c r="M477" s="1" t="s">
        <v>74</v>
      </c>
      <c r="N477" s="1" t="s">
        <v>74</v>
      </c>
      <c r="O477" s="1" t="s">
        <v>74</v>
      </c>
      <c r="P477" s="1" t="s">
        <v>74</v>
      </c>
      <c r="Q477" s="1" t="s">
        <v>74</v>
      </c>
      <c r="R477" s="1" t="s">
        <v>74</v>
      </c>
      <c r="S477" s="1" t="s">
        <v>74</v>
      </c>
      <c r="T477" s="1" t="s">
        <v>74</v>
      </c>
      <c r="U477" s="1" t="s">
        <v>74</v>
      </c>
      <c r="V477" s="1" t="s">
        <v>4430</v>
      </c>
      <c r="W477" s="1" t="s">
        <v>74</v>
      </c>
      <c r="X477" s="1" t="s">
        <v>74</v>
      </c>
      <c r="Y477" s="1" t="s">
        <v>74</v>
      </c>
      <c r="Z477" s="1" t="s">
        <v>74</v>
      </c>
      <c r="AA477" s="1" t="s">
        <v>4431</v>
      </c>
      <c r="AB477" s="1" t="s">
        <v>4432</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810</v>
      </c>
      <c r="AP477" s="1" t="s">
        <v>74</v>
      </c>
      <c r="AQ477" s="1" t="s">
        <v>74</v>
      </c>
      <c r="AR477" s="1" t="s">
        <v>74</v>
      </c>
      <c r="AS477" s="1" t="s">
        <v>74</v>
      </c>
      <c r="AT477" s="1" t="s">
        <v>106</v>
      </c>
      <c r="AU477" s="1">
        <v>2020.0</v>
      </c>
      <c r="AV477" s="1">
        <v>18.0</v>
      </c>
      <c r="AW477" s="1">
        <v>9.0</v>
      </c>
      <c r="AX477" s="1" t="s">
        <v>74</v>
      </c>
      <c r="AY477" s="1" t="s">
        <v>74</v>
      </c>
      <c r="AZ477" s="1" t="s">
        <v>74</v>
      </c>
      <c r="BA477" s="1" t="s">
        <v>74</v>
      </c>
      <c r="BB477" s="1">
        <v>1592.0</v>
      </c>
      <c r="BC477" s="1">
        <v>1598.0</v>
      </c>
      <c r="BD477" s="1" t="s">
        <v>74</v>
      </c>
      <c r="BE477" s="1" t="s">
        <v>4433</v>
      </c>
      <c r="BF477" s="2" t="str">
        <f>HYPERLINK("http://dx.doi.org/10.1109/TLA.2020.9381801","http://dx.doi.org/10.1109/TLA.2020.9381801")</f>
        <v>http://dx.doi.org/10.1109/TLA.2020.9381801</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4434</v>
      </c>
      <c r="BT477" s="1" t="str">
        <f>HYPERLINK("https%3A%2F%2Fwww.webofscience.com%2Fwos%2Fwoscc%2Ffull-record%2FWOS:000633636900012","View Full Record in Web of Science")</f>
        <v>View Full Record in Web of Science</v>
      </c>
    </row>
    <row r="478" ht="12.75" customHeight="1">
      <c r="A478" s="1" t="s">
        <v>72</v>
      </c>
      <c r="B478" s="1" t="s">
        <v>4435</v>
      </c>
      <c r="C478" s="1" t="s">
        <v>74</v>
      </c>
      <c r="D478" s="1" t="s">
        <v>74</v>
      </c>
      <c r="E478" s="1" t="s">
        <v>74</v>
      </c>
      <c r="F478" s="1" t="s">
        <v>4436</v>
      </c>
      <c r="G478" s="1" t="s">
        <v>74</v>
      </c>
      <c r="H478" s="1" t="s">
        <v>74</v>
      </c>
      <c r="I478" s="1" t="s">
        <v>4437</v>
      </c>
      <c r="J478" s="1" t="s">
        <v>112</v>
      </c>
      <c r="K478" s="1" t="s">
        <v>74</v>
      </c>
      <c r="L478" s="1" t="s">
        <v>74</v>
      </c>
      <c r="M478" s="1" t="s">
        <v>74</v>
      </c>
      <c r="N478" s="1" t="s">
        <v>74</v>
      </c>
      <c r="O478" s="1" t="s">
        <v>74</v>
      </c>
      <c r="P478" s="1" t="s">
        <v>74</v>
      </c>
      <c r="Q478" s="1" t="s">
        <v>74</v>
      </c>
      <c r="R478" s="1" t="s">
        <v>74</v>
      </c>
      <c r="S478" s="1" t="s">
        <v>74</v>
      </c>
      <c r="T478" s="1" t="s">
        <v>74</v>
      </c>
      <c r="U478" s="1" t="s">
        <v>74</v>
      </c>
      <c r="V478" s="1" t="s">
        <v>4438</v>
      </c>
      <c r="W478" s="1" t="s">
        <v>74</v>
      </c>
      <c r="X478" s="1" t="s">
        <v>74</v>
      </c>
      <c r="Y478" s="1" t="s">
        <v>74</v>
      </c>
      <c r="Z478" s="1" t="s">
        <v>74</v>
      </c>
      <c r="AA478" s="1" t="s">
        <v>4439</v>
      </c>
      <c r="AB478" s="1" t="s">
        <v>74</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115</v>
      </c>
      <c r="AP478" s="1" t="s">
        <v>492</v>
      </c>
      <c r="AQ478" s="1" t="s">
        <v>74</v>
      </c>
      <c r="AR478" s="1" t="s">
        <v>74</v>
      </c>
      <c r="AS478" s="1" t="s">
        <v>74</v>
      </c>
      <c r="AT478" s="1" t="s">
        <v>343</v>
      </c>
      <c r="AU478" s="1">
        <v>2020.0</v>
      </c>
      <c r="AV478" s="1">
        <v>148.0</v>
      </c>
      <c r="AW478" s="1">
        <v>8.0</v>
      </c>
      <c r="AX478" s="1" t="s">
        <v>74</v>
      </c>
      <c r="AY478" s="1" t="s">
        <v>74</v>
      </c>
      <c r="AZ478" s="1" t="s">
        <v>74</v>
      </c>
      <c r="BA478" s="1" t="s">
        <v>74</v>
      </c>
      <c r="BB478" s="1">
        <v>1075.0</v>
      </c>
      <c r="BC478" s="1">
        <v>1082.0</v>
      </c>
      <c r="BD478" s="1" t="s">
        <v>74</v>
      </c>
      <c r="BE478" s="1" t="s">
        <v>74</v>
      </c>
      <c r="BF478" s="1" t="s">
        <v>74</v>
      </c>
      <c r="BG478" s="1" t="s">
        <v>74</v>
      </c>
      <c r="BH478" s="1" t="s">
        <v>74</v>
      </c>
      <c r="BI478" s="1" t="s">
        <v>74</v>
      </c>
      <c r="BJ478" s="1" t="s">
        <v>74</v>
      </c>
      <c r="BK478" s="1" t="s">
        <v>74</v>
      </c>
      <c r="BL478" s="1" t="s">
        <v>74</v>
      </c>
      <c r="BM478" s="1" t="s">
        <v>74</v>
      </c>
      <c r="BN478" s="1">
        <v>3.3399773E7</v>
      </c>
      <c r="BO478" s="1" t="s">
        <v>74</v>
      </c>
      <c r="BP478" s="1" t="s">
        <v>74</v>
      </c>
      <c r="BQ478" s="1" t="s">
        <v>74</v>
      </c>
      <c r="BR478" s="1" t="s">
        <v>74</v>
      </c>
      <c r="BS478" s="1" t="s">
        <v>4440</v>
      </c>
      <c r="BT478" s="1" t="str">
        <f>HYPERLINK("https%3A%2F%2Fwww.webofscience.com%2Fwos%2Fwoscc%2Ffull-record%2FWOS:000604270200003","View Full Record in Web of Science")</f>
        <v>View Full Record in Web of Science</v>
      </c>
    </row>
    <row r="479" ht="12.75" customHeight="1">
      <c r="A479" s="1" t="s">
        <v>72</v>
      </c>
      <c r="B479" s="1" t="s">
        <v>4441</v>
      </c>
      <c r="C479" s="1" t="s">
        <v>74</v>
      </c>
      <c r="D479" s="1" t="s">
        <v>74</v>
      </c>
      <c r="E479" s="1" t="s">
        <v>74</v>
      </c>
      <c r="F479" s="1" t="s">
        <v>4442</v>
      </c>
      <c r="G479" s="1" t="s">
        <v>74</v>
      </c>
      <c r="H479" s="1" t="s">
        <v>74</v>
      </c>
      <c r="I479" s="1" t="s">
        <v>4443</v>
      </c>
      <c r="J479" s="1" t="s">
        <v>4444</v>
      </c>
      <c r="K479" s="1" t="s">
        <v>74</v>
      </c>
      <c r="L479" s="1" t="s">
        <v>74</v>
      </c>
      <c r="M479" s="1" t="s">
        <v>74</v>
      </c>
      <c r="N479" s="1" t="s">
        <v>74</v>
      </c>
      <c r="O479" s="1" t="s">
        <v>74</v>
      </c>
      <c r="P479" s="1" t="s">
        <v>74</v>
      </c>
      <c r="Q479" s="1" t="s">
        <v>74</v>
      </c>
      <c r="R479" s="1" t="s">
        <v>74</v>
      </c>
      <c r="S479" s="1" t="s">
        <v>74</v>
      </c>
      <c r="T479" s="1" t="s">
        <v>74</v>
      </c>
      <c r="U479" s="1" t="s">
        <v>74</v>
      </c>
      <c r="V479" s="1" t="s">
        <v>4445</v>
      </c>
      <c r="W479" s="1" t="s">
        <v>74</v>
      </c>
      <c r="X479" s="1" t="s">
        <v>74</v>
      </c>
      <c r="Y479" s="1" t="s">
        <v>74</v>
      </c>
      <c r="Z479" s="1" t="s">
        <v>74</v>
      </c>
      <c r="AA479" s="1" t="s">
        <v>4446</v>
      </c>
      <c r="AB479" s="1" t="s">
        <v>4447</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4448</v>
      </c>
      <c r="AP479" s="1" t="s">
        <v>74</v>
      </c>
      <c r="AQ479" s="1" t="s">
        <v>74</v>
      </c>
      <c r="AR479" s="1" t="s">
        <v>74</v>
      </c>
      <c r="AS479" s="1" t="s">
        <v>74</v>
      </c>
      <c r="AT479" s="1" t="s">
        <v>2773</v>
      </c>
      <c r="AU479" s="1">
        <v>2020.0</v>
      </c>
      <c r="AV479" s="1">
        <v>7.0</v>
      </c>
      <c r="AW479" s="1">
        <v>13.0</v>
      </c>
      <c r="AX479" s="1" t="s">
        <v>74</v>
      </c>
      <c r="AY479" s="1" t="s">
        <v>74</v>
      </c>
      <c r="AZ479" s="1" t="s">
        <v>74</v>
      </c>
      <c r="BA479" s="1" t="s">
        <v>74</v>
      </c>
      <c r="BB479" s="1">
        <v>2478.0</v>
      </c>
      <c r="BC479" s="1">
        <v>2486.0</v>
      </c>
      <c r="BD479" s="1" t="s">
        <v>74</v>
      </c>
      <c r="BE479" s="1" t="s">
        <v>4449</v>
      </c>
      <c r="BF479" s="2" t="str">
        <f>HYPERLINK("http://dx.doi.org/10.1039/d0qi00487a","http://dx.doi.org/10.1039/d0qi00487a")</f>
        <v>http://dx.doi.org/10.1039/d0qi00487a</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4450</v>
      </c>
      <c r="BT479" s="1" t="str">
        <f>HYPERLINK("https%3A%2F%2Fwww.webofscience.com%2Fwos%2Fwoscc%2Ffull-record%2FWOS:000544485000004","View Full Record in Web of Science")</f>
        <v>View Full Record in Web of Science</v>
      </c>
    </row>
    <row r="480" ht="12.75" customHeight="1">
      <c r="A480" s="1" t="s">
        <v>72</v>
      </c>
      <c r="B480" s="1" t="s">
        <v>4451</v>
      </c>
      <c r="C480" s="1" t="s">
        <v>74</v>
      </c>
      <c r="D480" s="1" t="s">
        <v>74</v>
      </c>
      <c r="E480" s="1" t="s">
        <v>74</v>
      </c>
      <c r="F480" s="1" t="s">
        <v>4452</v>
      </c>
      <c r="G480" s="1" t="s">
        <v>74</v>
      </c>
      <c r="H480" s="1" t="s">
        <v>74</v>
      </c>
      <c r="I480" s="1" t="s">
        <v>4453</v>
      </c>
      <c r="J480" s="1" t="s">
        <v>4454</v>
      </c>
      <c r="K480" s="1" t="s">
        <v>74</v>
      </c>
      <c r="L480" s="1" t="s">
        <v>74</v>
      </c>
      <c r="M480" s="1" t="s">
        <v>74</v>
      </c>
      <c r="N480" s="1" t="s">
        <v>74</v>
      </c>
      <c r="O480" s="1" t="s">
        <v>4455</v>
      </c>
      <c r="P480" s="1" t="s">
        <v>4456</v>
      </c>
      <c r="Q480" s="1" t="s">
        <v>4457</v>
      </c>
      <c r="R480" s="1" t="s">
        <v>4458</v>
      </c>
      <c r="S480" s="1" t="s">
        <v>4459</v>
      </c>
      <c r="T480" s="1" t="s">
        <v>74</v>
      </c>
      <c r="U480" s="1" t="s">
        <v>74</v>
      </c>
      <c r="V480" s="1" t="s">
        <v>4460</v>
      </c>
      <c r="W480" s="1" t="s">
        <v>74</v>
      </c>
      <c r="X480" s="1" t="s">
        <v>74</v>
      </c>
      <c r="Y480" s="1" t="s">
        <v>74</v>
      </c>
      <c r="Z480" s="1" t="s">
        <v>74</v>
      </c>
      <c r="AA480" s="1" t="s">
        <v>4461</v>
      </c>
      <c r="AB480" s="1" t="s">
        <v>4462</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4463</v>
      </c>
      <c r="AP480" s="1" t="s">
        <v>4464</v>
      </c>
      <c r="AQ480" s="1" t="s">
        <v>74</v>
      </c>
      <c r="AR480" s="1" t="s">
        <v>74</v>
      </c>
      <c r="AS480" s="1" t="s">
        <v>74</v>
      </c>
      <c r="AT480" s="1" t="s">
        <v>82</v>
      </c>
      <c r="AU480" s="1">
        <v>2020.0</v>
      </c>
      <c r="AV480" s="1">
        <v>92.0</v>
      </c>
      <c r="AW480" s="1">
        <v>6.0</v>
      </c>
      <c r="AX480" s="1" t="s">
        <v>74</v>
      </c>
      <c r="AY480" s="1" t="s">
        <v>74</v>
      </c>
      <c r="AZ480" s="1" t="s">
        <v>74</v>
      </c>
      <c r="BA480" s="1" t="s">
        <v>74</v>
      </c>
      <c r="BB480" s="1">
        <v>883.0</v>
      </c>
      <c r="BC480" s="1">
        <v>896.0</v>
      </c>
      <c r="BD480" s="1" t="s">
        <v>74</v>
      </c>
      <c r="BE480" s="1" t="s">
        <v>4465</v>
      </c>
      <c r="BF480" s="2" t="str">
        <f>HYPERLINK("http://dx.doi.org/10.1515/pac-2019-1103","http://dx.doi.org/10.1515/pac-2019-1103")</f>
        <v>http://dx.doi.org/10.1515/pac-2019-1103</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4466</v>
      </c>
      <c r="BT480" s="1" t="str">
        <f>HYPERLINK("https%3A%2F%2Fwww.webofscience.com%2Fwos%2Fwoscc%2Ffull-record%2FWOS:000552035500007","View Full Record in Web of Science")</f>
        <v>View Full Record in Web of Science</v>
      </c>
    </row>
    <row r="481" ht="12.75" customHeight="1">
      <c r="A481" s="1" t="s">
        <v>72</v>
      </c>
      <c r="B481" s="1" t="s">
        <v>4467</v>
      </c>
      <c r="C481" s="1" t="s">
        <v>74</v>
      </c>
      <c r="D481" s="1" t="s">
        <v>74</v>
      </c>
      <c r="E481" s="1" t="s">
        <v>74</v>
      </c>
      <c r="F481" s="1" t="s">
        <v>4468</v>
      </c>
      <c r="G481" s="1" t="s">
        <v>74</v>
      </c>
      <c r="H481" s="1" t="s">
        <v>74</v>
      </c>
      <c r="I481" s="1" t="s">
        <v>4469</v>
      </c>
      <c r="J481" s="1" t="s">
        <v>4470</v>
      </c>
      <c r="K481" s="1" t="s">
        <v>74</v>
      </c>
      <c r="L481" s="1" t="s">
        <v>74</v>
      </c>
      <c r="M481" s="1" t="s">
        <v>74</v>
      </c>
      <c r="N481" s="1" t="s">
        <v>74</v>
      </c>
      <c r="O481" s="1" t="s">
        <v>74</v>
      </c>
      <c r="P481" s="1" t="s">
        <v>74</v>
      </c>
      <c r="Q481" s="1" t="s">
        <v>74</v>
      </c>
      <c r="R481" s="1" t="s">
        <v>74</v>
      </c>
      <c r="S481" s="1" t="s">
        <v>74</v>
      </c>
      <c r="T481" s="1" t="s">
        <v>74</v>
      </c>
      <c r="U481" s="1" t="s">
        <v>74</v>
      </c>
      <c r="V481" s="1" t="s">
        <v>4471</v>
      </c>
      <c r="W481" s="1" t="s">
        <v>74</v>
      </c>
      <c r="X481" s="1" t="s">
        <v>74</v>
      </c>
      <c r="Y481" s="1" t="s">
        <v>74</v>
      </c>
      <c r="Z481" s="1" t="s">
        <v>74</v>
      </c>
      <c r="AA481" s="1" t="s">
        <v>4472</v>
      </c>
      <c r="AB481" s="1" t="s">
        <v>4473</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74</v>
      </c>
      <c r="AP481" s="1" t="s">
        <v>4474</v>
      </c>
      <c r="AQ481" s="1" t="s">
        <v>74</v>
      </c>
      <c r="AR481" s="1" t="s">
        <v>74</v>
      </c>
      <c r="AS481" s="1" t="s">
        <v>74</v>
      </c>
      <c r="AT481" s="1" t="s">
        <v>183</v>
      </c>
      <c r="AU481" s="1">
        <v>2020.0</v>
      </c>
      <c r="AV481" s="1">
        <v>12.0</v>
      </c>
      <c r="AW481" s="1">
        <v>5.0</v>
      </c>
      <c r="AX481" s="1" t="s">
        <v>74</v>
      </c>
      <c r="AY481" s="1" t="s">
        <v>74</v>
      </c>
      <c r="AZ481" s="1" t="s">
        <v>74</v>
      </c>
      <c r="BA481" s="1" t="s">
        <v>74</v>
      </c>
      <c r="BB481" s="1" t="s">
        <v>74</v>
      </c>
      <c r="BC481" s="1" t="s">
        <v>74</v>
      </c>
      <c r="BD481" s="1">
        <v>1373.0</v>
      </c>
      <c r="BE481" s="1" t="s">
        <v>4475</v>
      </c>
      <c r="BF481" s="2" t="str">
        <f>HYPERLINK("http://dx.doi.org/10.3390/w12051373","http://dx.doi.org/10.3390/w12051373")</f>
        <v>http://dx.doi.org/10.3390/w12051373</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4476</v>
      </c>
      <c r="BT481" s="1" t="str">
        <f>HYPERLINK("https%3A%2F%2Fwww.webofscience.com%2Fwos%2Fwoscc%2Ffull-record%2FWOS:000555915200152","View Full Record in Web of Science")</f>
        <v>View Full Record in Web of Science</v>
      </c>
    </row>
    <row r="482" ht="12.75" customHeight="1">
      <c r="A482" s="1" t="s">
        <v>72</v>
      </c>
      <c r="B482" s="1" t="s">
        <v>4477</v>
      </c>
      <c r="C482" s="1" t="s">
        <v>74</v>
      </c>
      <c r="D482" s="1" t="s">
        <v>74</v>
      </c>
      <c r="E482" s="1" t="s">
        <v>74</v>
      </c>
      <c r="F482" s="1" t="s">
        <v>4478</v>
      </c>
      <c r="G482" s="1" t="s">
        <v>74</v>
      </c>
      <c r="H482" s="1" t="s">
        <v>74</v>
      </c>
      <c r="I482" s="1" t="s">
        <v>4479</v>
      </c>
      <c r="J482" s="1" t="s">
        <v>4480</v>
      </c>
      <c r="K482" s="1" t="s">
        <v>74</v>
      </c>
      <c r="L482" s="1" t="s">
        <v>74</v>
      </c>
      <c r="M482" s="1" t="s">
        <v>74</v>
      </c>
      <c r="N482" s="1" t="s">
        <v>74</v>
      </c>
      <c r="O482" s="1" t="s">
        <v>74</v>
      </c>
      <c r="P482" s="1" t="s">
        <v>74</v>
      </c>
      <c r="Q482" s="1" t="s">
        <v>74</v>
      </c>
      <c r="R482" s="1" t="s">
        <v>74</v>
      </c>
      <c r="S482" s="1" t="s">
        <v>74</v>
      </c>
      <c r="T482" s="1" t="s">
        <v>74</v>
      </c>
      <c r="U482" s="1" t="s">
        <v>74</v>
      </c>
      <c r="V482" s="1" t="s">
        <v>4481</v>
      </c>
      <c r="W482" s="1" t="s">
        <v>74</v>
      </c>
      <c r="X482" s="1" t="s">
        <v>74</v>
      </c>
      <c r="Y482" s="1" t="s">
        <v>74</v>
      </c>
      <c r="Z482" s="1" t="s">
        <v>74</v>
      </c>
      <c r="AA482" s="1" t="s">
        <v>4482</v>
      </c>
      <c r="AB482" s="1" t="s">
        <v>4483</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4484</v>
      </c>
      <c r="AP482" s="1" t="s">
        <v>4485</v>
      </c>
      <c r="AQ482" s="1" t="s">
        <v>74</v>
      </c>
      <c r="AR482" s="1" t="s">
        <v>74</v>
      </c>
      <c r="AS482" s="1" t="s">
        <v>74</v>
      </c>
      <c r="AT482" s="1" t="s">
        <v>4486</v>
      </c>
      <c r="AU482" s="1">
        <v>2020.0</v>
      </c>
      <c r="AV482" s="1">
        <v>38.0</v>
      </c>
      <c r="AW482" s="1">
        <v>2.0</v>
      </c>
      <c r="AX482" s="1" t="s">
        <v>74</v>
      </c>
      <c r="AY482" s="1" t="s">
        <v>74</v>
      </c>
      <c r="AZ482" s="1" t="s">
        <v>74</v>
      </c>
      <c r="BA482" s="1" t="s">
        <v>74</v>
      </c>
      <c r="BB482" s="1" t="s">
        <v>74</v>
      </c>
      <c r="BC482" s="1" t="s">
        <v>74</v>
      </c>
      <c r="BD482" s="1" t="s">
        <v>4487</v>
      </c>
      <c r="BE482" s="1" t="s">
        <v>4488</v>
      </c>
      <c r="BF482" s="2" t="str">
        <f>HYPERLINK("http://dx.doi.org/10.17533/udea.iee.v38n2e06","http://dx.doi.org/10.17533/udea.iee.v38n2e06")</f>
        <v>http://dx.doi.org/10.17533/udea.iee.v38n2e06</v>
      </c>
      <c r="BG482" s="1" t="s">
        <v>74</v>
      </c>
      <c r="BH482" s="1" t="s">
        <v>74</v>
      </c>
      <c r="BI482" s="1" t="s">
        <v>74</v>
      </c>
      <c r="BJ482" s="1" t="s">
        <v>74</v>
      </c>
      <c r="BK482" s="1" t="s">
        <v>74</v>
      </c>
      <c r="BL482" s="1" t="s">
        <v>74</v>
      </c>
      <c r="BM482" s="1" t="s">
        <v>74</v>
      </c>
      <c r="BN482" s="1">
        <v>3.3047549E7</v>
      </c>
      <c r="BO482" s="1" t="s">
        <v>74</v>
      </c>
      <c r="BP482" s="1" t="s">
        <v>74</v>
      </c>
      <c r="BQ482" s="1" t="s">
        <v>74</v>
      </c>
      <c r="BR482" s="1" t="s">
        <v>74</v>
      </c>
      <c r="BS482" s="1" t="s">
        <v>4489</v>
      </c>
      <c r="BT482" s="1" t="str">
        <f>HYPERLINK("https%3A%2F%2Fwww.webofscience.com%2Fwos%2Fwoscc%2Ffull-record%2FWOS:000888556000005","View Full Record in Web of Science")</f>
        <v>View Full Record in Web of Science</v>
      </c>
    </row>
    <row r="483" ht="12.75" customHeight="1">
      <c r="A483" s="1" t="s">
        <v>72</v>
      </c>
      <c r="B483" s="1" t="s">
        <v>4490</v>
      </c>
      <c r="C483" s="1" t="s">
        <v>74</v>
      </c>
      <c r="D483" s="1" t="s">
        <v>74</v>
      </c>
      <c r="E483" s="1" t="s">
        <v>74</v>
      </c>
      <c r="F483" s="1" t="s">
        <v>4491</v>
      </c>
      <c r="G483" s="1" t="s">
        <v>74</v>
      </c>
      <c r="H483" s="1" t="s">
        <v>74</v>
      </c>
      <c r="I483" s="1" t="s">
        <v>4492</v>
      </c>
      <c r="J483" s="1" t="s">
        <v>4493</v>
      </c>
      <c r="K483" s="1" t="s">
        <v>74</v>
      </c>
      <c r="L483" s="1" t="s">
        <v>74</v>
      </c>
      <c r="M483" s="1" t="s">
        <v>74</v>
      </c>
      <c r="N483" s="1" t="s">
        <v>74</v>
      </c>
      <c r="O483" s="1" t="s">
        <v>74</v>
      </c>
      <c r="P483" s="1" t="s">
        <v>74</v>
      </c>
      <c r="Q483" s="1" t="s">
        <v>74</v>
      </c>
      <c r="R483" s="1" t="s">
        <v>74</v>
      </c>
      <c r="S483" s="1" t="s">
        <v>74</v>
      </c>
      <c r="T483" s="1" t="s">
        <v>74</v>
      </c>
      <c r="U483" s="1" t="s">
        <v>74</v>
      </c>
      <c r="V483" s="1" t="s">
        <v>4494</v>
      </c>
      <c r="W483" s="1" t="s">
        <v>74</v>
      </c>
      <c r="X483" s="1" t="s">
        <v>74</v>
      </c>
      <c r="Y483" s="1" t="s">
        <v>74</v>
      </c>
      <c r="Z483" s="1" t="s">
        <v>74</v>
      </c>
      <c r="AA483" s="1" t="s">
        <v>4495</v>
      </c>
      <c r="AB483" s="1" t="s">
        <v>4496</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4497</v>
      </c>
      <c r="AP483" s="1" t="s">
        <v>4498</v>
      </c>
      <c r="AQ483" s="1" t="s">
        <v>74</v>
      </c>
      <c r="AR483" s="1" t="s">
        <v>74</v>
      </c>
      <c r="AS483" s="1" t="s">
        <v>74</v>
      </c>
      <c r="AT483" s="1" t="s">
        <v>319</v>
      </c>
      <c r="AU483" s="1">
        <v>2020.0</v>
      </c>
      <c r="AV483" s="1">
        <v>13.0</v>
      </c>
      <c r="AW483" s="1">
        <v>1.0</v>
      </c>
      <c r="AX483" s="1" t="s">
        <v>74</v>
      </c>
      <c r="AY483" s="1" t="s">
        <v>74</v>
      </c>
      <c r="AZ483" s="1" t="s">
        <v>74</v>
      </c>
      <c r="BA483" s="1" t="s">
        <v>74</v>
      </c>
      <c r="BB483" s="1">
        <v>79.0</v>
      </c>
      <c r="BC483" s="1">
        <v>84.0</v>
      </c>
      <c r="BD483" s="1" t="s">
        <v>74</v>
      </c>
      <c r="BE483" s="1" t="s">
        <v>4499</v>
      </c>
      <c r="BF483" s="2" t="str">
        <f>HYPERLINK("http://dx.doi.org/10.1007/s12080-019-0427-2","http://dx.doi.org/10.1007/s12080-019-0427-2")</f>
        <v>http://dx.doi.org/10.1007/s12080-019-0427-2</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4500</v>
      </c>
      <c r="BT483" s="1" t="str">
        <f>HYPERLINK("https%3A%2F%2Fwww.webofscience.com%2Fwos%2Fwoscc%2Ffull-record%2FWOS:000515172600005","View Full Record in Web of Science")</f>
        <v>View Full Record in Web of Science</v>
      </c>
    </row>
    <row r="484" ht="12.75" customHeight="1">
      <c r="A484" s="1" t="s">
        <v>241</v>
      </c>
      <c r="B484" s="1" t="s">
        <v>4501</v>
      </c>
      <c r="C484" s="1" t="s">
        <v>74</v>
      </c>
      <c r="D484" s="1" t="s">
        <v>74</v>
      </c>
      <c r="E484" s="1" t="s">
        <v>427</v>
      </c>
      <c r="F484" s="1" t="s">
        <v>4502</v>
      </c>
      <c r="G484" s="1" t="s">
        <v>74</v>
      </c>
      <c r="H484" s="1" t="s">
        <v>74</v>
      </c>
      <c r="I484" s="1" t="s">
        <v>4503</v>
      </c>
      <c r="J484" s="1" t="s">
        <v>4504</v>
      </c>
      <c r="K484" s="1" t="s">
        <v>74</v>
      </c>
      <c r="L484" s="1" t="s">
        <v>74</v>
      </c>
      <c r="M484" s="1" t="s">
        <v>74</v>
      </c>
      <c r="N484" s="1" t="s">
        <v>74</v>
      </c>
      <c r="O484" s="1" t="s">
        <v>4505</v>
      </c>
      <c r="P484" s="1" t="s">
        <v>4506</v>
      </c>
      <c r="Q484" s="1" t="s">
        <v>1265</v>
      </c>
      <c r="R484" s="1" t="s">
        <v>4507</v>
      </c>
      <c r="S484" s="1" t="s">
        <v>74</v>
      </c>
      <c r="T484" s="1" t="s">
        <v>74</v>
      </c>
      <c r="U484" s="1" t="s">
        <v>74</v>
      </c>
      <c r="V484" s="1" t="s">
        <v>4508</v>
      </c>
      <c r="W484" s="1" t="s">
        <v>74</v>
      </c>
      <c r="X484" s="1" t="s">
        <v>74</v>
      </c>
      <c r="Y484" s="1" t="s">
        <v>74</v>
      </c>
      <c r="Z484" s="1" t="s">
        <v>74</v>
      </c>
      <c r="AA484" s="1" t="s">
        <v>4509</v>
      </c>
      <c r="AB484" s="1" t="s">
        <v>4510</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74</v>
      </c>
      <c r="AP484" s="1" t="s">
        <v>74</v>
      </c>
      <c r="AQ484" s="1" t="s">
        <v>4511</v>
      </c>
      <c r="AR484" s="1" t="s">
        <v>74</v>
      </c>
      <c r="AS484" s="1" t="s">
        <v>74</v>
      </c>
      <c r="AT484" s="1" t="s">
        <v>74</v>
      </c>
      <c r="AU484" s="1">
        <v>2020.0</v>
      </c>
      <c r="AV484" s="1" t="s">
        <v>74</v>
      </c>
      <c r="AW484" s="1" t="s">
        <v>74</v>
      </c>
      <c r="AX484" s="1" t="s">
        <v>74</v>
      </c>
      <c r="AY484" s="1" t="s">
        <v>74</v>
      </c>
      <c r="AZ484" s="1" t="s">
        <v>74</v>
      </c>
      <c r="BA484" s="1" t="s">
        <v>74</v>
      </c>
      <c r="BB484" s="1">
        <v>94.0</v>
      </c>
      <c r="BC484" s="1">
        <v>99.0</v>
      </c>
      <c r="BD484" s="1" t="s">
        <v>74</v>
      </c>
      <c r="BE484" s="1" t="s">
        <v>4512</v>
      </c>
      <c r="BF484" s="2" t="str">
        <f>HYPERLINK("http://dx.doi.org/10.1109/sacvlc50805.2020.9129889","http://dx.doi.org/10.1109/sacvlc50805.2020.9129889")</f>
        <v>http://dx.doi.org/10.1109/sacvlc50805.2020.9129889</v>
      </c>
      <c r="BG484" s="1" t="s">
        <v>74</v>
      </c>
      <c r="BH484" s="1" t="s">
        <v>74</v>
      </c>
      <c r="BI484" s="1" t="s">
        <v>74</v>
      </c>
      <c r="BJ484" s="1" t="s">
        <v>74</v>
      </c>
      <c r="BK484" s="1" t="s">
        <v>74</v>
      </c>
      <c r="BL484" s="1" t="s">
        <v>74</v>
      </c>
      <c r="BM484" s="1" t="s">
        <v>74</v>
      </c>
      <c r="BN484" s="1" t="s">
        <v>74</v>
      </c>
      <c r="BO484" s="1" t="s">
        <v>74</v>
      </c>
      <c r="BP484" s="1" t="s">
        <v>74</v>
      </c>
      <c r="BQ484" s="1" t="s">
        <v>74</v>
      </c>
      <c r="BR484" s="1" t="s">
        <v>74</v>
      </c>
      <c r="BS484" s="1" t="s">
        <v>4513</v>
      </c>
      <c r="BT484" s="1" t="str">
        <f>HYPERLINK("https%3A%2F%2Fwww.webofscience.com%2Fwos%2Fwoscc%2Ffull-record%2FWOS:000856038700018","View Full Record in Web of Science")</f>
        <v>View Full Record in Web of Science</v>
      </c>
    </row>
    <row r="485" ht="12.75" customHeight="1">
      <c r="A485" s="1" t="s">
        <v>72</v>
      </c>
      <c r="B485" s="1" t="s">
        <v>4514</v>
      </c>
      <c r="C485" s="1" t="s">
        <v>74</v>
      </c>
      <c r="D485" s="1" t="s">
        <v>74</v>
      </c>
      <c r="E485" s="1" t="s">
        <v>74</v>
      </c>
      <c r="F485" s="1" t="s">
        <v>4515</v>
      </c>
      <c r="G485" s="1" t="s">
        <v>74</v>
      </c>
      <c r="H485" s="1" t="s">
        <v>74</v>
      </c>
      <c r="I485" s="1" t="s">
        <v>4516</v>
      </c>
      <c r="J485" s="1" t="s">
        <v>4154</v>
      </c>
      <c r="K485" s="1" t="s">
        <v>74</v>
      </c>
      <c r="L485" s="1" t="s">
        <v>74</v>
      </c>
      <c r="M485" s="1" t="s">
        <v>74</v>
      </c>
      <c r="N485" s="1" t="s">
        <v>74</v>
      </c>
      <c r="O485" s="1" t="s">
        <v>74</v>
      </c>
      <c r="P485" s="1" t="s">
        <v>74</v>
      </c>
      <c r="Q485" s="1" t="s">
        <v>74</v>
      </c>
      <c r="R485" s="1" t="s">
        <v>74</v>
      </c>
      <c r="S485" s="1" t="s">
        <v>74</v>
      </c>
      <c r="T485" s="1" t="s">
        <v>74</v>
      </c>
      <c r="U485" s="1" t="s">
        <v>74</v>
      </c>
      <c r="V485" s="1" t="s">
        <v>4517</v>
      </c>
      <c r="W485" s="1" t="s">
        <v>74</v>
      </c>
      <c r="X485" s="1" t="s">
        <v>74</v>
      </c>
      <c r="Y485" s="1" t="s">
        <v>74</v>
      </c>
      <c r="Z485" s="1" t="s">
        <v>74</v>
      </c>
      <c r="AA485" s="1" t="s">
        <v>74</v>
      </c>
      <c r="AB485" s="1" t="s">
        <v>74</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4157</v>
      </c>
      <c r="AP485" s="1" t="s">
        <v>4158</v>
      </c>
      <c r="AQ485" s="1" t="s">
        <v>74</v>
      </c>
      <c r="AR485" s="1" t="s">
        <v>74</v>
      </c>
      <c r="AS485" s="1" t="s">
        <v>74</v>
      </c>
      <c r="AT485" s="1" t="s">
        <v>680</v>
      </c>
      <c r="AU485" s="1">
        <v>2020.0</v>
      </c>
      <c r="AV485" s="1">
        <v>44.0</v>
      </c>
      <c r="AW485" s="1">
        <v>1.0</v>
      </c>
      <c r="AX485" s="1" t="s">
        <v>74</v>
      </c>
      <c r="AY485" s="1" t="s">
        <v>74</v>
      </c>
      <c r="AZ485" s="1" t="s">
        <v>74</v>
      </c>
      <c r="BA485" s="1" t="s">
        <v>74</v>
      </c>
      <c r="BB485" s="1" t="s">
        <v>74</v>
      </c>
      <c r="BC485" s="1" t="s">
        <v>74</v>
      </c>
      <c r="BD485" s="1" t="s">
        <v>74</v>
      </c>
      <c r="BE485" s="1" t="s">
        <v>4518</v>
      </c>
      <c r="BF485" s="2" t="str">
        <f>HYPERLINK("http://dx.doi.org/10.15517/revedu.v44i1.37637","http://dx.doi.org/10.15517/revedu.v44i1.37637")</f>
        <v>http://dx.doi.org/10.15517/revedu.v44i1.37637</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4519</v>
      </c>
      <c r="BT485" s="1" t="str">
        <f>HYPERLINK("https%3A%2F%2Fwww.webofscience.com%2Fwos%2Fwoscc%2Ffull-record%2FWOS:000528226200038","View Full Record in Web of Science")</f>
        <v>View Full Record in Web of Science</v>
      </c>
    </row>
    <row r="486" ht="12.75" customHeight="1">
      <c r="A486" s="1" t="s">
        <v>72</v>
      </c>
      <c r="B486" s="1" t="s">
        <v>4520</v>
      </c>
      <c r="C486" s="1" t="s">
        <v>74</v>
      </c>
      <c r="D486" s="1" t="s">
        <v>74</v>
      </c>
      <c r="E486" s="1" t="s">
        <v>74</v>
      </c>
      <c r="F486" s="1" t="s">
        <v>4521</v>
      </c>
      <c r="G486" s="1" t="s">
        <v>74</v>
      </c>
      <c r="H486" s="1" t="s">
        <v>74</v>
      </c>
      <c r="I486" s="1" t="s">
        <v>4522</v>
      </c>
      <c r="J486" s="1" t="s">
        <v>3835</v>
      </c>
      <c r="K486" s="1" t="s">
        <v>74</v>
      </c>
      <c r="L486" s="1" t="s">
        <v>74</v>
      </c>
      <c r="M486" s="1" t="s">
        <v>74</v>
      </c>
      <c r="N486" s="1" t="s">
        <v>74</v>
      </c>
      <c r="O486" s="1" t="s">
        <v>74</v>
      </c>
      <c r="P486" s="1" t="s">
        <v>74</v>
      </c>
      <c r="Q486" s="1" t="s">
        <v>74</v>
      </c>
      <c r="R486" s="1" t="s">
        <v>74</v>
      </c>
      <c r="S486" s="1" t="s">
        <v>74</v>
      </c>
      <c r="T486" s="1" t="s">
        <v>74</v>
      </c>
      <c r="U486" s="1" t="s">
        <v>74</v>
      </c>
      <c r="V486" s="1" t="s">
        <v>4523</v>
      </c>
      <c r="W486" s="1" t="s">
        <v>74</v>
      </c>
      <c r="X486" s="1" t="s">
        <v>74</v>
      </c>
      <c r="Y486" s="1" t="s">
        <v>74</v>
      </c>
      <c r="Z486" s="1" t="s">
        <v>74</v>
      </c>
      <c r="AA486" s="1" t="s">
        <v>4524</v>
      </c>
      <c r="AB486" s="1" t="s">
        <v>4525</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74</v>
      </c>
      <c r="AP486" s="1" t="s">
        <v>3839</v>
      </c>
      <c r="AQ486" s="1" t="s">
        <v>74</v>
      </c>
      <c r="AR486" s="1" t="s">
        <v>74</v>
      </c>
      <c r="AS486" s="1" t="s">
        <v>74</v>
      </c>
      <c r="AT486" s="1" t="s">
        <v>4526</v>
      </c>
      <c r="AU486" s="1">
        <v>2019.0</v>
      </c>
      <c r="AV486" s="1">
        <v>301.0</v>
      </c>
      <c r="AW486" s="1" t="s">
        <v>74</v>
      </c>
      <c r="AX486" s="1" t="s">
        <v>74</v>
      </c>
      <c r="AY486" s="1" t="s">
        <v>74</v>
      </c>
      <c r="AZ486" s="1" t="s">
        <v>74</v>
      </c>
      <c r="BA486" s="1" t="s">
        <v>74</v>
      </c>
      <c r="BB486" s="1" t="s">
        <v>74</v>
      </c>
      <c r="BC486" s="1" t="s">
        <v>74</v>
      </c>
      <c r="BD486" s="1">
        <v>127149.0</v>
      </c>
      <c r="BE486" s="1" t="s">
        <v>4527</v>
      </c>
      <c r="BF486" s="2" t="str">
        <f>HYPERLINK("http://dx.doi.org/10.1016/j.snb.2019.127149","http://dx.doi.org/10.1016/j.snb.2019.127149")</f>
        <v>http://dx.doi.org/10.1016/j.snb.2019.127149</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4528</v>
      </c>
      <c r="BT486" s="1" t="str">
        <f>HYPERLINK("https%3A%2F%2Fwww.webofscience.com%2Fwos%2Fwoscc%2Ffull-record%2FWOS:000489529300081","View Full Record in Web of Science")</f>
        <v>View Full Record in Web of Science</v>
      </c>
    </row>
    <row r="487" ht="12.75" customHeight="1">
      <c r="A487" s="1" t="s">
        <v>72</v>
      </c>
      <c r="B487" s="1" t="s">
        <v>4529</v>
      </c>
      <c r="C487" s="1" t="s">
        <v>74</v>
      </c>
      <c r="D487" s="1" t="s">
        <v>74</v>
      </c>
      <c r="E487" s="1" t="s">
        <v>74</v>
      </c>
      <c r="F487" s="1" t="s">
        <v>4530</v>
      </c>
      <c r="G487" s="1" t="s">
        <v>74</v>
      </c>
      <c r="H487" s="1" t="s">
        <v>74</v>
      </c>
      <c r="I487" s="1" t="s">
        <v>4531</v>
      </c>
      <c r="J487" s="1" t="s">
        <v>4532</v>
      </c>
      <c r="K487" s="1" t="s">
        <v>74</v>
      </c>
      <c r="L487" s="1" t="s">
        <v>74</v>
      </c>
      <c r="M487" s="1" t="s">
        <v>74</v>
      </c>
      <c r="N487" s="1" t="s">
        <v>74</v>
      </c>
      <c r="O487" s="1" t="s">
        <v>74</v>
      </c>
      <c r="P487" s="1" t="s">
        <v>74</v>
      </c>
      <c r="Q487" s="1" t="s">
        <v>74</v>
      </c>
      <c r="R487" s="1" t="s">
        <v>74</v>
      </c>
      <c r="S487" s="1" t="s">
        <v>74</v>
      </c>
      <c r="T487" s="1" t="s">
        <v>74</v>
      </c>
      <c r="U487" s="1" t="s">
        <v>74</v>
      </c>
      <c r="V487" s="1" t="s">
        <v>74</v>
      </c>
      <c r="W487" s="1" t="s">
        <v>74</v>
      </c>
      <c r="X487" s="1" t="s">
        <v>74</v>
      </c>
      <c r="Y487" s="1" t="s">
        <v>74</v>
      </c>
      <c r="Z487" s="1" t="s">
        <v>74</v>
      </c>
      <c r="AA487" s="1" t="s">
        <v>4533</v>
      </c>
      <c r="AB487" s="1" t="s">
        <v>4534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4535</v>
      </c>
      <c r="AP487" s="1" t="s">
        <v>74</v>
      </c>
      <c r="AQ487" s="1" t="s">
        <v>74</v>
      </c>
      <c r="AR487" s="1" t="s">
        <v>74</v>
      </c>
      <c r="AS487" s="1" t="s">
        <v>74</v>
      </c>
      <c r="AT487" s="1" t="s">
        <v>160</v>
      </c>
      <c r="AU487" s="1">
        <v>2018.0</v>
      </c>
      <c r="AV487" s="1">
        <v>13.0</v>
      </c>
      <c r="AW487" s="1">
        <v>12.0</v>
      </c>
      <c r="AX487" s="1" t="s">
        <v>74</v>
      </c>
      <c r="AY487" s="1" t="s">
        <v>74</v>
      </c>
      <c r="AZ487" s="1" t="s">
        <v>74</v>
      </c>
      <c r="BA487" s="1" t="s">
        <v>74</v>
      </c>
      <c r="BB487" s="1">
        <v>12452.0</v>
      </c>
      <c r="BC487" s="1">
        <v>12452.0</v>
      </c>
      <c r="BD487" s="1" t="s">
        <v>74</v>
      </c>
      <c r="BE487" s="1" t="s">
        <v>4536</v>
      </c>
      <c r="BF487" s="2" t="str">
        <f>HYPERLINK("http://dx.doi.org/10.20964/2018.12.140","http://dx.doi.org/10.20964/2018.12.140")</f>
        <v>http://dx.doi.org/10.20964/2018.12.140</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4537</v>
      </c>
      <c r="BT487" s="1" t="str">
        <f>HYPERLINK("https%3A%2F%2Fwww.webofscience.com%2Fwos%2Fwoscc%2Ffull-record%2FWOS:000452744500090","View Full Record in Web of Science")</f>
        <v>View Full Record in Web of Science</v>
      </c>
    </row>
    <row r="488" ht="12.75" customHeight="1">
      <c r="A488" s="1" t="s">
        <v>72</v>
      </c>
      <c r="B488" s="1" t="s">
        <v>4538</v>
      </c>
      <c r="C488" s="1" t="s">
        <v>74</v>
      </c>
      <c r="D488" s="1" t="s">
        <v>74</v>
      </c>
      <c r="E488" s="1" t="s">
        <v>74</v>
      </c>
      <c r="F488" s="1" t="s">
        <v>4539</v>
      </c>
      <c r="G488" s="1" t="s">
        <v>74</v>
      </c>
      <c r="H488" s="1" t="s">
        <v>74</v>
      </c>
      <c r="I488" s="1" t="s">
        <v>4540</v>
      </c>
      <c r="J488" s="1" t="s">
        <v>4541</v>
      </c>
      <c r="K488" s="1" t="s">
        <v>74</v>
      </c>
      <c r="L488" s="1" t="s">
        <v>74</v>
      </c>
      <c r="M488" s="1" t="s">
        <v>74</v>
      </c>
      <c r="N488" s="1" t="s">
        <v>74</v>
      </c>
      <c r="O488" s="1" t="s">
        <v>74</v>
      </c>
      <c r="P488" s="1" t="s">
        <v>74</v>
      </c>
      <c r="Q488" s="1" t="s">
        <v>74</v>
      </c>
      <c r="R488" s="1" t="s">
        <v>74</v>
      </c>
      <c r="S488" s="1" t="s">
        <v>74</v>
      </c>
      <c r="T488" s="1" t="s">
        <v>74</v>
      </c>
      <c r="U488" s="1" t="s">
        <v>74</v>
      </c>
      <c r="V488" s="1" t="s">
        <v>4542</v>
      </c>
      <c r="W488" s="1" t="s">
        <v>74</v>
      </c>
      <c r="X488" s="1" t="s">
        <v>74</v>
      </c>
      <c r="Y488" s="1" t="s">
        <v>74</v>
      </c>
      <c r="Z488" s="1" t="s">
        <v>74</v>
      </c>
      <c r="AA488" s="1" t="s">
        <v>4543</v>
      </c>
      <c r="AB488" s="1" t="s">
        <v>4544</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4545</v>
      </c>
      <c r="AP488" s="1" t="s">
        <v>4546</v>
      </c>
      <c r="AQ488" s="1" t="s">
        <v>74</v>
      </c>
      <c r="AR488" s="1" t="s">
        <v>74</v>
      </c>
      <c r="AS488" s="1" t="s">
        <v>74</v>
      </c>
      <c r="AT488" s="1" t="s">
        <v>116</v>
      </c>
      <c r="AU488" s="1">
        <v>2018.0</v>
      </c>
      <c r="AV488" s="1">
        <v>124.0</v>
      </c>
      <c r="AW488" s="1">
        <v>3.0</v>
      </c>
      <c r="AX488" s="1" t="s">
        <v>74</v>
      </c>
      <c r="AY488" s="1" t="s">
        <v>74</v>
      </c>
      <c r="AZ488" s="1" t="s">
        <v>74</v>
      </c>
      <c r="BA488" s="1" t="s">
        <v>74</v>
      </c>
      <c r="BB488" s="1">
        <v>243.0</v>
      </c>
      <c r="BC488" s="1">
        <v>267.0</v>
      </c>
      <c r="BD488" s="1" t="s">
        <v>74</v>
      </c>
      <c r="BE488" s="1" t="s">
        <v>4547</v>
      </c>
      <c r="BF488" s="2" t="str">
        <f>HYPERLINK("http://dx.doi.org/10.1007/s00712-017-0576-y","http://dx.doi.org/10.1007/s00712-017-0576-y")</f>
        <v>http://dx.doi.org/10.1007/s00712-017-0576-y</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4548</v>
      </c>
      <c r="BT488" s="1" t="str">
        <f>HYPERLINK("https%3A%2F%2Fwww.webofscience.com%2Fwos%2Fwoscc%2Ffull-record%2FWOS:000435528300002","View Full Record in Web of Science")</f>
        <v>View Full Record in Web of Science</v>
      </c>
    </row>
    <row r="489" ht="12.75" customHeight="1">
      <c r="A489" s="1" t="s">
        <v>72</v>
      </c>
      <c r="B489" s="1" t="s">
        <v>4549</v>
      </c>
      <c r="C489" s="1" t="s">
        <v>74</v>
      </c>
      <c r="D489" s="1" t="s">
        <v>74</v>
      </c>
      <c r="E489" s="1" t="s">
        <v>74</v>
      </c>
      <c r="F489" s="1" t="s">
        <v>4550</v>
      </c>
      <c r="G489" s="1" t="s">
        <v>74</v>
      </c>
      <c r="H489" s="1" t="s">
        <v>74</v>
      </c>
      <c r="I489" s="1" t="s">
        <v>4551</v>
      </c>
      <c r="J489" s="1" t="s">
        <v>4552</v>
      </c>
      <c r="K489" s="1" t="s">
        <v>74</v>
      </c>
      <c r="L489" s="1" t="s">
        <v>74</v>
      </c>
      <c r="M489" s="1" t="s">
        <v>74</v>
      </c>
      <c r="N489" s="1" t="s">
        <v>74</v>
      </c>
      <c r="O489" s="1" t="s">
        <v>74</v>
      </c>
      <c r="P489" s="1" t="s">
        <v>74</v>
      </c>
      <c r="Q489" s="1" t="s">
        <v>74</v>
      </c>
      <c r="R489" s="1" t="s">
        <v>74</v>
      </c>
      <c r="S489" s="1" t="s">
        <v>74</v>
      </c>
      <c r="T489" s="1" t="s">
        <v>74</v>
      </c>
      <c r="U489" s="1" t="s">
        <v>74</v>
      </c>
      <c r="V489" s="1" t="s">
        <v>4553</v>
      </c>
      <c r="W489" s="1" t="s">
        <v>74</v>
      </c>
      <c r="X489" s="1" t="s">
        <v>74</v>
      </c>
      <c r="Y489" s="1" t="s">
        <v>74</v>
      </c>
      <c r="Z489" s="1" t="s">
        <v>74</v>
      </c>
      <c r="AA489" s="1" t="s">
        <v>4554</v>
      </c>
      <c r="AB489" s="1" t="s">
        <v>4555</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4556</v>
      </c>
      <c r="AP489" s="1" t="s">
        <v>4557</v>
      </c>
      <c r="AQ489" s="1" t="s">
        <v>74</v>
      </c>
      <c r="AR489" s="1" t="s">
        <v>74</v>
      </c>
      <c r="AS489" s="1" t="s">
        <v>74</v>
      </c>
      <c r="AT489" s="1" t="s">
        <v>319</v>
      </c>
      <c r="AU489" s="1">
        <v>2018.0</v>
      </c>
      <c r="AV489" s="1">
        <v>146.0</v>
      </c>
      <c r="AW489" s="1">
        <v>3.0</v>
      </c>
      <c r="AX489" s="1" t="s">
        <v>74</v>
      </c>
      <c r="AY489" s="1" t="s">
        <v>74</v>
      </c>
      <c r="AZ489" s="1" t="s">
        <v>74</v>
      </c>
      <c r="BA489" s="1" t="s">
        <v>74</v>
      </c>
      <c r="BB489" s="1">
        <v>1257.0</v>
      </c>
      <c r="BC489" s="1">
        <v>1269.0</v>
      </c>
      <c r="BD489" s="1" t="s">
        <v>74</v>
      </c>
      <c r="BE489" s="1" t="s">
        <v>4558</v>
      </c>
      <c r="BF489" s="2" t="str">
        <f>HYPERLINK("http://dx.doi.org/10.1090/proc/13853","http://dx.doi.org/10.1090/proc/13853")</f>
        <v>http://dx.doi.org/10.1090/proc/13853</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4559</v>
      </c>
      <c r="BT489" s="1" t="str">
        <f>HYPERLINK("https%3A%2F%2Fwww.webofscience.com%2Fwos%2Fwoscc%2Ffull-record%2FWOS:000423480000033","View Full Record in Web of Science")</f>
        <v>View Full Record in Web of Science</v>
      </c>
    </row>
    <row r="490" ht="12.75" customHeight="1">
      <c r="A490" s="1" t="s">
        <v>442</v>
      </c>
      <c r="B490" s="1" t="s">
        <v>4560</v>
      </c>
      <c r="C490" s="1" t="s">
        <v>74</v>
      </c>
      <c r="D490" s="1" t="s">
        <v>4561</v>
      </c>
      <c r="E490" s="1" t="s">
        <v>74</v>
      </c>
      <c r="F490" s="1" t="s">
        <v>4562</v>
      </c>
      <c r="G490" s="1" t="s">
        <v>74</v>
      </c>
      <c r="H490" s="1" t="s">
        <v>74</v>
      </c>
      <c r="I490" s="1" t="s">
        <v>4563</v>
      </c>
      <c r="J490" s="1" t="s">
        <v>4564</v>
      </c>
      <c r="K490" s="1" t="s">
        <v>74</v>
      </c>
      <c r="L490" s="1" t="s">
        <v>74</v>
      </c>
      <c r="M490" s="1" t="s">
        <v>74</v>
      </c>
      <c r="N490" s="1" t="s">
        <v>74</v>
      </c>
      <c r="O490" s="1" t="s">
        <v>74</v>
      </c>
      <c r="P490" s="1" t="s">
        <v>74</v>
      </c>
      <c r="Q490" s="1" t="s">
        <v>74</v>
      </c>
      <c r="R490" s="1" t="s">
        <v>74</v>
      </c>
      <c r="S490" s="1" t="s">
        <v>74</v>
      </c>
      <c r="T490" s="1" t="s">
        <v>74</v>
      </c>
      <c r="U490" s="1" t="s">
        <v>74</v>
      </c>
      <c r="V490" s="1" t="s">
        <v>74</v>
      </c>
      <c r="W490" s="1" t="s">
        <v>74</v>
      </c>
      <c r="X490" s="1" t="s">
        <v>74</v>
      </c>
      <c r="Y490" s="1" t="s">
        <v>74</v>
      </c>
      <c r="Z490" s="1" t="s">
        <v>74</v>
      </c>
      <c r="AA490" s="1" t="s">
        <v>4565</v>
      </c>
      <c r="AB490" s="1" t="s">
        <v>4566</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74</v>
      </c>
      <c r="AP490" s="1" t="s">
        <v>74</v>
      </c>
      <c r="AQ490" s="1" t="s">
        <v>4567</v>
      </c>
      <c r="AR490" s="1" t="s">
        <v>74</v>
      </c>
      <c r="AS490" s="1" t="s">
        <v>74</v>
      </c>
      <c r="AT490" s="1" t="s">
        <v>74</v>
      </c>
      <c r="AU490" s="1">
        <v>2018.0</v>
      </c>
      <c r="AV490" s="1" t="s">
        <v>74</v>
      </c>
      <c r="AW490" s="1" t="s">
        <v>74</v>
      </c>
      <c r="AX490" s="1" t="s">
        <v>74</v>
      </c>
      <c r="AY490" s="1" t="s">
        <v>74</v>
      </c>
      <c r="AZ490" s="1" t="s">
        <v>74</v>
      </c>
      <c r="BA490" s="1" t="s">
        <v>74</v>
      </c>
      <c r="BB490" s="1">
        <v>137.0</v>
      </c>
      <c r="BC490" s="1">
        <v>154.0</v>
      </c>
      <c r="BD490" s="1" t="s">
        <v>74</v>
      </c>
      <c r="BE490" s="1" t="s">
        <v>74</v>
      </c>
      <c r="BF490" s="1" t="s">
        <v>74</v>
      </c>
      <c r="BG490" s="1" t="s">
        <v>4568</v>
      </c>
      <c r="BH490" s="1" t="s">
        <v>74</v>
      </c>
      <c r="BI490" s="1" t="s">
        <v>74</v>
      </c>
      <c r="BJ490" s="1" t="s">
        <v>74</v>
      </c>
      <c r="BK490" s="1" t="s">
        <v>74</v>
      </c>
      <c r="BL490" s="1" t="s">
        <v>74</v>
      </c>
      <c r="BM490" s="1" t="s">
        <v>74</v>
      </c>
      <c r="BN490" s="1" t="s">
        <v>74</v>
      </c>
      <c r="BO490" s="1" t="s">
        <v>74</v>
      </c>
      <c r="BP490" s="1" t="s">
        <v>74</v>
      </c>
      <c r="BQ490" s="1" t="s">
        <v>74</v>
      </c>
      <c r="BR490" s="1" t="s">
        <v>74</v>
      </c>
      <c r="BS490" s="1" t="s">
        <v>4569</v>
      </c>
      <c r="BT490" s="1" t="str">
        <f>HYPERLINK("https%3A%2F%2Fwww.webofscience.com%2Fwos%2Fwoscc%2Ffull-record%2FWOS:000440942900005","View Full Record in Web of Science")</f>
        <v>View Full Record in Web of Science</v>
      </c>
    </row>
    <row r="491" ht="12.75" customHeight="1">
      <c r="A491" s="1" t="s">
        <v>72</v>
      </c>
      <c r="B491" s="1" t="s">
        <v>4570</v>
      </c>
      <c r="C491" s="1" t="s">
        <v>74</v>
      </c>
      <c r="D491" s="1" t="s">
        <v>74</v>
      </c>
      <c r="E491" s="1" t="s">
        <v>74</v>
      </c>
      <c r="F491" s="1" t="s">
        <v>4571</v>
      </c>
      <c r="G491" s="1" t="s">
        <v>74</v>
      </c>
      <c r="H491" s="1" t="s">
        <v>74</v>
      </c>
      <c r="I491" s="1" t="s">
        <v>4572</v>
      </c>
      <c r="J491" s="1" t="s">
        <v>4573</v>
      </c>
      <c r="K491" s="1" t="s">
        <v>74</v>
      </c>
      <c r="L491" s="1" t="s">
        <v>74</v>
      </c>
      <c r="M491" s="1" t="s">
        <v>74</v>
      </c>
      <c r="N491" s="1" t="s">
        <v>74</v>
      </c>
      <c r="O491" s="1" t="s">
        <v>74</v>
      </c>
      <c r="P491" s="1" t="s">
        <v>74</v>
      </c>
      <c r="Q491" s="1" t="s">
        <v>74</v>
      </c>
      <c r="R491" s="1" t="s">
        <v>74</v>
      </c>
      <c r="S491" s="1" t="s">
        <v>74</v>
      </c>
      <c r="T491" s="1" t="s">
        <v>74</v>
      </c>
      <c r="U491" s="1" t="s">
        <v>74</v>
      </c>
      <c r="V491" s="1" t="s">
        <v>4574</v>
      </c>
      <c r="W491" s="1" t="s">
        <v>74</v>
      </c>
      <c r="X491" s="1" t="s">
        <v>74</v>
      </c>
      <c r="Y491" s="1" t="s">
        <v>74</v>
      </c>
      <c r="Z491" s="1" t="s">
        <v>74</v>
      </c>
      <c r="AA491" s="1" t="s">
        <v>74</v>
      </c>
      <c r="AB491" s="1" t="s">
        <v>4575</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4576</v>
      </c>
      <c r="AP491" s="1" t="s">
        <v>4577</v>
      </c>
      <c r="AQ491" s="1" t="s">
        <v>74</v>
      </c>
      <c r="AR491" s="1" t="s">
        <v>74</v>
      </c>
      <c r="AS491" s="1" t="s">
        <v>74</v>
      </c>
      <c r="AT491" s="1" t="s">
        <v>4578</v>
      </c>
      <c r="AU491" s="1">
        <v>2017.0</v>
      </c>
      <c r="AV491" s="1">
        <v>261.0</v>
      </c>
      <c r="AW491" s="1">
        <v>2.0</v>
      </c>
      <c r="AX491" s="1" t="s">
        <v>74</v>
      </c>
      <c r="AY491" s="1" t="s">
        <v>74</v>
      </c>
      <c r="AZ491" s="1" t="s">
        <v>74</v>
      </c>
      <c r="BA491" s="1" t="s">
        <v>74</v>
      </c>
      <c r="BB491" s="1">
        <v>515.0</v>
      </c>
      <c r="BC491" s="1">
        <v>529.0</v>
      </c>
      <c r="BD491" s="1" t="s">
        <v>74</v>
      </c>
      <c r="BE491" s="1" t="s">
        <v>4579</v>
      </c>
      <c r="BF491" s="2" t="str">
        <f>HYPERLINK("http://dx.doi.org/10.1016/j.ejor.2017.03.001","http://dx.doi.org/10.1016/j.ejor.2017.03.001")</f>
        <v>http://dx.doi.org/10.1016/j.ejor.2017.03.001</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4580</v>
      </c>
      <c r="BT491" s="1" t="str">
        <f>HYPERLINK("https%3A%2F%2Fwww.webofscience.com%2Fwos%2Fwoscc%2Ffull-record%2FWOS:000401206300009","View Full Record in Web of Science")</f>
        <v>View Full Record in Web of Science</v>
      </c>
    </row>
    <row r="492" ht="12.75" customHeight="1">
      <c r="A492" s="1" t="s">
        <v>72</v>
      </c>
      <c r="B492" s="1" t="s">
        <v>4581</v>
      </c>
      <c r="C492" s="1" t="s">
        <v>74</v>
      </c>
      <c r="D492" s="1" t="s">
        <v>74</v>
      </c>
      <c r="E492" s="1" t="s">
        <v>74</v>
      </c>
      <c r="F492" s="1" t="s">
        <v>4582</v>
      </c>
      <c r="G492" s="1" t="s">
        <v>74</v>
      </c>
      <c r="H492" s="1" t="s">
        <v>74</v>
      </c>
      <c r="I492" s="1" t="s">
        <v>4583</v>
      </c>
      <c r="J492" s="1" t="s">
        <v>280</v>
      </c>
      <c r="K492" s="1" t="s">
        <v>74</v>
      </c>
      <c r="L492" s="1" t="s">
        <v>74</v>
      </c>
      <c r="M492" s="1" t="s">
        <v>74</v>
      </c>
      <c r="N492" s="1" t="s">
        <v>74</v>
      </c>
      <c r="O492" s="1" t="s">
        <v>74</v>
      </c>
      <c r="P492" s="1" t="s">
        <v>74</v>
      </c>
      <c r="Q492" s="1" t="s">
        <v>74</v>
      </c>
      <c r="R492" s="1" t="s">
        <v>74</v>
      </c>
      <c r="S492" s="1" t="s">
        <v>74</v>
      </c>
      <c r="T492" s="1" t="s">
        <v>74</v>
      </c>
      <c r="U492" s="1" t="s">
        <v>74</v>
      </c>
      <c r="V492" s="1" t="s">
        <v>4584</v>
      </c>
      <c r="W492" s="1" t="s">
        <v>74</v>
      </c>
      <c r="X492" s="1" t="s">
        <v>74</v>
      </c>
      <c r="Y492" s="1" t="s">
        <v>74</v>
      </c>
      <c r="Z492" s="1" t="s">
        <v>74</v>
      </c>
      <c r="AA492" s="1" t="s">
        <v>4585</v>
      </c>
      <c r="AB492" s="1" t="s">
        <v>4586</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283</v>
      </c>
      <c r="AP492" s="1" t="s">
        <v>74</v>
      </c>
      <c r="AQ492" s="1" t="s">
        <v>74</v>
      </c>
      <c r="AR492" s="1" t="s">
        <v>74</v>
      </c>
      <c r="AS492" s="1" t="s">
        <v>74</v>
      </c>
      <c r="AT492" s="1" t="s">
        <v>82</v>
      </c>
      <c r="AU492" s="1">
        <v>2017.0</v>
      </c>
      <c r="AV492" s="1">
        <v>62.0</v>
      </c>
      <c r="AW492" s="1">
        <v>2.0</v>
      </c>
      <c r="AX492" s="1" t="s">
        <v>74</v>
      </c>
      <c r="AY492" s="1" t="s">
        <v>74</v>
      </c>
      <c r="AZ492" s="1" t="s">
        <v>74</v>
      </c>
      <c r="BA492" s="1" t="s">
        <v>74</v>
      </c>
      <c r="BB492" s="1">
        <v>3525.0</v>
      </c>
      <c r="BC492" s="1">
        <v>3528.0</v>
      </c>
      <c r="BD492" s="1" t="s">
        <v>74</v>
      </c>
      <c r="BE492" s="1" t="s">
        <v>4587</v>
      </c>
      <c r="BF492" s="2" t="str">
        <f>HYPERLINK("http://dx.doi.org/10.4067/S0717-97072017000200020","http://dx.doi.org/10.4067/S0717-97072017000200020")</f>
        <v>http://dx.doi.org/10.4067/S0717-97072017000200020</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4588</v>
      </c>
      <c r="BT492" s="1" t="str">
        <f>HYPERLINK("https%3A%2F%2Fwww.webofscience.com%2Fwos%2Fwoscc%2Ffull-record%2FWOS:000408266600020","View Full Record in Web of Science")</f>
        <v>View Full Record in Web of Science</v>
      </c>
    </row>
    <row r="493" ht="12.75" customHeight="1">
      <c r="A493" s="1" t="s">
        <v>241</v>
      </c>
      <c r="B493" s="1" t="s">
        <v>4589</v>
      </c>
      <c r="C493" s="1" t="s">
        <v>74</v>
      </c>
      <c r="D493" s="1" t="s">
        <v>74</v>
      </c>
      <c r="E493" s="1" t="s">
        <v>74</v>
      </c>
      <c r="F493" s="1" t="s">
        <v>4590</v>
      </c>
      <c r="G493" s="1" t="s">
        <v>74</v>
      </c>
      <c r="H493" s="1" t="s">
        <v>74</v>
      </c>
      <c r="I493" s="1" t="s">
        <v>4591</v>
      </c>
      <c r="J493" s="1" t="s">
        <v>4592</v>
      </c>
      <c r="K493" s="1" t="s">
        <v>74</v>
      </c>
      <c r="L493" s="1" t="s">
        <v>74</v>
      </c>
      <c r="M493" s="1" t="s">
        <v>74</v>
      </c>
      <c r="N493" s="1" t="s">
        <v>74</v>
      </c>
      <c r="O493" s="1" t="s">
        <v>4593</v>
      </c>
      <c r="P493" s="1" t="s">
        <v>4594</v>
      </c>
      <c r="Q493" s="1" t="s">
        <v>4595</v>
      </c>
      <c r="R493" s="1" t="s">
        <v>74</v>
      </c>
      <c r="S493" s="1" t="s">
        <v>74</v>
      </c>
      <c r="T493" s="1" t="s">
        <v>74</v>
      </c>
      <c r="U493" s="1" t="s">
        <v>74</v>
      </c>
      <c r="V493" s="1" t="s">
        <v>4596</v>
      </c>
      <c r="W493" s="1" t="s">
        <v>74</v>
      </c>
      <c r="X493" s="1" t="s">
        <v>74</v>
      </c>
      <c r="Y493" s="1" t="s">
        <v>74</v>
      </c>
      <c r="Z493" s="1" t="s">
        <v>74</v>
      </c>
      <c r="AA493" s="1" t="s">
        <v>4597</v>
      </c>
      <c r="AB493" s="1" t="s">
        <v>4598</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4599</v>
      </c>
      <c r="AP493" s="1" t="s">
        <v>4600</v>
      </c>
      <c r="AQ493" s="1" t="s">
        <v>74</v>
      </c>
      <c r="AR493" s="1" t="s">
        <v>74</v>
      </c>
      <c r="AS493" s="1" t="s">
        <v>74</v>
      </c>
      <c r="AT493" s="1" t="s">
        <v>607</v>
      </c>
      <c r="AU493" s="1">
        <v>2017.0</v>
      </c>
      <c r="AV493" s="1">
        <v>23.0</v>
      </c>
      <c r="AW493" s="1">
        <v>2.0</v>
      </c>
      <c r="AX493" s="1" t="s">
        <v>74</v>
      </c>
      <c r="AY493" s="1" t="s">
        <v>74</v>
      </c>
      <c r="AZ493" s="1" t="s">
        <v>74</v>
      </c>
      <c r="BA493" s="1" t="s">
        <v>74</v>
      </c>
      <c r="BB493" s="1">
        <v>1162.0</v>
      </c>
      <c r="BC493" s="1">
        <v>1166.0</v>
      </c>
      <c r="BD493" s="1" t="s">
        <v>74</v>
      </c>
      <c r="BE493" s="1" t="s">
        <v>4601</v>
      </c>
      <c r="BF493" s="2" t="str">
        <f>HYPERLINK("http://dx.doi.org/10.1166/asl.2017.7529","http://dx.doi.org/10.1166/asl.2017.7529")</f>
        <v>http://dx.doi.org/10.1166/asl.2017.7529</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4602</v>
      </c>
      <c r="BT493" s="1" t="str">
        <f>HYPERLINK("https%3A%2F%2Fwww.webofscience.com%2Fwos%2Fwoscc%2Ffull-record%2FWOS:000430814700111","View Full Record in Web of Science")</f>
        <v>View Full Record in Web of Science</v>
      </c>
    </row>
    <row r="494" ht="12.75" customHeight="1">
      <c r="A494" s="1" t="s">
        <v>72</v>
      </c>
      <c r="B494" s="1" t="s">
        <v>4603</v>
      </c>
      <c r="C494" s="1" t="s">
        <v>74</v>
      </c>
      <c r="D494" s="1" t="s">
        <v>74</v>
      </c>
      <c r="E494" s="1" t="s">
        <v>74</v>
      </c>
      <c r="F494" s="1" t="s">
        <v>4604</v>
      </c>
      <c r="G494" s="1" t="s">
        <v>74</v>
      </c>
      <c r="H494" s="1" t="s">
        <v>74</v>
      </c>
      <c r="I494" s="1" t="s">
        <v>4605</v>
      </c>
      <c r="J494" s="1" t="s">
        <v>4606</v>
      </c>
      <c r="K494" s="1" t="s">
        <v>74</v>
      </c>
      <c r="L494" s="1" t="s">
        <v>74</v>
      </c>
      <c r="M494" s="1" t="s">
        <v>74</v>
      </c>
      <c r="N494" s="1" t="s">
        <v>74</v>
      </c>
      <c r="O494" s="1" t="s">
        <v>74</v>
      </c>
      <c r="P494" s="1" t="s">
        <v>74</v>
      </c>
      <c r="Q494" s="1" t="s">
        <v>74</v>
      </c>
      <c r="R494" s="1" t="s">
        <v>74</v>
      </c>
      <c r="S494" s="1" t="s">
        <v>74</v>
      </c>
      <c r="T494" s="1" t="s">
        <v>74</v>
      </c>
      <c r="U494" s="1" t="s">
        <v>74</v>
      </c>
      <c r="V494" s="1" t="s">
        <v>4607</v>
      </c>
      <c r="W494" s="1" t="s">
        <v>74</v>
      </c>
      <c r="X494" s="1" t="s">
        <v>74</v>
      </c>
      <c r="Y494" s="1" t="s">
        <v>74</v>
      </c>
      <c r="Z494" s="1" t="s">
        <v>74</v>
      </c>
      <c r="AA494" s="1" t="s">
        <v>4608</v>
      </c>
      <c r="AB494" s="1" t="s">
        <v>4609</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4610</v>
      </c>
      <c r="AP494" s="1" t="s">
        <v>4611</v>
      </c>
      <c r="AQ494" s="1" t="s">
        <v>74</v>
      </c>
      <c r="AR494" s="1" t="s">
        <v>74</v>
      </c>
      <c r="AS494" s="1" t="s">
        <v>74</v>
      </c>
      <c r="AT494" s="1" t="s">
        <v>4612</v>
      </c>
      <c r="AU494" s="1">
        <v>2017.0</v>
      </c>
      <c r="AV494" s="1">
        <v>24.0</v>
      </c>
      <c r="AW494" s="1" t="s">
        <v>1569</v>
      </c>
      <c r="AX494" s="1" t="s">
        <v>74</v>
      </c>
      <c r="AY494" s="1" t="s">
        <v>74</v>
      </c>
      <c r="AZ494" s="1" t="s">
        <v>2319</v>
      </c>
      <c r="BA494" s="1" t="s">
        <v>74</v>
      </c>
      <c r="BB494" s="1">
        <v>369.0</v>
      </c>
      <c r="BC494" s="1">
        <v>385.0</v>
      </c>
      <c r="BD494" s="1" t="s">
        <v>74</v>
      </c>
      <c r="BE494" s="1" t="s">
        <v>4613</v>
      </c>
      <c r="BF494" s="2" t="str">
        <f>HYPERLINK("http://dx.doi.org/10.1111/itor.12291","http://dx.doi.org/10.1111/itor.12291")</f>
        <v>http://dx.doi.org/10.1111/itor.12291</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4614</v>
      </c>
      <c r="BT494" s="1" t="str">
        <f>HYPERLINK("https%3A%2F%2Fwww.webofscience.com%2Fwos%2Fwoscc%2Ffull-record%2FWOS:000384672600021","View Full Record in Web of Science")</f>
        <v>View Full Record in Web of Science</v>
      </c>
    </row>
    <row r="495" ht="12.75" customHeight="1">
      <c r="A495" s="1" t="s">
        <v>241</v>
      </c>
      <c r="B495" s="1" t="s">
        <v>4615</v>
      </c>
      <c r="C495" s="1" t="s">
        <v>74</v>
      </c>
      <c r="D495" s="1" t="s">
        <v>4616</v>
      </c>
      <c r="E495" s="1" t="s">
        <v>74</v>
      </c>
      <c r="F495" s="1" t="s">
        <v>4617</v>
      </c>
      <c r="G495" s="1" t="s">
        <v>74</v>
      </c>
      <c r="H495" s="1" t="s">
        <v>74</v>
      </c>
      <c r="I495" s="1" t="s">
        <v>4618</v>
      </c>
      <c r="J495" s="1" t="s">
        <v>4619</v>
      </c>
      <c r="K495" s="1" t="s">
        <v>4620</v>
      </c>
      <c r="L495" s="1" t="s">
        <v>74</v>
      </c>
      <c r="M495" s="1" t="s">
        <v>74</v>
      </c>
      <c r="N495" s="1" t="s">
        <v>74</v>
      </c>
      <c r="O495" s="1" t="s">
        <v>4621</v>
      </c>
      <c r="P495" s="1" t="s">
        <v>4622</v>
      </c>
      <c r="Q495" s="1" t="s">
        <v>4623</v>
      </c>
      <c r="R495" s="1" t="s">
        <v>74</v>
      </c>
      <c r="S495" s="1" t="s">
        <v>74</v>
      </c>
      <c r="T495" s="1" t="s">
        <v>74</v>
      </c>
      <c r="U495" s="1" t="s">
        <v>74</v>
      </c>
      <c r="V495" s="1" t="s">
        <v>4624</v>
      </c>
      <c r="W495" s="1" t="s">
        <v>74</v>
      </c>
      <c r="X495" s="1" t="s">
        <v>74</v>
      </c>
      <c r="Y495" s="1" t="s">
        <v>74</v>
      </c>
      <c r="Z495" s="1" t="s">
        <v>74</v>
      </c>
      <c r="AA495" s="1" t="s">
        <v>4625</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4626</v>
      </c>
      <c r="AP495" s="1" t="s">
        <v>74</v>
      </c>
      <c r="AQ495" s="1" t="s">
        <v>4627</v>
      </c>
      <c r="AR495" s="1" t="s">
        <v>74</v>
      </c>
      <c r="AS495" s="1" t="s">
        <v>74</v>
      </c>
      <c r="AT495" s="1" t="s">
        <v>74</v>
      </c>
      <c r="AU495" s="1">
        <v>2017.0</v>
      </c>
      <c r="AV495" s="1" t="s">
        <v>74</v>
      </c>
      <c r="AW495" s="1" t="s">
        <v>74</v>
      </c>
      <c r="AX495" s="1" t="s">
        <v>74</v>
      </c>
      <c r="AY495" s="1" t="s">
        <v>74</v>
      </c>
      <c r="AZ495" s="1" t="s">
        <v>74</v>
      </c>
      <c r="BA495" s="1" t="s">
        <v>74</v>
      </c>
      <c r="BB495" s="1">
        <v>1993.0</v>
      </c>
      <c r="BC495" s="1">
        <v>1999.0</v>
      </c>
      <c r="BD495" s="1" t="s">
        <v>74</v>
      </c>
      <c r="BE495" s="1" t="s">
        <v>74</v>
      </c>
      <c r="BF495" s="1" t="s">
        <v>74</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4628</v>
      </c>
      <c r="BT495" s="1" t="str">
        <f>HYPERLINK("https%3A%2F%2Fwww.webofscience.com%2Fwos%2Fwoscc%2Ffull-record%2FWOS:000413668602013","View Full Record in Web of Science")</f>
        <v>View Full Record in Web of Science</v>
      </c>
    </row>
    <row r="496" ht="12.75" customHeight="1">
      <c r="A496" s="1" t="s">
        <v>72</v>
      </c>
      <c r="B496" s="1" t="s">
        <v>4629</v>
      </c>
      <c r="C496" s="1" t="s">
        <v>74</v>
      </c>
      <c r="D496" s="1" t="s">
        <v>74</v>
      </c>
      <c r="E496" s="1" t="s">
        <v>74</v>
      </c>
      <c r="F496" s="1" t="s">
        <v>4630</v>
      </c>
      <c r="G496" s="1" t="s">
        <v>74</v>
      </c>
      <c r="H496" s="1" t="s">
        <v>74</v>
      </c>
      <c r="I496" s="1" t="s">
        <v>4631</v>
      </c>
      <c r="J496" s="1" t="s">
        <v>4632</v>
      </c>
      <c r="K496" s="1" t="s">
        <v>74</v>
      </c>
      <c r="L496" s="1" t="s">
        <v>74</v>
      </c>
      <c r="M496" s="1" t="s">
        <v>74</v>
      </c>
      <c r="N496" s="1" t="s">
        <v>74</v>
      </c>
      <c r="O496" s="1" t="s">
        <v>74</v>
      </c>
      <c r="P496" s="1" t="s">
        <v>74</v>
      </c>
      <c r="Q496" s="1" t="s">
        <v>74</v>
      </c>
      <c r="R496" s="1" t="s">
        <v>74</v>
      </c>
      <c r="S496" s="1" t="s">
        <v>74</v>
      </c>
      <c r="T496" s="1" t="s">
        <v>74</v>
      </c>
      <c r="U496" s="1" t="s">
        <v>74</v>
      </c>
      <c r="V496" s="1" t="s">
        <v>74</v>
      </c>
      <c r="W496" s="1" t="s">
        <v>74</v>
      </c>
      <c r="X496" s="1" t="s">
        <v>74</v>
      </c>
      <c r="Y496" s="1" t="s">
        <v>74</v>
      </c>
      <c r="Z496" s="1" t="s">
        <v>74</v>
      </c>
      <c r="AA496" s="1" t="s">
        <v>74</v>
      </c>
      <c r="AB496" s="1" t="s">
        <v>74</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4633</v>
      </c>
      <c r="AP496" s="1" t="s">
        <v>4634</v>
      </c>
      <c r="AQ496" s="1" t="s">
        <v>74</v>
      </c>
      <c r="AR496" s="1" t="s">
        <v>74</v>
      </c>
      <c r="AS496" s="1" t="s">
        <v>74</v>
      </c>
      <c r="AT496" s="1" t="s">
        <v>82</v>
      </c>
      <c r="AU496" s="1">
        <v>2016.0</v>
      </c>
      <c r="AV496" s="1">
        <v>18.0</v>
      </c>
      <c r="AW496" s="1">
        <v>6.0</v>
      </c>
      <c r="AX496" s="1" t="s">
        <v>74</v>
      </c>
      <c r="AY496" s="1" t="s">
        <v>1857</v>
      </c>
      <c r="AZ496" s="1" t="s">
        <v>74</v>
      </c>
      <c r="BA496" s="1">
        <v>120.0</v>
      </c>
      <c r="BB496" s="1" t="s">
        <v>4635</v>
      </c>
      <c r="BC496" s="1" t="s">
        <v>4635</v>
      </c>
      <c r="BD496" s="1" t="s">
        <v>74</v>
      </c>
      <c r="BE496" s="1" t="s">
        <v>74</v>
      </c>
      <c r="BF496" s="1" t="s">
        <v>74</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4636</v>
      </c>
      <c r="BT496" s="1" t="str">
        <f>HYPERLINK("https%3A%2F%2Fwww.webofscience.com%2Fwos%2Fwoscc%2Ffull-record%2FWOS:000376222800113","View Full Record in Web of Science")</f>
        <v>View Full Record in Web of Science</v>
      </c>
    </row>
    <row r="497" ht="12.75" customHeight="1">
      <c r="A497" s="1" t="s">
        <v>72</v>
      </c>
      <c r="B497" s="1" t="s">
        <v>4637</v>
      </c>
      <c r="C497" s="1" t="s">
        <v>74</v>
      </c>
      <c r="D497" s="1" t="s">
        <v>74</v>
      </c>
      <c r="E497" s="1" t="s">
        <v>74</v>
      </c>
      <c r="F497" s="1" t="s">
        <v>4638</v>
      </c>
      <c r="G497" s="1" t="s">
        <v>74</v>
      </c>
      <c r="H497" s="1" t="s">
        <v>74</v>
      </c>
      <c r="I497" s="1" t="s">
        <v>4639</v>
      </c>
      <c r="J497" s="1" t="s">
        <v>4640</v>
      </c>
      <c r="K497" s="1" t="s">
        <v>74</v>
      </c>
      <c r="L497" s="1" t="s">
        <v>74</v>
      </c>
      <c r="M497" s="1" t="s">
        <v>74</v>
      </c>
      <c r="N497" s="1" t="s">
        <v>74</v>
      </c>
      <c r="O497" s="1" t="s">
        <v>4641</v>
      </c>
      <c r="P497" s="1" t="s">
        <v>4642</v>
      </c>
      <c r="Q497" s="1" t="s">
        <v>4643</v>
      </c>
      <c r="R497" s="1" t="s">
        <v>4644</v>
      </c>
      <c r="S497" s="1" t="s">
        <v>74</v>
      </c>
      <c r="T497" s="1" t="s">
        <v>74</v>
      </c>
      <c r="U497" s="1" t="s">
        <v>74</v>
      </c>
      <c r="V497" s="1" t="s">
        <v>74</v>
      </c>
      <c r="W497" s="1" t="s">
        <v>74</v>
      </c>
      <c r="X497" s="1" t="s">
        <v>74</v>
      </c>
      <c r="Y497" s="1" t="s">
        <v>74</v>
      </c>
      <c r="Z497" s="1" t="s">
        <v>74</v>
      </c>
      <c r="AA497" s="1" t="s">
        <v>74</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4645</v>
      </c>
      <c r="AP497" s="1" t="s">
        <v>4646</v>
      </c>
      <c r="AQ497" s="1" t="s">
        <v>74</v>
      </c>
      <c r="AR497" s="1" t="s">
        <v>74</v>
      </c>
      <c r="AS497" s="1" t="s">
        <v>74</v>
      </c>
      <c r="AT497" s="1" t="s">
        <v>74</v>
      </c>
      <c r="AU497" s="1">
        <v>2016.0</v>
      </c>
      <c r="AV497" s="1">
        <v>27.0</v>
      </c>
      <c r="AW497" s="1" t="s">
        <v>74</v>
      </c>
      <c r="AX497" s="1" t="s">
        <v>74</v>
      </c>
      <c r="AY497" s="1" t="s">
        <v>74</v>
      </c>
      <c r="AZ497" s="1" t="s">
        <v>74</v>
      </c>
      <c r="BA497" s="1" t="s">
        <v>4647</v>
      </c>
      <c r="BB497" s="1" t="s">
        <v>74</v>
      </c>
      <c r="BC497" s="1" t="s">
        <v>74</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4648</v>
      </c>
      <c r="BT497" s="1" t="str">
        <f>HYPERLINK("https%3A%2F%2Fwww.webofscience.com%2Fwos%2Fwoscc%2Ffull-record%2FWOS:000396047100311","View Full Record in Web of Science")</f>
        <v>View Full Record in Web of Science</v>
      </c>
    </row>
    <row r="498" ht="12.75" customHeight="1">
      <c r="A498" s="1" t="s">
        <v>241</v>
      </c>
      <c r="B498" s="1" t="s">
        <v>4649</v>
      </c>
      <c r="C498" s="1" t="s">
        <v>74</v>
      </c>
      <c r="D498" s="1" t="s">
        <v>4650</v>
      </c>
      <c r="E498" s="1" t="s">
        <v>74</v>
      </c>
      <c r="F498" s="1" t="s">
        <v>4651</v>
      </c>
      <c r="G498" s="1" t="s">
        <v>74</v>
      </c>
      <c r="H498" s="1" t="s">
        <v>74</v>
      </c>
      <c r="I498" s="1" t="s">
        <v>4652</v>
      </c>
      <c r="J498" s="1" t="s">
        <v>4653</v>
      </c>
      <c r="K498" s="1" t="s">
        <v>74</v>
      </c>
      <c r="L498" s="1" t="s">
        <v>74</v>
      </c>
      <c r="M498" s="1" t="s">
        <v>74</v>
      </c>
      <c r="N498" s="1" t="s">
        <v>74</v>
      </c>
      <c r="O498" s="1" t="s">
        <v>4654</v>
      </c>
      <c r="P498" s="1" t="s">
        <v>4655</v>
      </c>
      <c r="Q498" s="1" t="s">
        <v>1744</v>
      </c>
      <c r="R498" s="1" t="s">
        <v>4656</v>
      </c>
      <c r="S498" s="1" t="s">
        <v>74</v>
      </c>
      <c r="T498" s="1" t="s">
        <v>74</v>
      </c>
      <c r="U498" s="1" t="s">
        <v>74</v>
      </c>
      <c r="V498" s="1" t="s">
        <v>4657</v>
      </c>
      <c r="W498" s="1" t="s">
        <v>74</v>
      </c>
      <c r="X498" s="1" t="s">
        <v>74</v>
      </c>
      <c r="Y498" s="1" t="s">
        <v>74</v>
      </c>
      <c r="Z498" s="1" t="s">
        <v>74</v>
      </c>
      <c r="AA498" s="1" t="s">
        <v>4658</v>
      </c>
      <c r="AB498" s="1" t="s">
        <v>4659</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74</v>
      </c>
      <c r="AP498" s="1" t="s">
        <v>74</v>
      </c>
      <c r="AQ498" s="1" t="s">
        <v>4660</v>
      </c>
      <c r="AR498" s="1" t="s">
        <v>74</v>
      </c>
      <c r="AS498" s="1" t="s">
        <v>74</v>
      </c>
      <c r="AT498" s="1" t="s">
        <v>74</v>
      </c>
      <c r="AU498" s="1">
        <v>2016.0</v>
      </c>
      <c r="AV498" s="1" t="s">
        <v>74</v>
      </c>
      <c r="AW498" s="1" t="s">
        <v>74</v>
      </c>
      <c r="AX498" s="1" t="s">
        <v>74</v>
      </c>
      <c r="AY498" s="1" t="s">
        <v>74</v>
      </c>
      <c r="AZ498" s="1" t="s">
        <v>74</v>
      </c>
      <c r="BA498" s="1" t="s">
        <v>74</v>
      </c>
      <c r="BB498" s="1" t="s">
        <v>74</v>
      </c>
      <c r="BC498" s="1" t="s">
        <v>74</v>
      </c>
      <c r="BD498" s="1" t="s">
        <v>74</v>
      </c>
      <c r="BE498" s="1" t="s">
        <v>74</v>
      </c>
      <c r="BF498" s="1" t="s">
        <v>74</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4661</v>
      </c>
      <c r="BT498" s="1" t="str">
        <f>HYPERLINK("https%3A%2F%2Fwww.webofscience.com%2Fwos%2Fwoscc%2Ffull-record%2FWOS:000391860000039","View Full Record in Web of Science")</f>
        <v>View Full Record in Web of Science</v>
      </c>
    </row>
    <row r="499" ht="12.75" customHeight="1">
      <c r="A499" s="1" t="s">
        <v>241</v>
      </c>
      <c r="B499" s="1" t="s">
        <v>4662</v>
      </c>
      <c r="C499" s="1" t="s">
        <v>74</v>
      </c>
      <c r="D499" s="1" t="s">
        <v>4663</v>
      </c>
      <c r="E499" s="1" t="s">
        <v>74</v>
      </c>
      <c r="F499" s="1" t="s">
        <v>4664</v>
      </c>
      <c r="G499" s="1" t="s">
        <v>74</v>
      </c>
      <c r="H499" s="1" t="s">
        <v>74</v>
      </c>
      <c r="I499" s="1" t="s">
        <v>4665</v>
      </c>
      <c r="J499" s="1" t="s">
        <v>4666</v>
      </c>
      <c r="K499" s="1" t="s">
        <v>74</v>
      </c>
      <c r="L499" s="1" t="s">
        <v>74</v>
      </c>
      <c r="M499" s="1" t="s">
        <v>74</v>
      </c>
      <c r="N499" s="1" t="s">
        <v>74</v>
      </c>
      <c r="O499" s="1" t="s">
        <v>4667</v>
      </c>
      <c r="P499" s="1" t="s">
        <v>4668</v>
      </c>
      <c r="Q499" s="1" t="s">
        <v>4669</v>
      </c>
      <c r="R499" s="1" t="s">
        <v>4670</v>
      </c>
      <c r="S499" s="1" t="s">
        <v>74</v>
      </c>
      <c r="T499" s="1" t="s">
        <v>74</v>
      </c>
      <c r="U499" s="1" t="s">
        <v>74</v>
      </c>
      <c r="V499" s="1" t="s">
        <v>4671</v>
      </c>
      <c r="W499" s="1" t="s">
        <v>74</v>
      </c>
      <c r="X499" s="1" t="s">
        <v>74</v>
      </c>
      <c r="Y499" s="1" t="s">
        <v>74</v>
      </c>
      <c r="Z499" s="1" t="s">
        <v>74</v>
      </c>
      <c r="AA499" s="1" t="s">
        <v>4672</v>
      </c>
      <c r="AB499" s="1" t="s">
        <v>4673</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74</v>
      </c>
      <c r="AP499" s="1" t="s">
        <v>74</v>
      </c>
      <c r="AQ499" s="1" t="s">
        <v>4674</v>
      </c>
      <c r="AR499" s="1" t="s">
        <v>74</v>
      </c>
      <c r="AS499" s="1" t="s">
        <v>74</v>
      </c>
      <c r="AT499" s="1" t="s">
        <v>74</v>
      </c>
      <c r="AU499" s="1">
        <v>2016.0</v>
      </c>
      <c r="AV499" s="1" t="s">
        <v>74</v>
      </c>
      <c r="AW499" s="1" t="s">
        <v>74</v>
      </c>
      <c r="AX499" s="1" t="s">
        <v>74</v>
      </c>
      <c r="AY499" s="1" t="s">
        <v>74</v>
      </c>
      <c r="AZ499" s="1" t="s">
        <v>74</v>
      </c>
      <c r="BA499" s="1" t="s">
        <v>74</v>
      </c>
      <c r="BB499" s="1">
        <v>173.0</v>
      </c>
      <c r="BC499" s="1">
        <v>179.0</v>
      </c>
      <c r="BD499" s="1" t="s">
        <v>74</v>
      </c>
      <c r="BE499" s="1" t="s">
        <v>74</v>
      </c>
      <c r="BF499" s="1" t="s">
        <v>74</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4675</v>
      </c>
      <c r="BT499" s="1" t="str">
        <f>HYPERLINK("https%3A%2F%2Fwww.webofscience.com%2Fwos%2Fwoscc%2Ffull-record%2FWOS:000391251000027","View Full Record in Web of Science")</f>
        <v>View Full Record in Web of Science</v>
      </c>
    </row>
    <row r="500" ht="12.75" customHeight="1">
      <c r="A500" s="1" t="s">
        <v>72</v>
      </c>
      <c r="B500" s="1" t="s">
        <v>4676</v>
      </c>
      <c r="C500" s="1" t="s">
        <v>74</v>
      </c>
      <c r="D500" s="1" t="s">
        <v>74</v>
      </c>
      <c r="E500" s="1" t="s">
        <v>74</v>
      </c>
      <c r="F500" s="1" t="s">
        <v>4677</v>
      </c>
      <c r="G500" s="1" t="s">
        <v>74</v>
      </c>
      <c r="H500" s="1" t="s">
        <v>74</v>
      </c>
      <c r="I500" s="1" t="s">
        <v>4678</v>
      </c>
      <c r="J500" s="1" t="s">
        <v>4679</v>
      </c>
      <c r="K500" s="1" t="s">
        <v>74</v>
      </c>
      <c r="L500" s="1" t="s">
        <v>74</v>
      </c>
      <c r="M500" s="1" t="s">
        <v>74</v>
      </c>
      <c r="N500" s="1" t="s">
        <v>74</v>
      </c>
      <c r="O500" s="1" t="s">
        <v>74</v>
      </c>
      <c r="P500" s="1" t="s">
        <v>74</v>
      </c>
      <c r="Q500" s="1" t="s">
        <v>74</v>
      </c>
      <c r="R500" s="1" t="s">
        <v>74</v>
      </c>
      <c r="S500" s="1" t="s">
        <v>74</v>
      </c>
      <c r="T500" s="1" t="s">
        <v>74</v>
      </c>
      <c r="U500" s="1" t="s">
        <v>74</v>
      </c>
      <c r="V500" s="1" t="s">
        <v>4680</v>
      </c>
      <c r="W500" s="1" t="s">
        <v>74</v>
      </c>
      <c r="X500" s="1" t="s">
        <v>74</v>
      </c>
      <c r="Y500" s="1" t="s">
        <v>74</v>
      </c>
      <c r="Z500" s="1" t="s">
        <v>74</v>
      </c>
      <c r="AA500" s="1" t="s">
        <v>4681</v>
      </c>
      <c r="AB500" s="1" t="s">
        <v>4682</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4683</v>
      </c>
      <c r="AP500" s="1" t="s">
        <v>74</v>
      </c>
      <c r="AQ500" s="1" t="s">
        <v>74</v>
      </c>
      <c r="AR500" s="1" t="s">
        <v>74</v>
      </c>
      <c r="AS500" s="1" t="s">
        <v>74</v>
      </c>
      <c r="AT500" s="1" t="s">
        <v>2124</v>
      </c>
      <c r="AU500" s="1">
        <v>2014.0</v>
      </c>
      <c r="AV500" s="1">
        <v>8.0</v>
      </c>
      <c r="AW500" s="1" t="s">
        <v>74</v>
      </c>
      <c r="AX500" s="1" t="s">
        <v>74</v>
      </c>
      <c r="AY500" s="1" t="s">
        <v>74</v>
      </c>
      <c r="AZ500" s="1" t="s">
        <v>74</v>
      </c>
      <c r="BA500" s="1" t="s">
        <v>74</v>
      </c>
      <c r="BB500" s="1" t="s">
        <v>74</v>
      </c>
      <c r="BC500" s="1" t="s">
        <v>74</v>
      </c>
      <c r="BD500" s="1">
        <v>403.0</v>
      </c>
      <c r="BE500" s="1" t="s">
        <v>4684</v>
      </c>
      <c r="BF500" s="2" t="str">
        <f>HYPERLINK("http://dx.doi.org/10.3389/fncel.2014.00403","http://dx.doi.org/10.3389/fncel.2014.00403")</f>
        <v>http://dx.doi.org/10.3389/fncel.2014.00403</v>
      </c>
      <c r="BG500" s="1" t="s">
        <v>74</v>
      </c>
      <c r="BH500" s="1" t="s">
        <v>74</v>
      </c>
      <c r="BI500" s="1" t="s">
        <v>74</v>
      </c>
      <c r="BJ500" s="1" t="s">
        <v>74</v>
      </c>
      <c r="BK500" s="1" t="s">
        <v>74</v>
      </c>
      <c r="BL500" s="1" t="s">
        <v>74</v>
      </c>
      <c r="BM500" s="1" t="s">
        <v>74</v>
      </c>
      <c r="BN500" s="1">
        <v>2.5520621E7</v>
      </c>
      <c r="BO500" s="1" t="s">
        <v>74</v>
      </c>
      <c r="BP500" s="1" t="s">
        <v>74</v>
      </c>
      <c r="BQ500" s="1" t="s">
        <v>74</v>
      </c>
      <c r="BR500" s="1" t="s">
        <v>74</v>
      </c>
      <c r="BS500" s="1" t="s">
        <v>4685</v>
      </c>
      <c r="BT500" s="1" t="str">
        <f>HYPERLINK("https%3A%2F%2Fwww.webofscience.com%2Fwos%2Fwoscc%2Ffull-record%2FWOS:000346779800002","View Full Record in Web of Science")</f>
        <v>View Full Record in Web of Science</v>
      </c>
    </row>
    <row r="501" ht="12.75" customHeight="1">
      <c r="A501" s="1" t="s">
        <v>72</v>
      </c>
      <c r="B501" s="1" t="s">
        <v>4686</v>
      </c>
      <c r="C501" s="1" t="s">
        <v>74</v>
      </c>
      <c r="D501" s="1" t="s">
        <v>74</v>
      </c>
      <c r="E501" s="1" t="s">
        <v>74</v>
      </c>
      <c r="F501" s="1" t="s">
        <v>4687</v>
      </c>
      <c r="G501" s="1" t="s">
        <v>74</v>
      </c>
      <c r="H501" s="1" t="s">
        <v>74</v>
      </c>
      <c r="I501" s="1" t="s">
        <v>4688</v>
      </c>
      <c r="J501" s="1" t="s">
        <v>4689</v>
      </c>
      <c r="K501" s="1" t="s">
        <v>74</v>
      </c>
      <c r="L501" s="1" t="s">
        <v>74</v>
      </c>
      <c r="M501" s="1" t="s">
        <v>74</v>
      </c>
      <c r="N501" s="1" t="s">
        <v>74</v>
      </c>
      <c r="O501" s="1" t="s">
        <v>74</v>
      </c>
      <c r="P501" s="1" t="s">
        <v>74</v>
      </c>
      <c r="Q501" s="1" t="s">
        <v>74</v>
      </c>
      <c r="R501" s="1" t="s">
        <v>74</v>
      </c>
      <c r="S501" s="1" t="s">
        <v>74</v>
      </c>
      <c r="T501" s="1" t="s">
        <v>74</v>
      </c>
      <c r="U501" s="1" t="s">
        <v>74</v>
      </c>
      <c r="V501" s="1" t="s">
        <v>4690</v>
      </c>
      <c r="W501" s="1" t="s">
        <v>74</v>
      </c>
      <c r="X501" s="1" t="s">
        <v>74</v>
      </c>
      <c r="Y501" s="1" t="s">
        <v>74</v>
      </c>
      <c r="Z501" s="1" t="s">
        <v>74</v>
      </c>
      <c r="AA501" s="1" t="s">
        <v>4691</v>
      </c>
      <c r="AB501" s="1" t="s">
        <v>4692</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4693</v>
      </c>
      <c r="AP501" s="1" t="s">
        <v>4694</v>
      </c>
      <c r="AQ501" s="1" t="s">
        <v>74</v>
      </c>
      <c r="AR501" s="1" t="s">
        <v>74</v>
      </c>
      <c r="AS501" s="1" t="s">
        <v>74</v>
      </c>
      <c r="AT501" s="1" t="s">
        <v>353</v>
      </c>
      <c r="AU501" s="1">
        <v>2014.0</v>
      </c>
      <c r="AV501" s="1">
        <v>17.0</v>
      </c>
      <c r="AW501" s="1">
        <v>5.0</v>
      </c>
      <c r="AX501" s="1" t="s">
        <v>74</v>
      </c>
      <c r="AY501" s="1" t="s">
        <v>74</v>
      </c>
      <c r="AZ501" s="1" t="s">
        <v>2319</v>
      </c>
      <c r="BA501" s="1" t="s">
        <v>74</v>
      </c>
      <c r="BB501" s="1">
        <v>445.0</v>
      </c>
      <c r="BC501" s="1">
        <v>469.0</v>
      </c>
      <c r="BD501" s="1" t="s">
        <v>74</v>
      </c>
      <c r="BE501" s="1" t="s">
        <v>4695</v>
      </c>
      <c r="BF501" s="2" t="str">
        <f>HYPERLINK("http://dx.doi.org/10.1007/s10951-013-0333-1","http://dx.doi.org/10.1007/s10951-013-0333-1")</f>
        <v>http://dx.doi.org/10.1007/s10951-013-0333-1</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4696</v>
      </c>
      <c r="BT501" s="1" t="str">
        <f>HYPERLINK("https%3A%2F%2Fwww.webofscience.com%2Fwos%2Fwoscc%2Ffull-record%2FWOS:000342422400004","View Full Record in Web of Science")</f>
        <v>View Full Record in Web of Science</v>
      </c>
    </row>
    <row r="502" ht="12.75" customHeight="1">
      <c r="A502" s="1" t="s">
        <v>72</v>
      </c>
      <c r="B502" s="1" t="s">
        <v>4697</v>
      </c>
      <c r="C502" s="1" t="s">
        <v>74</v>
      </c>
      <c r="D502" s="1" t="s">
        <v>74</v>
      </c>
      <c r="E502" s="1" t="s">
        <v>74</v>
      </c>
      <c r="F502" s="1" t="s">
        <v>4698</v>
      </c>
      <c r="G502" s="1" t="s">
        <v>74</v>
      </c>
      <c r="H502" s="1" t="s">
        <v>74</v>
      </c>
      <c r="I502" s="1" t="s">
        <v>4699</v>
      </c>
      <c r="J502" s="1" t="s">
        <v>4700</v>
      </c>
      <c r="K502" s="1" t="s">
        <v>74</v>
      </c>
      <c r="L502" s="1" t="s">
        <v>74</v>
      </c>
      <c r="M502" s="1" t="s">
        <v>74</v>
      </c>
      <c r="N502" s="1" t="s">
        <v>74</v>
      </c>
      <c r="O502" s="1" t="s">
        <v>74</v>
      </c>
      <c r="P502" s="1" t="s">
        <v>74</v>
      </c>
      <c r="Q502" s="1" t="s">
        <v>74</v>
      </c>
      <c r="R502" s="1" t="s">
        <v>74</v>
      </c>
      <c r="S502" s="1" t="s">
        <v>74</v>
      </c>
      <c r="T502" s="1" t="s">
        <v>74</v>
      </c>
      <c r="U502" s="1" t="s">
        <v>74</v>
      </c>
      <c r="V502" s="1" t="s">
        <v>4701</v>
      </c>
      <c r="W502" s="1" t="s">
        <v>74</v>
      </c>
      <c r="X502" s="1" t="s">
        <v>74</v>
      </c>
      <c r="Y502" s="1" t="s">
        <v>74</v>
      </c>
      <c r="Z502" s="1" t="s">
        <v>74</v>
      </c>
      <c r="AA502" s="1" t="s">
        <v>4702</v>
      </c>
      <c r="AB502" s="1" t="s">
        <v>4703</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4704</v>
      </c>
      <c r="AP502" s="1" t="s">
        <v>4705</v>
      </c>
      <c r="AQ502" s="1" t="s">
        <v>74</v>
      </c>
      <c r="AR502" s="1" t="s">
        <v>74</v>
      </c>
      <c r="AS502" s="1" t="s">
        <v>74</v>
      </c>
      <c r="AT502" s="1" t="s">
        <v>74</v>
      </c>
      <c r="AU502" s="1">
        <v>2014.0</v>
      </c>
      <c r="AV502" s="1">
        <v>64.0</v>
      </c>
      <c r="AW502" s="1">
        <v>7.0</v>
      </c>
      <c r="AX502" s="1" t="s">
        <v>74</v>
      </c>
      <c r="AY502" s="1" t="s">
        <v>74</v>
      </c>
      <c r="AZ502" s="1" t="s">
        <v>74</v>
      </c>
      <c r="BA502" s="1" t="s">
        <v>74</v>
      </c>
      <c r="BB502" s="1">
        <v>785.0</v>
      </c>
      <c r="BC502" s="1">
        <v>796.0</v>
      </c>
      <c r="BD502" s="1" t="s">
        <v>74</v>
      </c>
      <c r="BE502" s="1" t="s">
        <v>4706</v>
      </c>
      <c r="BF502" s="2" t="str">
        <f>HYPERLINK("http://dx.doi.org/10.1080/10962247.2014.890141","http://dx.doi.org/10.1080/10962247.2014.890141")</f>
        <v>http://dx.doi.org/10.1080/10962247.2014.890141</v>
      </c>
      <c r="BG502" s="1" t="s">
        <v>74</v>
      </c>
      <c r="BH502" s="1" t="s">
        <v>74</v>
      </c>
      <c r="BI502" s="1" t="s">
        <v>74</v>
      </c>
      <c r="BJ502" s="1" t="s">
        <v>74</v>
      </c>
      <c r="BK502" s="1" t="s">
        <v>74</v>
      </c>
      <c r="BL502" s="1" t="s">
        <v>74</v>
      </c>
      <c r="BM502" s="1" t="s">
        <v>74</v>
      </c>
      <c r="BN502" s="1">
        <v>2.5122952E7</v>
      </c>
      <c r="BO502" s="1" t="s">
        <v>74</v>
      </c>
      <c r="BP502" s="1" t="s">
        <v>74</v>
      </c>
      <c r="BQ502" s="1" t="s">
        <v>74</v>
      </c>
      <c r="BR502" s="1" t="s">
        <v>74</v>
      </c>
      <c r="BS502" s="1" t="s">
        <v>4707</v>
      </c>
      <c r="BT502" s="1" t="str">
        <f>HYPERLINK("https%3A%2F%2Fwww.webofscience.com%2Fwos%2Fwoscc%2Ffull-record%2FWOS:000338105000004","View Full Record in Web of Science")</f>
        <v>View Full Record in Web of Science</v>
      </c>
    </row>
    <row r="503" ht="12.75" customHeight="1">
      <c r="A503" s="1" t="s">
        <v>72</v>
      </c>
      <c r="B503" s="1" t="s">
        <v>4708</v>
      </c>
      <c r="C503" s="1" t="s">
        <v>74</v>
      </c>
      <c r="D503" s="1" t="s">
        <v>74</v>
      </c>
      <c r="E503" s="1" t="s">
        <v>74</v>
      </c>
      <c r="F503" s="1" t="s">
        <v>4709</v>
      </c>
      <c r="G503" s="1" t="s">
        <v>74</v>
      </c>
      <c r="H503" s="1" t="s">
        <v>74</v>
      </c>
      <c r="I503" s="1" t="s">
        <v>4710</v>
      </c>
      <c r="J503" s="1" t="s">
        <v>280</v>
      </c>
      <c r="K503" s="1" t="s">
        <v>74</v>
      </c>
      <c r="L503" s="1" t="s">
        <v>74</v>
      </c>
      <c r="M503" s="1" t="s">
        <v>74</v>
      </c>
      <c r="N503" s="1" t="s">
        <v>74</v>
      </c>
      <c r="O503" s="1" t="s">
        <v>74</v>
      </c>
      <c r="P503" s="1" t="s">
        <v>74</v>
      </c>
      <c r="Q503" s="1" t="s">
        <v>74</v>
      </c>
      <c r="R503" s="1" t="s">
        <v>74</v>
      </c>
      <c r="S503" s="1" t="s">
        <v>74</v>
      </c>
      <c r="T503" s="1" t="s">
        <v>74</v>
      </c>
      <c r="U503" s="1" t="s">
        <v>74</v>
      </c>
      <c r="V503" s="1" t="s">
        <v>4711</v>
      </c>
      <c r="W503" s="1" t="s">
        <v>74</v>
      </c>
      <c r="X503" s="1" t="s">
        <v>74</v>
      </c>
      <c r="Y503" s="1" t="s">
        <v>74</v>
      </c>
      <c r="Z503" s="1" t="s">
        <v>74</v>
      </c>
      <c r="AA503" s="1" t="s">
        <v>4712</v>
      </c>
      <c r="AB503" s="1" t="s">
        <v>4713</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283</v>
      </c>
      <c r="AP503" s="1" t="s">
        <v>74</v>
      </c>
      <c r="AQ503" s="1" t="s">
        <v>74</v>
      </c>
      <c r="AR503" s="1" t="s">
        <v>74</v>
      </c>
      <c r="AS503" s="1" t="s">
        <v>74</v>
      </c>
      <c r="AT503" s="1" t="s">
        <v>160</v>
      </c>
      <c r="AU503" s="1">
        <v>2013.0</v>
      </c>
      <c r="AV503" s="1">
        <v>58.0</v>
      </c>
      <c r="AW503" s="1">
        <v>4.0</v>
      </c>
      <c r="AX503" s="1" t="s">
        <v>74</v>
      </c>
      <c r="AY503" s="1" t="s">
        <v>74</v>
      </c>
      <c r="AZ503" s="1" t="s">
        <v>74</v>
      </c>
      <c r="BA503" s="1" t="s">
        <v>74</v>
      </c>
      <c r="BB503" s="1">
        <v>2144.0</v>
      </c>
      <c r="BC503" s="1">
        <v>2147.0</v>
      </c>
      <c r="BD503" s="1" t="s">
        <v>74</v>
      </c>
      <c r="BE503" s="1" t="s">
        <v>4714</v>
      </c>
      <c r="BF503" s="2" t="str">
        <f>HYPERLINK("http://dx.doi.org/10.4067/S0717-97072013000400054","http://dx.doi.org/10.4067/S0717-97072013000400054")</f>
        <v>http://dx.doi.org/10.4067/S0717-97072013000400054</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4715</v>
      </c>
      <c r="BT503" s="1" t="str">
        <f>HYPERLINK("https%3A%2F%2Fwww.webofscience.com%2Fwos%2Fwoscc%2Ffull-record%2FWOS:000331238800050","View Full Record in Web of Science")</f>
        <v>View Full Record in Web of Science</v>
      </c>
    </row>
    <row r="504" ht="12.75" customHeight="1">
      <c r="A504" s="1" t="s">
        <v>72</v>
      </c>
      <c r="B504" s="1" t="s">
        <v>4716</v>
      </c>
      <c r="C504" s="1" t="s">
        <v>74</v>
      </c>
      <c r="D504" s="1" t="s">
        <v>74</v>
      </c>
      <c r="E504" s="1" t="s">
        <v>74</v>
      </c>
      <c r="F504" s="1" t="s">
        <v>4717</v>
      </c>
      <c r="G504" s="1" t="s">
        <v>74</v>
      </c>
      <c r="H504" s="1" t="s">
        <v>74</v>
      </c>
      <c r="I504" s="1" t="s">
        <v>4718</v>
      </c>
      <c r="J504" s="1" t="s">
        <v>4719</v>
      </c>
      <c r="K504" s="1" t="s">
        <v>74</v>
      </c>
      <c r="L504" s="1" t="s">
        <v>74</v>
      </c>
      <c r="M504" s="1" t="s">
        <v>74</v>
      </c>
      <c r="N504" s="1" t="s">
        <v>74</v>
      </c>
      <c r="O504" s="1" t="s">
        <v>74</v>
      </c>
      <c r="P504" s="1" t="s">
        <v>74</v>
      </c>
      <c r="Q504" s="1" t="s">
        <v>74</v>
      </c>
      <c r="R504" s="1" t="s">
        <v>74</v>
      </c>
      <c r="S504" s="1" t="s">
        <v>74</v>
      </c>
      <c r="T504" s="1" t="s">
        <v>74</v>
      </c>
      <c r="U504" s="1" t="s">
        <v>74</v>
      </c>
      <c r="V504" s="1" t="s">
        <v>4720</v>
      </c>
      <c r="W504" s="1" t="s">
        <v>74</v>
      </c>
      <c r="X504" s="1" t="s">
        <v>74</v>
      </c>
      <c r="Y504" s="1" t="s">
        <v>74</v>
      </c>
      <c r="Z504" s="1" t="s">
        <v>74</v>
      </c>
      <c r="AA504" s="1" t="s">
        <v>4721</v>
      </c>
      <c r="AB504" s="1" t="s">
        <v>4722</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4723</v>
      </c>
      <c r="AP504" s="1" t="s">
        <v>4724</v>
      </c>
      <c r="AQ504" s="1" t="s">
        <v>74</v>
      </c>
      <c r="AR504" s="1" t="s">
        <v>74</v>
      </c>
      <c r="AS504" s="1" t="s">
        <v>74</v>
      </c>
      <c r="AT504" s="1" t="s">
        <v>501</v>
      </c>
      <c r="AU504" s="1">
        <v>2013.0</v>
      </c>
      <c r="AV504" s="1">
        <v>39.0</v>
      </c>
      <c r="AW504" s="1">
        <v>8.0</v>
      </c>
      <c r="AX504" s="1" t="s">
        <v>74</v>
      </c>
      <c r="AY504" s="1" t="s">
        <v>74</v>
      </c>
      <c r="AZ504" s="1" t="s">
        <v>74</v>
      </c>
      <c r="BA504" s="1" t="s">
        <v>74</v>
      </c>
      <c r="BB504" s="1">
        <v>2656.0</v>
      </c>
      <c r="BC504" s="1">
        <v>2668.0</v>
      </c>
      <c r="BD504" s="1" t="s">
        <v>74</v>
      </c>
      <c r="BE504" s="1" t="s">
        <v>4725</v>
      </c>
      <c r="BF504" s="2" t="str">
        <f>HYPERLINK("http://dx.doi.org/10.1016/j.compeleceng.2013.05.012","http://dx.doi.org/10.1016/j.compeleceng.2013.05.012")</f>
        <v>http://dx.doi.org/10.1016/j.compeleceng.2013.05.012</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4726</v>
      </c>
      <c r="BT504" s="1" t="str">
        <f>HYPERLINK("https%3A%2F%2Fwww.webofscience.com%2Fwos%2Fwoscc%2Ffull-record%2FWOS:000328871900018","View Full Record in Web of Science")</f>
        <v>View Full Record in Web of Science</v>
      </c>
    </row>
    <row r="505" ht="12.75" customHeight="1">
      <c r="A505" s="1" t="s">
        <v>72</v>
      </c>
      <c r="B505" s="1" t="s">
        <v>4727</v>
      </c>
      <c r="C505" s="1" t="s">
        <v>74</v>
      </c>
      <c r="D505" s="1" t="s">
        <v>74</v>
      </c>
      <c r="E505" s="1" t="s">
        <v>74</v>
      </c>
      <c r="F505" s="1" t="s">
        <v>4728</v>
      </c>
      <c r="G505" s="1" t="s">
        <v>74</v>
      </c>
      <c r="H505" s="1" t="s">
        <v>74</v>
      </c>
      <c r="I505" s="1" t="s">
        <v>4729</v>
      </c>
      <c r="J505" s="1" t="s">
        <v>1297</v>
      </c>
      <c r="K505" s="1" t="s">
        <v>74</v>
      </c>
      <c r="L505" s="1" t="s">
        <v>74</v>
      </c>
      <c r="M505" s="1" t="s">
        <v>74</v>
      </c>
      <c r="N505" s="1" t="s">
        <v>74</v>
      </c>
      <c r="O505" s="1" t="s">
        <v>74</v>
      </c>
      <c r="P505" s="1" t="s">
        <v>74</v>
      </c>
      <c r="Q505" s="1" t="s">
        <v>74</v>
      </c>
      <c r="R505" s="1" t="s">
        <v>74</v>
      </c>
      <c r="S505" s="1" t="s">
        <v>74</v>
      </c>
      <c r="T505" s="1" t="s">
        <v>74</v>
      </c>
      <c r="U505" s="1" t="s">
        <v>74</v>
      </c>
      <c r="V505" s="1" t="s">
        <v>4730</v>
      </c>
      <c r="W505" s="1" t="s">
        <v>74</v>
      </c>
      <c r="X505" s="1" t="s">
        <v>74</v>
      </c>
      <c r="Y505" s="1" t="s">
        <v>74</v>
      </c>
      <c r="Z505" s="1" t="s">
        <v>74</v>
      </c>
      <c r="AA505" s="1" t="s">
        <v>4731</v>
      </c>
      <c r="AB505" s="1" t="s">
        <v>4732</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1299</v>
      </c>
      <c r="AP505" s="1" t="s">
        <v>4733</v>
      </c>
      <c r="AQ505" s="1" t="s">
        <v>74</v>
      </c>
      <c r="AR505" s="1" t="s">
        <v>74</v>
      </c>
      <c r="AS505" s="1" t="s">
        <v>74</v>
      </c>
      <c r="AT505" s="1" t="s">
        <v>501</v>
      </c>
      <c r="AU505" s="1">
        <v>2011.0</v>
      </c>
      <c r="AV505" s="1">
        <v>22.0</v>
      </c>
      <c r="AW505" s="1">
        <v>11.0</v>
      </c>
      <c r="AX505" s="1" t="s">
        <v>74</v>
      </c>
      <c r="AY505" s="1" t="s">
        <v>74</v>
      </c>
      <c r="AZ505" s="1" t="s">
        <v>74</v>
      </c>
      <c r="BA505" s="1" t="s">
        <v>74</v>
      </c>
      <c r="BB505" s="1">
        <v>2078.0</v>
      </c>
      <c r="BC505" s="1">
        <v>2086.0</v>
      </c>
      <c r="BD505" s="1" t="s">
        <v>74</v>
      </c>
      <c r="BE505" s="1" t="s">
        <v>4734</v>
      </c>
      <c r="BF505" s="2" t="str">
        <f>HYPERLINK("http://dx.doi.org/10.1590/S0103-50532011001100009","http://dx.doi.org/10.1590/S0103-50532011001100009")</f>
        <v>http://dx.doi.org/10.1590/S0103-50532011001100009</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4735</v>
      </c>
      <c r="BT505" s="1" t="str">
        <f>HYPERLINK("https%3A%2F%2Fwww.webofscience.com%2Fwos%2Fwoscc%2Ffull-record%2FWOS:000297826000010","View Full Record in Web of Science")</f>
        <v>View Full Record in Web of Science</v>
      </c>
    </row>
    <row r="506" ht="12.75" customHeight="1">
      <c r="A506" s="1" t="s">
        <v>72</v>
      </c>
      <c r="B506" s="1" t="s">
        <v>4736</v>
      </c>
      <c r="C506" s="1" t="s">
        <v>74</v>
      </c>
      <c r="D506" s="1" t="s">
        <v>74</v>
      </c>
      <c r="E506" s="1" t="s">
        <v>74</v>
      </c>
      <c r="F506" s="1" t="s">
        <v>4737</v>
      </c>
      <c r="G506" s="1" t="s">
        <v>74</v>
      </c>
      <c r="H506" s="1" t="s">
        <v>74</v>
      </c>
      <c r="I506" s="1" t="s">
        <v>4738</v>
      </c>
      <c r="J506" s="1" t="s">
        <v>4739</v>
      </c>
      <c r="K506" s="1" t="s">
        <v>74</v>
      </c>
      <c r="L506" s="1" t="s">
        <v>74</v>
      </c>
      <c r="M506" s="1" t="s">
        <v>74</v>
      </c>
      <c r="N506" s="1" t="s">
        <v>74</v>
      </c>
      <c r="O506" s="1" t="s">
        <v>74</v>
      </c>
      <c r="P506" s="1" t="s">
        <v>74</v>
      </c>
      <c r="Q506" s="1" t="s">
        <v>74</v>
      </c>
      <c r="R506" s="1" t="s">
        <v>74</v>
      </c>
      <c r="S506" s="1" t="s">
        <v>74</v>
      </c>
      <c r="T506" s="1" t="s">
        <v>74</v>
      </c>
      <c r="U506" s="1" t="s">
        <v>74</v>
      </c>
      <c r="V506" s="1" t="s">
        <v>4740</v>
      </c>
      <c r="W506" s="1" t="s">
        <v>74</v>
      </c>
      <c r="X506" s="1" t="s">
        <v>74</v>
      </c>
      <c r="Y506" s="1" t="s">
        <v>74</v>
      </c>
      <c r="Z506" s="1" t="s">
        <v>74</v>
      </c>
      <c r="AA506" s="1" t="s">
        <v>74</v>
      </c>
      <c r="AB506" s="1" t="s">
        <v>4741</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4742</v>
      </c>
      <c r="AP506" s="1" t="s">
        <v>4743</v>
      </c>
      <c r="AQ506" s="1" t="s">
        <v>74</v>
      </c>
      <c r="AR506" s="1" t="s">
        <v>74</v>
      </c>
      <c r="AS506" s="1" t="s">
        <v>74</v>
      </c>
      <c r="AT506" s="1" t="s">
        <v>501</v>
      </c>
      <c r="AU506" s="1">
        <v>2011.0</v>
      </c>
      <c r="AV506" s="1">
        <v>67.0</v>
      </c>
      <c r="AW506" s="1">
        <v>8.0</v>
      </c>
      <c r="AX506" s="1" t="s">
        <v>74</v>
      </c>
      <c r="AY506" s="1" t="s">
        <v>74</v>
      </c>
      <c r="AZ506" s="1" t="s">
        <v>74</v>
      </c>
      <c r="BA506" s="1" t="s">
        <v>74</v>
      </c>
      <c r="BB506" s="1">
        <v>1425.0</v>
      </c>
      <c r="BC506" s="1">
        <v>1434.0</v>
      </c>
      <c r="BD506" s="1" t="s">
        <v>74</v>
      </c>
      <c r="BE506" s="1" t="s">
        <v>4744</v>
      </c>
      <c r="BF506" s="2" t="str">
        <f>HYPERLINK("http://dx.doi.org/10.1007/s00289-011-0457-4","http://dx.doi.org/10.1007/s00289-011-0457-4")</f>
        <v>http://dx.doi.org/10.1007/s00289-011-0457-4</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4745</v>
      </c>
      <c r="BT506" s="1" t="str">
        <f>HYPERLINK("https%3A%2F%2Fwww.webofscience.com%2Fwos%2Fwoscc%2Ffull-record%2FWOS:000296005700002","View Full Record in Web of Science")</f>
        <v>View Full Record in Web of Science</v>
      </c>
    </row>
    <row r="507" ht="12.75" customHeight="1">
      <c r="A507" s="1" t="s">
        <v>72</v>
      </c>
      <c r="B507" s="1" t="s">
        <v>4746</v>
      </c>
      <c r="C507" s="1" t="s">
        <v>74</v>
      </c>
      <c r="D507" s="1" t="s">
        <v>74</v>
      </c>
      <c r="E507" s="1" t="s">
        <v>74</v>
      </c>
      <c r="F507" s="1" t="s">
        <v>4747</v>
      </c>
      <c r="G507" s="1" t="s">
        <v>74</v>
      </c>
      <c r="H507" s="1" t="s">
        <v>74</v>
      </c>
      <c r="I507" s="1" t="s">
        <v>4748</v>
      </c>
      <c r="J507" s="1" t="s">
        <v>4749</v>
      </c>
      <c r="K507" s="1" t="s">
        <v>74</v>
      </c>
      <c r="L507" s="1" t="s">
        <v>74</v>
      </c>
      <c r="M507" s="1" t="s">
        <v>74</v>
      </c>
      <c r="N507" s="1" t="s">
        <v>74</v>
      </c>
      <c r="O507" s="1" t="s">
        <v>74</v>
      </c>
      <c r="P507" s="1" t="s">
        <v>74</v>
      </c>
      <c r="Q507" s="1" t="s">
        <v>74</v>
      </c>
      <c r="R507" s="1" t="s">
        <v>74</v>
      </c>
      <c r="S507" s="1" t="s">
        <v>74</v>
      </c>
      <c r="T507" s="1" t="s">
        <v>74</v>
      </c>
      <c r="U507" s="1" t="s">
        <v>74</v>
      </c>
      <c r="V507" s="1" t="s">
        <v>4750</v>
      </c>
      <c r="W507" s="1" t="s">
        <v>74</v>
      </c>
      <c r="X507" s="1" t="s">
        <v>74</v>
      </c>
      <c r="Y507" s="1" t="s">
        <v>74</v>
      </c>
      <c r="Z507" s="1" t="s">
        <v>74</v>
      </c>
      <c r="AA507" s="1" t="s">
        <v>74</v>
      </c>
      <c r="AB507" s="1" t="s">
        <v>74</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4751</v>
      </c>
      <c r="AP507" s="1" t="s">
        <v>74</v>
      </c>
      <c r="AQ507" s="1" t="s">
        <v>74</v>
      </c>
      <c r="AR507" s="1" t="s">
        <v>74</v>
      </c>
      <c r="AS507" s="1" t="s">
        <v>74</v>
      </c>
      <c r="AT507" s="1" t="s">
        <v>183</v>
      </c>
      <c r="AU507" s="1">
        <v>2011.0</v>
      </c>
      <c r="AV507" s="1">
        <v>52.0</v>
      </c>
      <c r="AW507" s="1">
        <v>2.0</v>
      </c>
      <c r="AX507" s="1" t="s">
        <v>74</v>
      </c>
      <c r="AY507" s="1" t="s">
        <v>74</v>
      </c>
      <c r="AZ507" s="1" t="s">
        <v>74</v>
      </c>
      <c r="BA507" s="1" t="s">
        <v>74</v>
      </c>
      <c r="BB507" s="1">
        <v>287.0</v>
      </c>
      <c r="BC507" s="1">
        <v>307.0</v>
      </c>
      <c r="BD507" s="1" t="s">
        <v>74</v>
      </c>
      <c r="BE507" s="1" t="s">
        <v>4752</v>
      </c>
      <c r="BF507" s="2" t="str">
        <f>HYPERLINK("http://dx.doi.org/10.1007/s00362-009-0229-5","http://dx.doi.org/10.1007/s00362-009-0229-5")</f>
        <v>http://dx.doi.org/10.1007/s00362-009-0229-5</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4753</v>
      </c>
      <c r="BT507" s="1" t="str">
        <f>HYPERLINK("https%3A%2F%2Fwww.webofscience.com%2Fwos%2Fwoscc%2Ffull-record%2FWOS:000289792000002","View Full Record in Web of Science")</f>
        <v>View Full Record in Web of Science</v>
      </c>
    </row>
    <row r="508" ht="12.75" customHeight="1">
      <c r="A508" s="1" t="s">
        <v>72</v>
      </c>
      <c r="B508" s="1" t="s">
        <v>4754</v>
      </c>
      <c r="C508" s="1" t="s">
        <v>74</v>
      </c>
      <c r="D508" s="1" t="s">
        <v>74</v>
      </c>
      <c r="E508" s="1" t="s">
        <v>74</v>
      </c>
      <c r="F508" s="1" t="s">
        <v>4755</v>
      </c>
      <c r="G508" s="1" t="s">
        <v>74</v>
      </c>
      <c r="H508" s="1" t="s">
        <v>74</v>
      </c>
      <c r="I508" s="1" t="s">
        <v>4756</v>
      </c>
      <c r="J508" s="1" t="s">
        <v>4757</v>
      </c>
      <c r="K508" s="1" t="s">
        <v>74</v>
      </c>
      <c r="L508" s="1" t="s">
        <v>74</v>
      </c>
      <c r="M508" s="1" t="s">
        <v>74</v>
      </c>
      <c r="N508" s="1" t="s">
        <v>74</v>
      </c>
      <c r="O508" s="1" t="s">
        <v>74</v>
      </c>
      <c r="P508" s="1" t="s">
        <v>74</v>
      </c>
      <c r="Q508" s="1" t="s">
        <v>74</v>
      </c>
      <c r="R508" s="1" t="s">
        <v>74</v>
      </c>
      <c r="S508" s="1" t="s">
        <v>74</v>
      </c>
      <c r="T508" s="1" t="s">
        <v>74</v>
      </c>
      <c r="U508" s="1" t="s">
        <v>74</v>
      </c>
      <c r="V508" s="1" t="s">
        <v>4758</v>
      </c>
      <c r="W508" s="1" t="s">
        <v>74</v>
      </c>
      <c r="X508" s="1" t="s">
        <v>74</v>
      </c>
      <c r="Y508" s="1" t="s">
        <v>74</v>
      </c>
      <c r="Z508" s="1" t="s">
        <v>74</v>
      </c>
      <c r="AA508" s="1" t="s">
        <v>74</v>
      </c>
      <c r="AB508" s="1" t="s">
        <v>74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4759</v>
      </c>
      <c r="AP508" s="1" t="s">
        <v>74</v>
      </c>
      <c r="AQ508" s="1" t="s">
        <v>74</v>
      </c>
      <c r="AR508" s="1" t="s">
        <v>74</v>
      </c>
      <c r="AS508" s="1" t="s">
        <v>74</v>
      </c>
      <c r="AT508" s="1" t="s">
        <v>174</v>
      </c>
      <c r="AU508" s="1">
        <v>2011.0</v>
      </c>
      <c r="AV508" s="1">
        <v>54.0</v>
      </c>
      <c r="AW508" s="1" t="s">
        <v>4760</v>
      </c>
      <c r="AX508" s="1" t="s">
        <v>74</v>
      </c>
      <c r="AY508" s="1" t="s">
        <v>74</v>
      </c>
      <c r="AZ508" s="1" t="s">
        <v>74</v>
      </c>
      <c r="BA508" s="1" t="s">
        <v>74</v>
      </c>
      <c r="BB508" s="1">
        <v>2188.0</v>
      </c>
      <c r="BC508" s="1">
        <v>2202.0</v>
      </c>
      <c r="BD508" s="1" t="s">
        <v>74</v>
      </c>
      <c r="BE508" s="1" t="s">
        <v>4761</v>
      </c>
      <c r="BF508" s="2" t="str">
        <f>HYPERLINK("http://dx.doi.org/10.1016/j.ijheatmasstransfer.2010.11.041","http://dx.doi.org/10.1016/j.ijheatmasstransfer.2010.11.041")</f>
        <v>http://dx.doi.org/10.1016/j.ijheatmasstransfer.2010.11.041</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4762</v>
      </c>
      <c r="BT508" s="1" t="str">
        <f>HYPERLINK("https%3A%2F%2Fwww.webofscience.com%2Fwos%2Fwoscc%2Ffull-record%2FWOS:000289011700051","View Full Record in Web of Science")</f>
        <v>View Full Record in Web of Science</v>
      </c>
    </row>
    <row r="509" ht="12.75" customHeight="1">
      <c r="A509" s="1" t="s">
        <v>241</v>
      </c>
      <c r="B509" s="1" t="s">
        <v>4763</v>
      </c>
      <c r="C509" s="1" t="s">
        <v>74</v>
      </c>
      <c r="D509" s="1" t="s">
        <v>4764</v>
      </c>
      <c r="E509" s="1" t="s">
        <v>74</v>
      </c>
      <c r="F509" s="1" t="s">
        <v>4765</v>
      </c>
      <c r="G509" s="1" t="s">
        <v>74</v>
      </c>
      <c r="H509" s="1" t="s">
        <v>74</v>
      </c>
      <c r="I509" s="1" t="s">
        <v>4766</v>
      </c>
      <c r="J509" s="1" t="s">
        <v>4767</v>
      </c>
      <c r="K509" s="1" t="s">
        <v>3999</v>
      </c>
      <c r="L509" s="1" t="s">
        <v>74</v>
      </c>
      <c r="M509" s="1" t="s">
        <v>74</v>
      </c>
      <c r="N509" s="1" t="s">
        <v>74</v>
      </c>
      <c r="O509" s="1" t="s">
        <v>4768</v>
      </c>
      <c r="P509" s="1" t="s">
        <v>4769</v>
      </c>
      <c r="Q509" s="1" t="s">
        <v>4770</v>
      </c>
      <c r="R509" s="1" t="s">
        <v>74</v>
      </c>
      <c r="S509" s="1" t="s">
        <v>4771</v>
      </c>
      <c r="T509" s="1" t="s">
        <v>74</v>
      </c>
      <c r="U509" s="1" t="s">
        <v>74</v>
      </c>
      <c r="V509" s="1" t="s">
        <v>4772</v>
      </c>
      <c r="W509" s="1" t="s">
        <v>74</v>
      </c>
      <c r="X509" s="1" t="s">
        <v>74</v>
      </c>
      <c r="Y509" s="1" t="s">
        <v>74</v>
      </c>
      <c r="Z509" s="1" t="s">
        <v>74</v>
      </c>
      <c r="AA509" s="1" t="s">
        <v>4691</v>
      </c>
      <c r="AB509" s="1" t="s">
        <v>4773</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4007</v>
      </c>
      <c r="AP509" s="1" t="s">
        <v>74</v>
      </c>
      <c r="AQ509" s="1" t="s">
        <v>4774</v>
      </c>
      <c r="AR509" s="1" t="s">
        <v>74</v>
      </c>
      <c r="AS509" s="1" t="s">
        <v>74</v>
      </c>
      <c r="AT509" s="1" t="s">
        <v>74</v>
      </c>
      <c r="AU509" s="1">
        <v>2011.0</v>
      </c>
      <c r="AV509" s="1">
        <v>6701.0</v>
      </c>
      <c r="AW509" s="1" t="s">
        <v>74</v>
      </c>
      <c r="AX509" s="1" t="s">
        <v>74</v>
      </c>
      <c r="AY509" s="1" t="s">
        <v>74</v>
      </c>
      <c r="AZ509" s="1" t="s">
        <v>74</v>
      </c>
      <c r="BA509" s="1" t="s">
        <v>74</v>
      </c>
      <c r="BB509" s="1">
        <v>620.0</v>
      </c>
      <c r="BC509" s="1">
        <v>625.0</v>
      </c>
      <c r="BD509" s="1" t="s">
        <v>74</v>
      </c>
      <c r="BE509" s="1" t="s">
        <v>74</v>
      </c>
      <c r="BF509" s="1" t="s">
        <v>74</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4775</v>
      </c>
      <c r="BT509" s="1" t="str">
        <f>HYPERLINK("https%3A%2F%2Fwww.webofscience.com%2Fwos%2Fwoscc%2Ffull-record%2FWOS:000306643300068","View Full Record in Web of Science")</f>
        <v>View Full Record in Web of Science</v>
      </c>
    </row>
    <row r="510" ht="12.75" customHeight="1">
      <c r="A510" s="1" t="s">
        <v>72</v>
      </c>
      <c r="B510" s="1" t="s">
        <v>4776</v>
      </c>
      <c r="C510" s="1" t="s">
        <v>74</v>
      </c>
      <c r="D510" s="1" t="s">
        <v>74</v>
      </c>
      <c r="E510" s="1" t="s">
        <v>74</v>
      </c>
      <c r="F510" s="1" t="s">
        <v>4777</v>
      </c>
      <c r="G510" s="1" t="s">
        <v>74</v>
      </c>
      <c r="H510" s="1" t="s">
        <v>74</v>
      </c>
      <c r="I510" s="1" t="s">
        <v>4778</v>
      </c>
      <c r="J510" s="1" t="s">
        <v>4779</v>
      </c>
      <c r="K510" s="1" t="s">
        <v>74</v>
      </c>
      <c r="L510" s="1" t="s">
        <v>74</v>
      </c>
      <c r="M510" s="1" t="s">
        <v>74</v>
      </c>
      <c r="N510" s="1" t="s">
        <v>74</v>
      </c>
      <c r="O510" s="1" t="s">
        <v>74</v>
      </c>
      <c r="P510" s="1" t="s">
        <v>74</v>
      </c>
      <c r="Q510" s="1" t="s">
        <v>74</v>
      </c>
      <c r="R510" s="1" t="s">
        <v>74</v>
      </c>
      <c r="S510" s="1" t="s">
        <v>74</v>
      </c>
      <c r="T510" s="1" t="s">
        <v>74</v>
      </c>
      <c r="U510" s="1" t="s">
        <v>74</v>
      </c>
      <c r="V510" s="1" t="s">
        <v>4780</v>
      </c>
      <c r="W510" s="1" t="s">
        <v>74</v>
      </c>
      <c r="X510" s="1" t="s">
        <v>74</v>
      </c>
      <c r="Y510" s="1" t="s">
        <v>74</v>
      </c>
      <c r="Z510" s="1" t="s">
        <v>74</v>
      </c>
      <c r="AA510" s="1" t="s">
        <v>4781</v>
      </c>
      <c r="AB510" s="1" t="s">
        <v>4782</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4783</v>
      </c>
      <c r="AP510" s="1" t="s">
        <v>4784</v>
      </c>
      <c r="AQ510" s="1" t="s">
        <v>74</v>
      </c>
      <c r="AR510" s="1" t="s">
        <v>74</v>
      </c>
      <c r="AS510" s="1" t="s">
        <v>74</v>
      </c>
      <c r="AT510" s="1" t="s">
        <v>74</v>
      </c>
      <c r="AU510" s="1">
        <v>2010.0</v>
      </c>
      <c r="AV510" s="1">
        <v>31.0</v>
      </c>
      <c r="AW510" s="1">
        <v>1.0</v>
      </c>
      <c r="AX510" s="1" t="s">
        <v>74</v>
      </c>
      <c r="AY510" s="1" t="s">
        <v>74</v>
      </c>
      <c r="AZ510" s="1" t="s">
        <v>74</v>
      </c>
      <c r="BA510" s="1" t="s">
        <v>74</v>
      </c>
      <c r="BB510" s="1">
        <v>129.0</v>
      </c>
      <c r="BC510" s="1">
        <v>148.0</v>
      </c>
      <c r="BD510" s="1" t="s">
        <v>74</v>
      </c>
      <c r="BE510" s="1" t="s">
        <v>74</v>
      </c>
      <c r="BF510" s="1" t="s">
        <v>74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4785</v>
      </c>
      <c r="BT510" s="1" t="str">
        <f>HYPERLINK("https%3A%2F%2Fwww.webofscience.com%2Fwos%2Fwoscc%2Ffull-record%2FWOS:000275204400007","View Full Record in Web of Science")</f>
        <v>View Full Record in Web of Science</v>
      </c>
    </row>
    <row r="511" ht="12.75" customHeight="1">
      <c r="A511" s="1" t="s">
        <v>72</v>
      </c>
      <c r="B511" s="1" t="s">
        <v>4786</v>
      </c>
      <c r="C511" s="1" t="s">
        <v>74</v>
      </c>
      <c r="D511" s="1" t="s">
        <v>74</v>
      </c>
      <c r="E511" s="1" t="s">
        <v>74</v>
      </c>
      <c r="F511" s="1" t="s">
        <v>4787</v>
      </c>
      <c r="G511" s="1" t="s">
        <v>74</v>
      </c>
      <c r="H511" s="1" t="s">
        <v>74</v>
      </c>
      <c r="I511" s="1" t="s">
        <v>4788</v>
      </c>
      <c r="J511" s="1" t="s">
        <v>4789</v>
      </c>
      <c r="K511" s="1" t="s">
        <v>74</v>
      </c>
      <c r="L511" s="1" t="s">
        <v>74</v>
      </c>
      <c r="M511" s="1" t="s">
        <v>74</v>
      </c>
      <c r="N511" s="1" t="s">
        <v>74</v>
      </c>
      <c r="O511" s="1" t="s">
        <v>74</v>
      </c>
      <c r="P511" s="1" t="s">
        <v>74</v>
      </c>
      <c r="Q511" s="1" t="s">
        <v>74</v>
      </c>
      <c r="R511" s="1" t="s">
        <v>74</v>
      </c>
      <c r="S511" s="1" t="s">
        <v>74</v>
      </c>
      <c r="T511" s="1" t="s">
        <v>74</v>
      </c>
      <c r="U511" s="1" t="s">
        <v>74</v>
      </c>
      <c r="V511" s="1" t="s">
        <v>4790</v>
      </c>
      <c r="W511" s="1" t="s">
        <v>74</v>
      </c>
      <c r="X511" s="1" t="s">
        <v>74</v>
      </c>
      <c r="Y511" s="1" t="s">
        <v>74</v>
      </c>
      <c r="Z511" s="1" t="s">
        <v>74</v>
      </c>
      <c r="AA511" s="1" t="s">
        <v>74</v>
      </c>
      <c r="AB511" s="1" t="s">
        <v>4791</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4792</v>
      </c>
      <c r="AP511" s="1" t="s">
        <v>74</v>
      </c>
      <c r="AQ511" s="1" t="s">
        <v>74</v>
      </c>
      <c r="AR511" s="1" t="s">
        <v>74</v>
      </c>
      <c r="AS511" s="1" t="s">
        <v>74</v>
      </c>
      <c r="AT511" s="1" t="s">
        <v>74</v>
      </c>
      <c r="AU511" s="1">
        <v>2009.0</v>
      </c>
      <c r="AV511" s="1">
        <v>9.0</v>
      </c>
      <c r="AW511" s="1">
        <v>4.0</v>
      </c>
      <c r="AX511" s="1" t="s">
        <v>74</v>
      </c>
      <c r="AY511" s="1" t="s">
        <v>74</v>
      </c>
      <c r="AZ511" s="1" t="s">
        <v>74</v>
      </c>
      <c r="BA511" s="1" t="s">
        <v>74</v>
      </c>
      <c r="BB511" s="1">
        <v>2079.0</v>
      </c>
      <c r="BC511" s="1">
        <v>2100.0</v>
      </c>
      <c r="BD511" s="1" t="s">
        <v>74</v>
      </c>
      <c r="BE511" s="1" t="s">
        <v>4793</v>
      </c>
      <c r="BF511" s="2" t="str">
        <f>HYPERLINK("http://dx.doi.org/10.2140/agt.2009.9.2079","http://dx.doi.org/10.2140/agt.2009.9.2079")</f>
        <v>http://dx.doi.org/10.2140/agt.2009.9.2079</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4794</v>
      </c>
      <c r="BT511" s="1" t="str">
        <f>HYPERLINK("https%3A%2F%2Fwww.webofscience.com%2Fwos%2Fwoscc%2Ffull-record%2FWOS:000276241600008","View Full Record in Web of Science")</f>
        <v>View Full Record in Web of Science</v>
      </c>
    </row>
    <row r="512" ht="12.75" customHeight="1">
      <c r="A512" s="1" t="s">
        <v>72</v>
      </c>
      <c r="B512" s="1" t="s">
        <v>4795</v>
      </c>
      <c r="C512" s="1" t="s">
        <v>74</v>
      </c>
      <c r="D512" s="1" t="s">
        <v>74</v>
      </c>
      <c r="E512" s="1" t="s">
        <v>74</v>
      </c>
      <c r="F512" s="1" t="s">
        <v>4796</v>
      </c>
      <c r="G512" s="1" t="s">
        <v>74</v>
      </c>
      <c r="H512" s="1" t="s">
        <v>74</v>
      </c>
      <c r="I512" s="1" t="s">
        <v>4797</v>
      </c>
      <c r="J512" s="1" t="s">
        <v>4798</v>
      </c>
      <c r="K512" s="1" t="s">
        <v>74</v>
      </c>
      <c r="L512" s="1" t="s">
        <v>74</v>
      </c>
      <c r="M512" s="1" t="s">
        <v>74</v>
      </c>
      <c r="N512" s="1" t="s">
        <v>74</v>
      </c>
      <c r="O512" s="1" t="s">
        <v>74</v>
      </c>
      <c r="P512" s="1" t="s">
        <v>74</v>
      </c>
      <c r="Q512" s="1" t="s">
        <v>74</v>
      </c>
      <c r="R512" s="1" t="s">
        <v>74</v>
      </c>
      <c r="S512" s="1" t="s">
        <v>74</v>
      </c>
      <c r="T512" s="1" t="s">
        <v>74</v>
      </c>
      <c r="U512" s="1" t="s">
        <v>74</v>
      </c>
      <c r="V512" s="1" t="s">
        <v>4799</v>
      </c>
      <c r="W512" s="1" t="s">
        <v>74</v>
      </c>
      <c r="X512" s="1" t="s">
        <v>74</v>
      </c>
      <c r="Y512" s="1" t="s">
        <v>74</v>
      </c>
      <c r="Z512" s="1" t="s">
        <v>74</v>
      </c>
      <c r="AA512" s="1" t="s">
        <v>4781</v>
      </c>
      <c r="AB512" s="1" t="s">
        <v>4800</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4801</v>
      </c>
      <c r="AP512" s="1" t="s">
        <v>4802</v>
      </c>
      <c r="AQ512" s="1" t="s">
        <v>74</v>
      </c>
      <c r="AR512" s="1" t="s">
        <v>74</v>
      </c>
      <c r="AS512" s="1" t="s">
        <v>74</v>
      </c>
      <c r="AT512" s="1" t="s">
        <v>501</v>
      </c>
      <c r="AU512" s="1">
        <v>2007.0</v>
      </c>
      <c r="AV512" s="1">
        <v>19.0</v>
      </c>
      <c r="AW512" s="1">
        <v>4.0</v>
      </c>
      <c r="AX512" s="1" t="s">
        <v>74</v>
      </c>
      <c r="AY512" s="1" t="s">
        <v>74</v>
      </c>
      <c r="AZ512" s="1" t="s">
        <v>74</v>
      </c>
      <c r="BA512" s="1" t="s">
        <v>74</v>
      </c>
      <c r="BB512" s="1">
        <v>673.0</v>
      </c>
      <c r="BC512" s="1">
        <v>678.0</v>
      </c>
      <c r="BD512" s="1" t="s">
        <v>74</v>
      </c>
      <c r="BE512" s="1" t="s">
        <v>74</v>
      </c>
      <c r="BF512" s="1" t="s">
        <v>74</v>
      </c>
      <c r="BG512" s="1" t="s">
        <v>74</v>
      </c>
      <c r="BH512" s="1" t="s">
        <v>74</v>
      </c>
      <c r="BI512" s="1" t="s">
        <v>74</v>
      </c>
      <c r="BJ512" s="1" t="s">
        <v>74</v>
      </c>
      <c r="BK512" s="1" t="s">
        <v>74</v>
      </c>
      <c r="BL512" s="1" t="s">
        <v>74</v>
      </c>
      <c r="BM512" s="1" t="s">
        <v>74</v>
      </c>
      <c r="BN512" s="1">
        <v>1.7959125E7</v>
      </c>
      <c r="BO512" s="1" t="s">
        <v>74</v>
      </c>
      <c r="BP512" s="1" t="s">
        <v>74</v>
      </c>
      <c r="BQ512" s="1" t="s">
        <v>74</v>
      </c>
      <c r="BR512" s="1" t="s">
        <v>74</v>
      </c>
      <c r="BS512" s="1" t="s">
        <v>4803</v>
      </c>
      <c r="BT512" s="1" t="str">
        <f>HYPERLINK("https%3A%2F%2Fwww.webofscience.com%2Fwos%2Fwoscc%2Ffull-record%2FWOS:000250216800021","View Full Record in Web of Science")</f>
        <v>View Full Record in Web of Science</v>
      </c>
    </row>
    <row r="513" ht="12.75" customHeight="1">
      <c r="A513" s="1" t="s">
        <v>72</v>
      </c>
      <c r="B513" s="1" t="s">
        <v>4804</v>
      </c>
      <c r="C513" s="1" t="s">
        <v>74</v>
      </c>
      <c r="D513" s="1" t="s">
        <v>74</v>
      </c>
      <c r="E513" s="1" t="s">
        <v>74</v>
      </c>
      <c r="F513" s="1" t="s">
        <v>4805</v>
      </c>
      <c r="G513" s="1" t="s">
        <v>74</v>
      </c>
      <c r="H513" s="1" t="s">
        <v>74</v>
      </c>
      <c r="I513" s="1" t="s">
        <v>4806</v>
      </c>
      <c r="J513" s="1" t="s">
        <v>3596</v>
      </c>
      <c r="K513" s="1" t="s">
        <v>74</v>
      </c>
      <c r="L513" s="1" t="s">
        <v>74</v>
      </c>
      <c r="M513" s="1" t="s">
        <v>74</v>
      </c>
      <c r="N513" s="1" t="s">
        <v>74</v>
      </c>
      <c r="O513" s="1" t="s">
        <v>74</v>
      </c>
      <c r="P513" s="1" t="s">
        <v>74</v>
      </c>
      <c r="Q513" s="1" t="s">
        <v>74</v>
      </c>
      <c r="R513" s="1" t="s">
        <v>74</v>
      </c>
      <c r="S513" s="1" t="s">
        <v>74</v>
      </c>
      <c r="T513" s="1" t="s">
        <v>74</v>
      </c>
      <c r="U513" s="1" t="s">
        <v>74</v>
      </c>
      <c r="V513" s="1" t="s">
        <v>4807</v>
      </c>
      <c r="W513" s="1" t="s">
        <v>74</v>
      </c>
      <c r="X513" s="1" t="s">
        <v>74</v>
      </c>
      <c r="Y513" s="1" t="s">
        <v>74</v>
      </c>
      <c r="Z513" s="1" t="s">
        <v>74</v>
      </c>
      <c r="AA513" s="1" t="s">
        <v>4808</v>
      </c>
      <c r="AB513" s="1" t="s">
        <v>4809</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3600</v>
      </c>
      <c r="AP513" s="1" t="s">
        <v>74</v>
      </c>
      <c r="AQ513" s="1" t="s">
        <v>74</v>
      </c>
      <c r="AR513" s="1" t="s">
        <v>74</v>
      </c>
      <c r="AS513" s="1" t="s">
        <v>74</v>
      </c>
      <c r="AT513" s="1" t="s">
        <v>4810</v>
      </c>
      <c r="AU513" s="1">
        <v>2007.0</v>
      </c>
      <c r="AV513" s="1">
        <v>18.0</v>
      </c>
      <c r="AW513" s="1">
        <v>22.0</v>
      </c>
      <c r="AX513" s="1" t="s">
        <v>74</v>
      </c>
      <c r="AY513" s="1" t="s">
        <v>74</v>
      </c>
      <c r="AZ513" s="1" t="s">
        <v>74</v>
      </c>
      <c r="BA513" s="1" t="s">
        <v>74</v>
      </c>
      <c r="BB513" s="1" t="s">
        <v>74</v>
      </c>
      <c r="BC513" s="1" t="s">
        <v>74</v>
      </c>
      <c r="BD513" s="1">
        <v>225704.0</v>
      </c>
      <c r="BE513" s="1" t="s">
        <v>4811</v>
      </c>
      <c r="BF513" s="2" t="str">
        <f>HYPERLINK("http://dx.doi.org/10.1088/0957-4484/18/22/225704","http://dx.doi.org/10.1088/0957-4484/18/22/225704")</f>
        <v>http://dx.doi.org/10.1088/0957-4484/18/22/225704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4812</v>
      </c>
      <c r="BT513" s="1" t="str">
        <f>HYPERLINK("https%3A%2F%2Fwww.webofscience.com%2Fwos%2Fwoscc%2Ffull-record%2FWOS:000246590400018","View Full Record in Web of Science")</f>
        <v>View Full Record in Web of Science</v>
      </c>
    </row>
    <row r="514" ht="12.75" customHeight="1">
      <c r="A514" s="1" t="s">
        <v>72</v>
      </c>
      <c r="B514" s="1" t="s">
        <v>4813</v>
      </c>
      <c r="C514" s="1" t="s">
        <v>74</v>
      </c>
      <c r="D514" s="1" t="s">
        <v>74</v>
      </c>
      <c r="E514" s="1" t="s">
        <v>74</v>
      </c>
      <c r="F514" s="1" t="s">
        <v>4814</v>
      </c>
      <c r="G514" s="1" t="s">
        <v>74</v>
      </c>
      <c r="H514" s="1" t="s">
        <v>74</v>
      </c>
      <c r="I514" s="1" t="s">
        <v>4815</v>
      </c>
      <c r="J514" s="1" t="s">
        <v>179</v>
      </c>
      <c r="K514" s="1" t="s">
        <v>74</v>
      </c>
      <c r="L514" s="1" t="s">
        <v>74</v>
      </c>
      <c r="M514" s="1" t="s">
        <v>74</v>
      </c>
      <c r="N514" s="1" t="s">
        <v>74</v>
      </c>
      <c r="O514" s="1" t="s">
        <v>74</v>
      </c>
      <c r="P514" s="1" t="s">
        <v>74</v>
      </c>
      <c r="Q514" s="1" t="s">
        <v>74</v>
      </c>
      <c r="R514" s="1" t="s">
        <v>74</v>
      </c>
      <c r="S514" s="1" t="s">
        <v>74</v>
      </c>
      <c r="T514" s="1" t="s">
        <v>74</v>
      </c>
      <c r="U514" s="1" t="s">
        <v>74</v>
      </c>
      <c r="V514" s="1" t="s">
        <v>4816</v>
      </c>
      <c r="W514" s="1" t="s">
        <v>74</v>
      </c>
      <c r="X514" s="1" t="s">
        <v>74</v>
      </c>
      <c r="Y514" s="1" t="s">
        <v>74</v>
      </c>
      <c r="Z514" s="1" t="s">
        <v>74</v>
      </c>
      <c r="AA514" s="1" t="s">
        <v>4817</v>
      </c>
      <c r="AB514" s="1" t="s">
        <v>4818</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181</v>
      </c>
      <c r="AP514" s="1" t="s">
        <v>182</v>
      </c>
      <c r="AQ514" s="1" t="s">
        <v>74</v>
      </c>
      <c r="AR514" s="1" t="s">
        <v>74</v>
      </c>
      <c r="AS514" s="1" t="s">
        <v>74</v>
      </c>
      <c r="AT514" s="1" t="s">
        <v>501</v>
      </c>
      <c r="AU514" s="1">
        <v>2006.0</v>
      </c>
      <c r="AV514" s="1">
        <v>21.0</v>
      </c>
      <c r="AW514" s="1">
        <v>4.0</v>
      </c>
      <c r="AX514" s="1" t="s">
        <v>74</v>
      </c>
      <c r="AY514" s="1" t="s">
        <v>74</v>
      </c>
      <c r="AZ514" s="1" t="s">
        <v>74</v>
      </c>
      <c r="BA514" s="1" t="s">
        <v>74</v>
      </c>
      <c r="BB514" s="1">
        <v>1484.0</v>
      </c>
      <c r="BC514" s="1">
        <v>1492.0</v>
      </c>
      <c r="BD514" s="1" t="s">
        <v>74</v>
      </c>
      <c r="BE514" s="1" t="s">
        <v>4819</v>
      </c>
      <c r="BF514" s="2" t="str">
        <f>HYPERLINK("http://dx.doi.org/10.1109/TPWRS.2006.884124","http://dx.doi.org/10.1109/TPWRS.2006.884124")</f>
        <v>http://dx.doi.org/10.1109/TPWRS.2006.884124</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4820</v>
      </c>
      <c r="BT514" s="1" t="str">
        <f>HYPERLINK("https%3A%2F%2Fwww.webofscience.com%2Fwos%2Fwoscc%2Ffull-record%2FWOS:000241839700002","View Full Record in Web of Science")</f>
        <v>View Full Record in Web of Science</v>
      </c>
    </row>
    <row r="515" ht="12.75" customHeight="1">
      <c r="A515" s="1" t="s">
        <v>72</v>
      </c>
      <c r="B515" s="1" t="s">
        <v>4821</v>
      </c>
      <c r="C515" s="1" t="s">
        <v>74</v>
      </c>
      <c r="D515" s="1" t="s">
        <v>74</v>
      </c>
      <c r="E515" s="1" t="s">
        <v>74</v>
      </c>
      <c r="F515" s="1" t="s">
        <v>4821</v>
      </c>
      <c r="G515" s="1" t="s">
        <v>74</v>
      </c>
      <c r="H515" s="1" t="s">
        <v>74</v>
      </c>
      <c r="I515" s="1" t="s">
        <v>4822</v>
      </c>
      <c r="J515" s="1" t="s">
        <v>4823</v>
      </c>
      <c r="K515" s="1" t="s">
        <v>74</v>
      </c>
      <c r="L515" s="1" t="s">
        <v>74</v>
      </c>
      <c r="M515" s="1" t="s">
        <v>74</v>
      </c>
      <c r="N515" s="1" t="s">
        <v>74</v>
      </c>
      <c r="O515" s="1" t="s">
        <v>74</v>
      </c>
      <c r="P515" s="1" t="s">
        <v>74</v>
      </c>
      <c r="Q515" s="1" t="s">
        <v>74</v>
      </c>
      <c r="R515" s="1" t="s">
        <v>74</v>
      </c>
      <c r="S515" s="1" t="s">
        <v>74</v>
      </c>
      <c r="T515" s="1" t="s">
        <v>74</v>
      </c>
      <c r="U515" s="1" t="s">
        <v>74</v>
      </c>
      <c r="V515" s="1" t="s">
        <v>4824</v>
      </c>
      <c r="W515" s="1" t="s">
        <v>74</v>
      </c>
      <c r="X515" s="1" t="s">
        <v>74</v>
      </c>
      <c r="Y515" s="1" t="s">
        <v>74</v>
      </c>
      <c r="Z515" s="1" t="s">
        <v>74</v>
      </c>
      <c r="AA515" s="1" t="s">
        <v>74</v>
      </c>
      <c r="AB515" s="1" t="s">
        <v>4825</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4826</v>
      </c>
      <c r="AP515" s="1" t="s">
        <v>4827</v>
      </c>
      <c r="AQ515" s="1" t="s">
        <v>74</v>
      </c>
      <c r="AR515" s="1" t="s">
        <v>74</v>
      </c>
      <c r="AS515" s="1" t="s">
        <v>74</v>
      </c>
      <c r="AT515" s="1" t="s">
        <v>4828</v>
      </c>
      <c r="AU515" s="1">
        <v>2005.0</v>
      </c>
      <c r="AV515" s="1">
        <v>714.0</v>
      </c>
      <c r="AW515" s="1">
        <v>3.0</v>
      </c>
      <c r="AX515" s="1" t="s">
        <v>74</v>
      </c>
      <c r="AY515" s="1" t="s">
        <v>74</v>
      </c>
      <c r="AZ515" s="1" t="s">
        <v>74</v>
      </c>
      <c r="BA515" s="1" t="s">
        <v>74</v>
      </c>
      <c r="BB515" s="1">
        <v>269.0</v>
      </c>
      <c r="BC515" s="1">
        <v>291.0</v>
      </c>
      <c r="BD515" s="1" t="s">
        <v>74</v>
      </c>
      <c r="BE515" s="1" t="s">
        <v>4829</v>
      </c>
      <c r="BF515" s="2" t="str">
        <f>HYPERLINK("http://dx.doi.org/10.1016/j.nuclphysb.2005.02.027","http://dx.doi.org/10.1016/j.nuclphysb.2005.02.027")</f>
        <v>http://dx.doi.org/10.1016/j.nuclphysb.2005.02.027</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4830</v>
      </c>
      <c r="BT515" s="1" t="str">
        <f>HYPERLINK("https%3A%2F%2Fwww.webofscience.com%2Fwos%2Fwoscc%2Ffull-record%2FWOS:000228795400004","View Full Record in Web of Science")</f>
        <v>View Full Record in Web of Science</v>
      </c>
    </row>
    <row r="516" ht="12.75" customHeight="1">
      <c r="A516" s="1" t="s">
        <v>72</v>
      </c>
      <c r="B516" s="1" t="s">
        <v>4831</v>
      </c>
      <c r="C516" s="1" t="s">
        <v>74</v>
      </c>
      <c r="D516" s="1" t="s">
        <v>74</v>
      </c>
      <c r="E516" s="1" t="s">
        <v>74</v>
      </c>
      <c r="F516" s="1" t="s">
        <v>4831</v>
      </c>
      <c r="G516" s="1" t="s">
        <v>74</v>
      </c>
      <c r="H516" s="1" t="s">
        <v>74</v>
      </c>
      <c r="I516" s="1" t="s">
        <v>4832</v>
      </c>
      <c r="J516" s="1" t="s">
        <v>4833</v>
      </c>
      <c r="K516" s="1" t="s">
        <v>74</v>
      </c>
      <c r="L516" s="1" t="s">
        <v>74</v>
      </c>
      <c r="M516" s="1" t="s">
        <v>74</v>
      </c>
      <c r="N516" s="1" t="s">
        <v>74</v>
      </c>
      <c r="O516" s="1" t="s">
        <v>4834</v>
      </c>
      <c r="P516" s="1" t="s">
        <v>4835</v>
      </c>
      <c r="Q516" s="1" t="s">
        <v>4836</v>
      </c>
      <c r="R516" s="1" t="s">
        <v>4837</v>
      </c>
      <c r="S516" s="1" t="s">
        <v>74</v>
      </c>
      <c r="T516" s="1" t="s">
        <v>74</v>
      </c>
      <c r="U516" s="1" t="s">
        <v>74</v>
      </c>
      <c r="V516" s="1" t="s">
        <v>4838</v>
      </c>
      <c r="W516" s="1" t="s">
        <v>74</v>
      </c>
      <c r="X516" s="1" t="s">
        <v>74</v>
      </c>
      <c r="Y516" s="1" t="s">
        <v>74</v>
      </c>
      <c r="Z516" s="1" t="s">
        <v>74</v>
      </c>
      <c r="AA516" s="1" t="s">
        <v>4839</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4840</v>
      </c>
      <c r="AP516" s="1" t="s">
        <v>4841</v>
      </c>
      <c r="AQ516" s="1" t="s">
        <v>74</v>
      </c>
      <c r="AR516" s="1" t="s">
        <v>74</v>
      </c>
      <c r="AS516" s="1" t="s">
        <v>74</v>
      </c>
      <c r="AT516" s="1" t="s">
        <v>353</v>
      </c>
      <c r="AU516" s="1">
        <v>2004.0</v>
      </c>
      <c r="AV516" s="1">
        <v>39.0</v>
      </c>
      <c r="AW516" s="1">
        <v>10.0</v>
      </c>
      <c r="AX516" s="1" t="s">
        <v>74</v>
      </c>
      <c r="AY516" s="1" t="s">
        <v>74</v>
      </c>
      <c r="AZ516" s="1" t="s">
        <v>74</v>
      </c>
      <c r="BA516" s="1" t="s">
        <v>74</v>
      </c>
      <c r="BB516" s="1">
        <v>855.0</v>
      </c>
      <c r="BC516" s="1">
        <v>858.0</v>
      </c>
      <c r="BD516" s="1" t="s">
        <v>74</v>
      </c>
      <c r="BE516" s="1" t="s">
        <v>4842</v>
      </c>
      <c r="BF516" s="2" t="str">
        <f>HYPERLINK("http://dx.doi.org/10.1002/crat.200410265","http://dx.doi.org/10.1002/crat.200410265")</f>
        <v>http://dx.doi.org/10.1002/crat.200410265</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4843</v>
      </c>
      <c r="BT516" s="1" t="str">
        <f>HYPERLINK("https%3A%2F%2Fwww.webofscience.com%2Fwos%2Fwoscc%2Ffull-record%2FWOS:000224399900005","View Full Record in Web of Science")</f>
        <v>View Full Record in Web of Science</v>
      </c>
    </row>
    <row r="517" ht="12.75" customHeight="1">
      <c r="A517" s="1" t="s">
        <v>72</v>
      </c>
      <c r="B517" s="1" t="s">
        <v>4844</v>
      </c>
      <c r="C517" s="1" t="s">
        <v>74</v>
      </c>
      <c r="D517" s="1" t="s">
        <v>74</v>
      </c>
      <c r="E517" s="1" t="s">
        <v>74</v>
      </c>
      <c r="F517" s="1" t="s">
        <v>4844</v>
      </c>
      <c r="G517" s="1" t="s">
        <v>74</v>
      </c>
      <c r="H517" s="1" t="s">
        <v>74</v>
      </c>
      <c r="I517" s="1" t="s">
        <v>4845</v>
      </c>
      <c r="J517" s="1" t="s">
        <v>1042</v>
      </c>
      <c r="K517" s="1" t="s">
        <v>74</v>
      </c>
      <c r="L517" s="1" t="s">
        <v>74</v>
      </c>
      <c r="M517" s="1" t="s">
        <v>74</v>
      </c>
      <c r="N517" s="1" t="s">
        <v>74</v>
      </c>
      <c r="O517" s="1" t="s">
        <v>74</v>
      </c>
      <c r="P517" s="1" t="s">
        <v>74</v>
      </c>
      <c r="Q517" s="1" t="s">
        <v>74</v>
      </c>
      <c r="R517" s="1" t="s">
        <v>74</v>
      </c>
      <c r="S517" s="1" t="s">
        <v>74</v>
      </c>
      <c r="T517" s="1" t="s">
        <v>74</v>
      </c>
      <c r="U517" s="1" t="s">
        <v>74</v>
      </c>
      <c r="V517" s="1" t="s">
        <v>4846</v>
      </c>
      <c r="W517" s="1" t="s">
        <v>74</v>
      </c>
      <c r="X517" s="1" t="s">
        <v>74</v>
      </c>
      <c r="Y517" s="1" t="s">
        <v>74</v>
      </c>
      <c r="Z517" s="1" t="s">
        <v>74</v>
      </c>
      <c r="AA517" s="1" t="s">
        <v>74</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1043</v>
      </c>
      <c r="AP517" s="1" t="s">
        <v>74</v>
      </c>
      <c r="AQ517" s="1" t="s">
        <v>74</v>
      </c>
      <c r="AR517" s="1" t="s">
        <v>74</v>
      </c>
      <c r="AS517" s="1" t="s">
        <v>74</v>
      </c>
      <c r="AT517" s="1" t="s">
        <v>160</v>
      </c>
      <c r="AU517" s="1">
        <v>2002.0</v>
      </c>
      <c r="AV517" s="1">
        <v>47.0</v>
      </c>
      <c r="AW517" s="1">
        <v>4.0</v>
      </c>
      <c r="AX517" s="1" t="s">
        <v>74</v>
      </c>
      <c r="AY517" s="1" t="s">
        <v>74</v>
      </c>
      <c r="AZ517" s="1" t="s">
        <v>74</v>
      </c>
      <c r="BA517" s="1" t="s">
        <v>74</v>
      </c>
      <c r="BB517" s="1">
        <v>393.0</v>
      </c>
      <c r="BC517" s="1">
        <v>401.0</v>
      </c>
      <c r="BD517" s="1" t="s">
        <v>74</v>
      </c>
      <c r="BE517" s="1" t="s">
        <v>74</v>
      </c>
      <c r="BF517" s="1" t="s">
        <v>74</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4847</v>
      </c>
      <c r="BT517" s="1" t="str">
        <f>HYPERLINK("https%3A%2F%2Fwww.webofscience.com%2Fwos%2Fwoscc%2Ffull-record%2FWOS:000180026700011","View Full Record in Web of Science")</f>
        <v>View Full Record in Web of Science</v>
      </c>
    </row>
    <row r="518" ht="12.75" customHeight="1">
      <c r="A518" s="1" t="s">
        <v>72</v>
      </c>
      <c r="B518" s="1" t="s">
        <v>4848</v>
      </c>
      <c r="C518" s="1" t="s">
        <v>74</v>
      </c>
      <c r="D518" s="1" t="s">
        <v>74</v>
      </c>
      <c r="E518" s="1" t="s">
        <v>74</v>
      </c>
      <c r="F518" s="1" t="s">
        <v>4848</v>
      </c>
      <c r="G518" s="1" t="s">
        <v>74</v>
      </c>
      <c r="H518" s="1" t="s">
        <v>74</v>
      </c>
      <c r="I518" s="1" t="s">
        <v>4849</v>
      </c>
      <c r="J518" s="1" t="s">
        <v>4850</v>
      </c>
      <c r="K518" s="1" t="s">
        <v>74</v>
      </c>
      <c r="L518" s="1" t="s">
        <v>74</v>
      </c>
      <c r="M518" s="1" t="s">
        <v>74</v>
      </c>
      <c r="N518" s="1" t="s">
        <v>74</v>
      </c>
      <c r="O518" s="1" t="s">
        <v>74</v>
      </c>
      <c r="P518" s="1" t="s">
        <v>74</v>
      </c>
      <c r="Q518" s="1" t="s">
        <v>74</v>
      </c>
      <c r="R518" s="1" t="s">
        <v>74</v>
      </c>
      <c r="S518" s="1" t="s">
        <v>74</v>
      </c>
      <c r="T518" s="1" t="s">
        <v>74</v>
      </c>
      <c r="U518" s="1" t="s">
        <v>74</v>
      </c>
      <c r="V518" s="1" t="s">
        <v>4851</v>
      </c>
      <c r="W518" s="1" t="s">
        <v>74</v>
      </c>
      <c r="X518" s="1" t="s">
        <v>74</v>
      </c>
      <c r="Y518" s="1" t="s">
        <v>74</v>
      </c>
      <c r="Z518" s="1" t="s">
        <v>74</v>
      </c>
      <c r="AA518" s="1" t="s">
        <v>4852</v>
      </c>
      <c r="AB518" s="1" t="s">
        <v>4853</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4854</v>
      </c>
      <c r="AP518" s="1" t="s">
        <v>74</v>
      </c>
      <c r="AQ518" s="1" t="s">
        <v>74</v>
      </c>
      <c r="AR518" s="1" t="s">
        <v>74</v>
      </c>
      <c r="AS518" s="1" t="s">
        <v>74</v>
      </c>
      <c r="AT518" s="1" t="s">
        <v>319</v>
      </c>
      <c r="AU518" s="1">
        <v>1995.0</v>
      </c>
      <c r="AV518" s="1">
        <v>25.0</v>
      </c>
      <c r="AW518" s="1">
        <v>3.0</v>
      </c>
      <c r="AX518" s="1" t="s">
        <v>74</v>
      </c>
      <c r="AY518" s="1" t="s">
        <v>74</v>
      </c>
      <c r="AZ518" s="1" t="s">
        <v>74</v>
      </c>
      <c r="BA518" s="1" t="s">
        <v>74</v>
      </c>
      <c r="BB518" s="1">
        <v>247.0</v>
      </c>
      <c r="BC518" s="1">
        <v>251.0</v>
      </c>
      <c r="BD518" s="1" t="s">
        <v>74</v>
      </c>
      <c r="BE518" s="1" t="s">
        <v>4855</v>
      </c>
      <c r="BF518" s="2" t="str">
        <f>HYPERLINK("http://dx.doi.org/10.1007/BF00262963","http://dx.doi.org/10.1007/BF00262963")</f>
        <v>http://dx.doi.org/10.1007/BF00262963</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4856</v>
      </c>
      <c r="BT518" s="1" t="str">
        <f>HYPERLINK("https%3A%2F%2Fwww.webofscience.com%2Fwos%2Fwoscc%2Ffull-record%2FWOS:A1995QL51000009","View Full Record in Web of Science")</f>
        <v>View Full Record in Web of Science</v>
      </c>
    </row>
    <row r="519" ht="12.75" customHeight="1">
      <c r="A519" s="1" t="s">
        <v>72</v>
      </c>
      <c r="B519" s="1" t="s">
        <v>4857</v>
      </c>
      <c r="C519" s="1" t="s">
        <v>74</v>
      </c>
      <c r="D519" s="1" t="s">
        <v>74</v>
      </c>
      <c r="E519" s="1" t="s">
        <v>74</v>
      </c>
      <c r="F519" s="1" t="s">
        <v>4857</v>
      </c>
      <c r="G519" s="1" t="s">
        <v>74</v>
      </c>
      <c r="H519" s="1" t="s">
        <v>74</v>
      </c>
      <c r="I519" s="1" t="s">
        <v>4858</v>
      </c>
      <c r="J519" s="1" t="s">
        <v>890</v>
      </c>
      <c r="K519" s="1" t="s">
        <v>74</v>
      </c>
      <c r="L519" s="1" t="s">
        <v>74</v>
      </c>
      <c r="M519" s="1" t="s">
        <v>74</v>
      </c>
      <c r="N519" s="1" t="s">
        <v>74</v>
      </c>
      <c r="O519" s="1" t="s">
        <v>74</v>
      </c>
      <c r="P519" s="1" t="s">
        <v>74</v>
      </c>
      <c r="Q519" s="1" t="s">
        <v>74</v>
      </c>
      <c r="R519" s="1" t="s">
        <v>74</v>
      </c>
      <c r="S519" s="1" t="s">
        <v>74</v>
      </c>
      <c r="T519" s="1" t="s">
        <v>74</v>
      </c>
      <c r="U519" s="1" t="s">
        <v>74</v>
      </c>
      <c r="V519" s="1" t="s">
        <v>74</v>
      </c>
      <c r="W519" s="1" t="s">
        <v>74</v>
      </c>
      <c r="X519" s="1" t="s">
        <v>74</v>
      </c>
      <c r="Y519" s="1" t="s">
        <v>74</v>
      </c>
      <c r="Z519" s="1" t="s">
        <v>74</v>
      </c>
      <c r="AA519" s="1" t="s">
        <v>4859</v>
      </c>
      <c r="AB519" s="1" t="s">
        <v>4860</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892</v>
      </c>
      <c r="AP519" s="1" t="s">
        <v>74</v>
      </c>
      <c r="AQ519" s="1" t="s">
        <v>74</v>
      </c>
      <c r="AR519" s="1" t="s">
        <v>74</v>
      </c>
      <c r="AS519" s="1" t="s">
        <v>74</v>
      </c>
      <c r="AT519" s="1" t="s">
        <v>2405</v>
      </c>
      <c r="AU519" s="1">
        <v>1986.0</v>
      </c>
      <c r="AV519" s="1">
        <v>2.0</v>
      </c>
      <c r="AW519" s="1">
        <v>2.0</v>
      </c>
      <c r="AX519" s="1" t="s">
        <v>74</v>
      </c>
      <c r="AY519" s="1" t="s">
        <v>74</v>
      </c>
      <c r="AZ519" s="1" t="s">
        <v>74</v>
      </c>
      <c r="BA519" s="1" t="s">
        <v>74</v>
      </c>
      <c r="BB519" s="1">
        <v>216.0</v>
      </c>
      <c r="BC519" s="1">
        <v>218.0</v>
      </c>
      <c r="BD519" s="1" t="s">
        <v>74</v>
      </c>
      <c r="BE519" s="1" t="s">
        <v>4861</v>
      </c>
      <c r="BF519" s="2" t="str">
        <f>HYPERLINK("http://dx.doi.org/10.1021/la00068a018","http://dx.doi.org/10.1021/la00068a018")</f>
        <v>http://dx.doi.org/10.1021/la00068a018</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4862</v>
      </c>
      <c r="BT519" s="1" t="str">
        <f>HYPERLINK("https%3A%2F%2Fwww.webofscience.com%2Fwos%2Fwoscc%2Ffull-record%2FWOS:A1986A692800018","View Full Record in Web of Science")</f>
        <v>View Full Record in Web of Science</v>
      </c>
    </row>
    <row r="520" ht="12.75" customHeight="1">
      <c r="A520" s="1" t="s">
        <v>72</v>
      </c>
      <c r="B520" s="1" t="s">
        <v>4863</v>
      </c>
      <c r="C520" s="1" t="s">
        <v>74</v>
      </c>
      <c r="D520" s="1" t="s">
        <v>74</v>
      </c>
      <c r="E520" s="1" t="s">
        <v>74</v>
      </c>
      <c r="F520" s="1" t="s">
        <v>4863</v>
      </c>
      <c r="G520" s="1" t="s">
        <v>74</v>
      </c>
      <c r="H520" s="1" t="s">
        <v>74</v>
      </c>
      <c r="I520" s="1" t="s">
        <v>4864</v>
      </c>
      <c r="J520" s="1" t="s">
        <v>1891</v>
      </c>
      <c r="K520" s="1" t="s">
        <v>74</v>
      </c>
      <c r="L520" s="1" t="s">
        <v>74</v>
      </c>
      <c r="M520" s="1" t="s">
        <v>74</v>
      </c>
      <c r="N520" s="1" t="s">
        <v>74</v>
      </c>
      <c r="O520" s="1" t="s">
        <v>74</v>
      </c>
      <c r="P520" s="1" t="s">
        <v>74</v>
      </c>
      <c r="Q520" s="1" t="s">
        <v>74</v>
      </c>
      <c r="R520" s="1" t="s">
        <v>74</v>
      </c>
      <c r="S520" s="1" t="s">
        <v>74</v>
      </c>
      <c r="T520" s="1" t="s">
        <v>74</v>
      </c>
      <c r="U520" s="1" t="s">
        <v>74</v>
      </c>
      <c r="V520" s="1" t="s">
        <v>74</v>
      </c>
      <c r="W520" s="1" t="s">
        <v>74</v>
      </c>
      <c r="X520" s="1" t="s">
        <v>74</v>
      </c>
      <c r="Y520" s="1" t="s">
        <v>74</v>
      </c>
      <c r="Z520" s="1" t="s">
        <v>74</v>
      </c>
      <c r="AA520" s="1" t="s">
        <v>663</v>
      </c>
      <c r="AB520" s="1" t="s">
        <v>74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1893</v>
      </c>
      <c r="AP520" s="1" t="s">
        <v>74</v>
      </c>
      <c r="AQ520" s="1" t="s">
        <v>74</v>
      </c>
      <c r="AR520" s="1" t="s">
        <v>74</v>
      </c>
      <c r="AS520" s="1" t="s">
        <v>74</v>
      </c>
      <c r="AT520" s="1" t="s">
        <v>74</v>
      </c>
      <c r="AU520" s="1">
        <v>1984.0</v>
      </c>
      <c r="AV520" s="1">
        <v>22.0</v>
      </c>
      <c r="AW520" s="1">
        <v>10.0</v>
      </c>
      <c r="AX520" s="1" t="s">
        <v>74</v>
      </c>
      <c r="AY520" s="1" t="s">
        <v>74</v>
      </c>
      <c r="AZ520" s="1" t="s">
        <v>74</v>
      </c>
      <c r="BA520" s="1" t="s">
        <v>74</v>
      </c>
      <c r="BB520" s="1">
        <v>2469.0</v>
      </c>
      <c r="BC520" s="1">
        <v>2477.0</v>
      </c>
      <c r="BD520" s="1" t="s">
        <v>74</v>
      </c>
      <c r="BE520" s="1" t="s">
        <v>4865</v>
      </c>
      <c r="BF520" s="2" t="str">
        <f>HYPERLINK("http://dx.doi.org/10.1002/pol.1984.170221015","http://dx.doi.org/10.1002/pol.1984.170221015")</f>
        <v>http://dx.doi.org/10.1002/pol.1984.170221015</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4866</v>
      </c>
      <c r="BT520" s="1" t="str">
        <f>HYPERLINK("https%3A%2F%2Fwww.webofscience.com%2Fwos%2Fwoscc%2Ffull-record%2FWOS:A1984TL78800015","View Full Record in Web of Science")</f>
        <v>View Full Record in Web of Science</v>
      </c>
    </row>
    <row r="521" ht="12.75" customHeight="1">
      <c r="A521" s="1" t="s">
        <v>72</v>
      </c>
      <c r="B521" s="1" t="s">
        <v>4867</v>
      </c>
      <c r="C521" s="1" t="s">
        <v>74</v>
      </c>
      <c r="D521" s="1" t="s">
        <v>74</v>
      </c>
      <c r="E521" s="1" t="s">
        <v>74</v>
      </c>
      <c r="F521" s="1" t="s">
        <v>4868</v>
      </c>
      <c r="G521" s="1" t="s">
        <v>74</v>
      </c>
      <c r="H521" s="1" t="s">
        <v>74</v>
      </c>
      <c r="I521" s="1" t="s">
        <v>4869</v>
      </c>
      <c r="J521" s="1" t="s">
        <v>552</v>
      </c>
      <c r="K521" s="1" t="s">
        <v>74</v>
      </c>
      <c r="L521" s="1" t="s">
        <v>74</v>
      </c>
      <c r="M521" s="1" t="s">
        <v>74</v>
      </c>
      <c r="N521" s="1" t="s">
        <v>74</v>
      </c>
      <c r="O521" s="1" t="s">
        <v>74</v>
      </c>
      <c r="P521" s="1" t="s">
        <v>74</v>
      </c>
      <c r="Q521" s="1" t="s">
        <v>74</v>
      </c>
      <c r="R521" s="1" t="s">
        <v>74</v>
      </c>
      <c r="S521" s="1" t="s">
        <v>74</v>
      </c>
      <c r="T521" s="1" t="s">
        <v>74</v>
      </c>
      <c r="U521" s="1" t="s">
        <v>74</v>
      </c>
      <c r="V521" s="1" t="s">
        <v>4870</v>
      </c>
      <c r="W521" s="1" t="s">
        <v>74</v>
      </c>
      <c r="X521" s="1" t="s">
        <v>74</v>
      </c>
      <c r="Y521" s="1" t="s">
        <v>74</v>
      </c>
      <c r="Z521" s="1" t="s">
        <v>74</v>
      </c>
      <c r="AA521" s="1" t="s">
        <v>74</v>
      </c>
      <c r="AB521" s="1" t="s">
        <v>74</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74</v>
      </c>
      <c r="AP521" s="1" t="s">
        <v>556</v>
      </c>
      <c r="AQ521" s="1" t="s">
        <v>74</v>
      </c>
      <c r="AR521" s="1" t="s">
        <v>74</v>
      </c>
      <c r="AS521" s="1" t="s">
        <v>74</v>
      </c>
      <c r="AT521" s="1" t="s">
        <v>4871</v>
      </c>
      <c r="AU521" s="1">
        <v>2025.0</v>
      </c>
      <c r="AV521" s="1">
        <v>15.0</v>
      </c>
      <c r="AW521" s="1">
        <v>4.0</v>
      </c>
      <c r="AX521" s="1" t="s">
        <v>74</v>
      </c>
      <c r="AY521" s="1" t="s">
        <v>74</v>
      </c>
      <c r="AZ521" s="1" t="s">
        <v>74</v>
      </c>
      <c r="BA521" s="1" t="s">
        <v>74</v>
      </c>
      <c r="BB521" s="1" t="s">
        <v>74</v>
      </c>
      <c r="BC521" s="1" t="s">
        <v>74</v>
      </c>
      <c r="BD521" s="1">
        <v>402.0</v>
      </c>
      <c r="BE521" s="1" t="s">
        <v>4872</v>
      </c>
      <c r="BF521" s="2" t="str">
        <f>HYPERLINK("http://dx.doi.org/10.3390/met15040402","http://dx.doi.org/10.3390/met15040402")</f>
        <v>http://dx.doi.org/10.3390/met15040402</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4873</v>
      </c>
      <c r="BT521" s="1" t="str">
        <f>HYPERLINK("https%3A%2F%2Fwww.webofscience.com%2Fwos%2Fwoscc%2Ffull-record%2FWOS:001475220200001","View Full Record in Web of Science")</f>
        <v>View Full Record in Web of Science</v>
      </c>
    </row>
    <row r="522" ht="12.75" customHeight="1">
      <c r="A522" s="1" t="s">
        <v>72</v>
      </c>
      <c r="B522" s="1" t="s">
        <v>4874</v>
      </c>
      <c r="C522" s="1" t="s">
        <v>74</v>
      </c>
      <c r="D522" s="1" t="s">
        <v>74</v>
      </c>
      <c r="E522" s="1" t="s">
        <v>74</v>
      </c>
      <c r="F522" s="1" t="s">
        <v>4875</v>
      </c>
      <c r="G522" s="1" t="s">
        <v>74</v>
      </c>
      <c r="H522" s="1" t="s">
        <v>74</v>
      </c>
      <c r="I522" s="1" t="s">
        <v>4876</v>
      </c>
      <c r="J522" s="1" t="s">
        <v>189</v>
      </c>
      <c r="K522" s="1" t="s">
        <v>74</v>
      </c>
      <c r="L522" s="1" t="s">
        <v>74</v>
      </c>
      <c r="M522" s="1" t="s">
        <v>74</v>
      </c>
      <c r="N522" s="1" t="s">
        <v>74</v>
      </c>
      <c r="O522" s="1" t="s">
        <v>74</v>
      </c>
      <c r="P522" s="1" t="s">
        <v>74</v>
      </c>
      <c r="Q522" s="1" t="s">
        <v>74</v>
      </c>
      <c r="R522" s="1" t="s">
        <v>74</v>
      </c>
      <c r="S522" s="1" t="s">
        <v>74</v>
      </c>
      <c r="T522" s="1" t="s">
        <v>74</v>
      </c>
      <c r="U522" s="1" t="s">
        <v>74</v>
      </c>
      <c r="V522" s="1" t="s">
        <v>4877</v>
      </c>
      <c r="W522" s="1" t="s">
        <v>74</v>
      </c>
      <c r="X522" s="1" t="s">
        <v>74</v>
      </c>
      <c r="Y522" s="1" t="s">
        <v>74</v>
      </c>
      <c r="Z522" s="1" t="s">
        <v>74</v>
      </c>
      <c r="AA522" s="1" t="s">
        <v>4878</v>
      </c>
      <c r="AB522" s="1" t="s">
        <v>4879</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192</v>
      </c>
      <c r="AP522" s="1" t="s">
        <v>193</v>
      </c>
      <c r="AQ522" s="1" t="s">
        <v>74</v>
      </c>
      <c r="AR522" s="1" t="s">
        <v>74</v>
      </c>
      <c r="AS522" s="1" t="s">
        <v>74</v>
      </c>
      <c r="AT522" s="1" t="s">
        <v>174</v>
      </c>
      <c r="AU522" s="1">
        <v>2025.0</v>
      </c>
      <c r="AV522" s="1">
        <v>63.0</v>
      </c>
      <c r="AW522" s="1">
        <v>4.0</v>
      </c>
      <c r="AX522" s="1" t="s">
        <v>74</v>
      </c>
      <c r="AY522" s="1" t="s">
        <v>74</v>
      </c>
      <c r="AZ522" s="1" t="s">
        <v>74</v>
      </c>
      <c r="BA522" s="1" t="s">
        <v>74</v>
      </c>
      <c r="BB522" s="1">
        <v>283.0</v>
      </c>
      <c r="BC522" s="1">
        <v>291.0</v>
      </c>
      <c r="BD522" s="1" t="s">
        <v>74</v>
      </c>
      <c r="BE522" s="1" t="s">
        <v>4880</v>
      </c>
      <c r="BF522" s="2" t="str">
        <f>HYPERLINK("http://dx.doi.org/10.1002/mrc.5512","http://dx.doi.org/10.1002/mrc.5512")</f>
        <v>http://dx.doi.org/10.1002/mrc.5512</v>
      </c>
      <c r="BG522" s="1" t="s">
        <v>74</v>
      </c>
      <c r="BH522" s="1" t="s">
        <v>1054</v>
      </c>
      <c r="BI522" s="1" t="s">
        <v>74</v>
      </c>
      <c r="BJ522" s="1" t="s">
        <v>74</v>
      </c>
      <c r="BK522" s="1" t="s">
        <v>74</v>
      </c>
      <c r="BL522" s="1" t="s">
        <v>74</v>
      </c>
      <c r="BM522" s="1" t="s">
        <v>74</v>
      </c>
      <c r="BN522" s="1">
        <v>3.9854026E7</v>
      </c>
      <c r="BO522" s="1" t="s">
        <v>74</v>
      </c>
      <c r="BP522" s="1" t="s">
        <v>74</v>
      </c>
      <c r="BQ522" s="1" t="s">
        <v>74</v>
      </c>
      <c r="BR522" s="1" t="s">
        <v>74</v>
      </c>
      <c r="BS522" s="1" t="s">
        <v>4881</v>
      </c>
      <c r="BT522" s="1" t="str">
        <f>HYPERLINK("https%3A%2F%2Fwww.webofscience.com%2Fwos%2Fwoscc%2Ffull-record%2FWOS:001402798000001","View Full Record in Web of Science")</f>
        <v>View Full Record in Web of Science</v>
      </c>
    </row>
    <row r="523" ht="12.75" customHeight="1">
      <c r="A523" s="1" t="s">
        <v>72</v>
      </c>
      <c r="B523" s="1" t="s">
        <v>4882</v>
      </c>
      <c r="C523" s="1" t="s">
        <v>74</v>
      </c>
      <c r="D523" s="1" t="s">
        <v>74</v>
      </c>
      <c r="E523" s="1" t="s">
        <v>74</v>
      </c>
      <c r="F523" s="1" t="s">
        <v>4883</v>
      </c>
      <c r="G523" s="1" t="s">
        <v>74</v>
      </c>
      <c r="H523" s="1" t="s">
        <v>74</v>
      </c>
      <c r="I523" s="1" t="s">
        <v>4884</v>
      </c>
      <c r="J523" s="1" t="s">
        <v>4885</v>
      </c>
      <c r="K523" s="1" t="s">
        <v>74</v>
      </c>
      <c r="L523" s="1" t="s">
        <v>74</v>
      </c>
      <c r="M523" s="1" t="s">
        <v>74</v>
      </c>
      <c r="N523" s="1" t="s">
        <v>74</v>
      </c>
      <c r="O523" s="1" t="s">
        <v>74</v>
      </c>
      <c r="P523" s="1" t="s">
        <v>74</v>
      </c>
      <c r="Q523" s="1" t="s">
        <v>74</v>
      </c>
      <c r="R523" s="1" t="s">
        <v>74</v>
      </c>
      <c r="S523" s="1" t="s">
        <v>74</v>
      </c>
      <c r="T523" s="1" t="s">
        <v>74</v>
      </c>
      <c r="U523" s="1" t="s">
        <v>74</v>
      </c>
      <c r="V523" s="1" t="s">
        <v>4886</v>
      </c>
      <c r="W523" s="1" t="s">
        <v>74</v>
      </c>
      <c r="X523" s="1" t="s">
        <v>74</v>
      </c>
      <c r="Y523" s="1" t="s">
        <v>74</v>
      </c>
      <c r="Z523" s="1" t="s">
        <v>74</v>
      </c>
      <c r="AA523" s="1" t="s">
        <v>4887</v>
      </c>
      <c r="AB523" s="1" t="s">
        <v>74</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4888</v>
      </c>
      <c r="AP523" s="1" t="s">
        <v>74</v>
      </c>
      <c r="AQ523" s="1" t="s">
        <v>74</v>
      </c>
      <c r="AR523" s="1" t="s">
        <v>74</v>
      </c>
      <c r="AS523" s="1" t="s">
        <v>74</v>
      </c>
      <c r="AT523" s="1" t="s">
        <v>319</v>
      </c>
      <c r="AU523" s="1">
        <v>2025.0</v>
      </c>
      <c r="AV523" s="1">
        <v>25.0</v>
      </c>
      <c r="AW523" s="1" t="s">
        <v>74</v>
      </c>
      <c r="AX523" s="1" t="s">
        <v>74</v>
      </c>
      <c r="AY523" s="1" t="s">
        <v>74</v>
      </c>
      <c r="AZ523" s="1" t="s">
        <v>74</v>
      </c>
      <c r="BA523" s="1" t="s">
        <v>74</v>
      </c>
      <c r="BB523" s="1" t="s">
        <v>74</v>
      </c>
      <c r="BC523" s="1" t="s">
        <v>74</v>
      </c>
      <c r="BD523" s="1">
        <v>103576.0</v>
      </c>
      <c r="BE523" s="1" t="s">
        <v>4889</v>
      </c>
      <c r="BF523" s="2" t="str">
        <f>HYPERLINK("http://dx.doi.org/10.1016/j.rineng.2024.103576","http://dx.doi.org/10.1016/j.rineng.2024.103576")</f>
        <v>http://dx.doi.org/10.1016/j.rineng.2024.103576</v>
      </c>
      <c r="BG523" s="1" t="s">
        <v>74</v>
      </c>
      <c r="BH523" s="1" t="s">
        <v>4890</v>
      </c>
      <c r="BI523" s="1" t="s">
        <v>74</v>
      </c>
      <c r="BJ523" s="1" t="s">
        <v>74</v>
      </c>
      <c r="BK523" s="1" t="s">
        <v>74</v>
      </c>
      <c r="BL523" s="1" t="s">
        <v>74</v>
      </c>
      <c r="BM523" s="1" t="s">
        <v>74</v>
      </c>
      <c r="BN523" s="1" t="s">
        <v>74</v>
      </c>
      <c r="BO523" s="1" t="s">
        <v>74</v>
      </c>
      <c r="BP523" s="1" t="s">
        <v>74</v>
      </c>
      <c r="BQ523" s="1" t="s">
        <v>74</v>
      </c>
      <c r="BR523" s="1" t="s">
        <v>74</v>
      </c>
      <c r="BS523" s="1" t="s">
        <v>4891</v>
      </c>
      <c r="BT523" s="1" t="str">
        <f>HYPERLINK("https%3A%2F%2Fwww.webofscience.com%2Fwos%2Fwoscc%2Ffull-record%2FWOS:001389372800001","View Full Record in Web of Science")</f>
        <v>View Full Record in Web of Science</v>
      </c>
    </row>
    <row r="524" ht="12.75" customHeight="1">
      <c r="A524" s="1" t="s">
        <v>72</v>
      </c>
      <c r="B524" s="1" t="s">
        <v>4892</v>
      </c>
      <c r="C524" s="1" t="s">
        <v>74</v>
      </c>
      <c r="D524" s="1" t="s">
        <v>74</v>
      </c>
      <c r="E524" s="1" t="s">
        <v>74</v>
      </c>
      <c r="F524" s="1" t="s">
        <v>4893</v>
      </c>
      <c r="G524" s="1" t="s">
        <v>74</v>
      </c>
      <c r="H524" s="1" t="s">
        <v>74</v>
      </c>
      <c r="I524" s="1" t="s">
        <v>4894</v>
      </c>
      <c r="J524" s="1" t="s">
        <v>4895</v>
      </c>
      <c r="K524" s="1" t="s">
        <v>74</v>
      </c>
      <c r="L524" s="1" t="s">
        <v>74</v>
      </c>
      <c r="M524" s="1" t="s">
        <v>74</v>
      </c>
      <c r="N524" s="1" t="s">
        <v>74</v>
      </c>
      <c r="O524" s="1" t="s">
        <v>74</v>
      </c>
      <c r="P524" s="1" t="s">
        <v>74</v>
      </c>
      <c r="Q524" s="1" t="s">
        <v>74</v>
      </c>
      <c r="R524" s="1" t="s">
        <v>74</v>
      </c>
      <c r="S524" s="1" t="s">
        <v>74</v>
      </c>
      <c r="T524" s="1" t="s">
        <v>74</v>
      </c>
      <c r="U524" s="1" t="s">
        <v>74</v>
      </c>
      <c r="V524" s="1" t="s">
        <v>4896</v>
      </c>
      <c r="W524" s="1" t="s">
        <v>74</v>
      </c>
      <c r="X524" s="1" t="s">
        <v>74</v>
      </c>
      <c r="Y524" s="1" t="s">
        <v>74</v>
      </c>
      <c r="Z524" s="1" t="s">
        <v>74</v>
      </c>
      <c r="AA524" s="1" t="s">
        <v>4897</v>
      </c>
      <c r="AB524" s="1" t="s">
        <v>4898</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74</v>
      </c>
      <c r="AP524" s="1" t="s">
        <v>4899</v>
      </c>
      <c r="AQ524" s="1" t="s">
        <v>74</v>
      </c>
      <c r="AR524" s="1" t="s">
        <v>74</v>
      </c>
      <c r="AS524" s="1" t="s">
        <v>74</v>
      </c>
      <c r="AT524" s="1" t="s">
        <v>353</v>
      </c>
      <c r="AU524" s="1">
        <v>2024.0</v>
      </c>
      <c r="AV524" s="1">
        <v>8.0</v>
      </c>
      <c r="AW524" s="1">
        <v>10.0</v>
      </c>
      <c r="AX524" s="1" t="s">
        <v>74</v>
      </c>
      <c r="AY524" s="1" t="s">
        <v>74</v>
      </c>
      <c r="AZ524" s="1" t="s">
        <v>74</v>
      </c>
      <c r="BA524" s="1" t="s">
        <v>74</v>
      </c>
      <c r="BB524" s="1" t="s">
        <v>74</v>
      </c>
      <c r="BC524" s="1" t="s">
        <v>74</v>
      </c>
      <c r="BD524" s="1">
        <v>592.0</v>
      </c>
      <c r="BE524" s="1" t="s">
        <v>4900</v>
      </c>
      <c r="BF524" s="2" t="str">
        <f>HYPERLINK("http://dx.doi.org/10.3390/drones8100592","http://dx.doi.org/10.3390/drones8100592")</f>
        <v>http://dx.doi.org/10.3390/drones8100592</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4901</v>
      </c>
      <c r="BT524" s="1" t="str">
        <f>HYPERLINK("https%3A%2F%2Fwww.webofscience.com%2Fwos%2Fwoscc%2Ffull-record%2FWOS:001342761200001","View Full Record in Web of Science")</f>
        <v>View Full Record in Web of Science</v>
      </c>
    </row>
    <row r="525" ht="12.75" customHeight="1">
      <c r="A525" s="1" t="s">
        <v>72</v>
      </c>
      <c r="B525" s="1" t="s">
        <v>4902</v>
      </c>
      <c r="C525" s="1" t="s">
        <v>74</v>
      </c>
      <c r="D525" s="1" t="s">
        <v>74</v>
      </c>
      <c r="E525" s="1" t="s">
        <v>74</v>
      </c>
      <c r="F525" s="1" t="s">
        <v>4903</v>
      </c>
      <c r="G525" s="1" t="s">
        <v>74</v>
      </c>
      <c r="H525" s="1" t="s">
        <v>74</v>
      </c>
      <c r="I525" s="1" t="s">
        <v>4904</v>
      </c>
      <c r="J525" s="1" t="s">
        <v>760</v>
      </c>
      <c r="K525" s="1" t="s">
        <v>74</v>
      </c>
      <c r="L525" s="1" t="s">
        <v>74</v>
      </c>
      <c r="M525" s="1" t="s">
        <v>74</v>
      </c>
      <c r="N525" s="1" t="s">
        <v>74</v>
      </c>
      <c r="O525" s="1" t="s">
        <v>74</v>
      </c>
      <c r="P525" s="1" t="s">
        <v>74</v>
      </c>
      <c r="Q525" s="1" t="s">
        <v>74</v>
      </c>
      <c r="R525" s="1" t="s">
        <v>74</v>
      </c>
      <c r="S525" s="1" t="s">
        <v>74</v>
      </c>
      <c r="T525" s="1" t="s">
        <v>74</v>
      </c>
      <c r="U525" s="1" t="s">
        <v>74</v>
      </c>
      <c r="V525" s="1" t="s">
        <v>4905</v>
      </c>
      <c r="W525" s="1" t="s">
        <v>74</v>
      </c>
      <c r="X525" s="1" t="s">
        <v>74</v>
      </c>
      <c r="Y525" s="1" t="s">
        <v>74</v>
      </c>
      <c r="Z525" s="1" t="s">
        <v>74</v>
      </c>
      <c r="AA525" s="1" t="s">
        <v>74</v>
      </c>
      <c r="AB525" s="1" t="s">
        <v>4906</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762</v>
      </c>
      <c r="AP525" s="1" t="s">
        <v>74</v>
      </c>
      <c r="AQ525" s="1" t="s">
        <v>74</v>
      </c>
      <c r="AR525" s="1" t="s">
        <v>74</v>
      </c>
      <c r="AS525" s="1" t="s">
        <v>74</v>
      </c>
      <c r="AT525" s="1" t="s">
        <v>183</v>
      </c>
      <c r="AU525" s="1">
        <v>2024.0</v>
      </c>
      <c r="AV525" s="1">
        <v>11.0</v>
      </c>
      <c r="AW525" s="1">
        <v>32.0</v>
      </c>
      <c r="AX525" s="1" t="s">
        <v>74</v>
      </c>
      <c r="AY525" s="1" t="s">
        <v>74</v>
      </c>
      <c r="AZ525" s="1" t="s">
        <v>74</v>
      </c>
      <c r="BA525" s="1" t="s">
        <v>74</v>
      </c>
      <c r="BB525" s="1">
        <v>276.0</v>
      </c>
      <c r="BC525" s="1">
        <v>296.0</v>
      </c>
      <c r="BD525" s="1" t="s">
        <v>74</v>
      </c>
      <c r="BE525" s="1" t="s">
        <v>4907</v>
      </c>
      <c r="BF525" s="2" t="str">
        <f>HYPERLINK("http://dx.doi.org/10.35588/ax8yr664","http://dx.doi.org/10.35588/ax8yr664")</f>
        <v>http://dx.doi.org/10.35588/ax8yr664</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4908</v>
      </c>
      <c r="BT525" s="1" t="str">
        <f>HYPERLINK("https%3A%2F%2Fwww.webofscience.com%2Fwos%2Fwoscc%2Ffull-record%2FWOS:001296167100015","View Full Record in Web of Science")</f>
        <v>View Full Record in Web of Science</v>
      </c>
    </row>
    <row r="526" ht="12.75" customHeight="1">
      <c r="A526" s="1" t="s">
        <v>72</v>
      </c>
      <c r="B526" s="1" t="s">
        <v>4909</v>
      </c>
      <c r="C526" s="1" t="s">
        <v>74</v>
      </c>
      <c r="D526" s="1" t="s">
        <v>74</v>
      </c>
      <c r="E526" s="1" t="s">
        <v>74</v>
      </c>
      <c r="F526" s="1" t="s">
        <v>4910</v>
      </c>
      <c r="G526" s="1" t="s">
        <v>74</v>
      </c>
      <c r="H526" s="1" t="s">
        <v>74</v>
      </c>
      <c r="I526" s="1" t="s">
        <v>4911</v>
      </c>
      <c r="J526" s="1" t="s">
        <v>4912</v>
      </c>
      <c r="K526" s="1" t="s">
        <v>74</v>
      </c>
      <c r="L526" s="1" t="s">
        <v>74</v>
      </c>
      <c r="M526" s="1" t="s">
        <v>74</v>
      </c>
      <c r="N526" s="1" t="s">
        <v>74</v>
      </c>
      <c r="O526" s="1" t="s">
        <v>74</v>
      </c>
      <c r="P526" s="1" t="s">
        <v>74</v>
      </c>
      <c r="Q526" s="1" t="s">
        <v>74</v>
      </c>
      <c r="R526" s="1" t="s">
        <v>74</v>
      </c>
      <c r="S526" s="1" t="s">
        <v>74</v>
      </c>
      <c r="T526" s="1" t="s">
        <v>74</v>
      </c>
      <c r="U526" s="1" t="s">
        <v>74</v>
      </c>
      <c r="V526" s="1" t="s">
        <v>4913</v>
      </c>
      <c r="W526" s="1" t="s">
        <v>74</v>
      </c>
      <c r="X526" s="1" t="s">
        <v>74</v>
      </c>
      <c r="Y526" s="1" t="s">
        <v>74</v>
      </c>
      <c r="Z526" s="1" t="s">
        <v>74</v>
      </c>
      <c r="AA526" s="1" t="s">
        <v>4914</v>
      </c>
      <c r="AB526" s="1" t="s">
        <v>4915</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74</v>
      </c>
      <c r="AP526" s="1" t="s">
        <v>4916</v>
      </c>
      <c r="AQ526" s="1" t="s">
        <v>74</v>
      </c>
      <c r="AR526" s="1" t="s">
        <v>74</v>
      </c>
      <c r="AS526" s="1" t="s">
        <v>74</v>
      </c>
      <c r="AT526" s="1" t="s">
        <v>174</v>
      </c>
      <c r="AU526" s="1">
        <v>2024.0</v>
      </c>
      <c r="AV526" s="1">
        <v>13.0</v>
      </c>
      <c r="AW526" s="1">
        <v>4.0</v>
      </c>
      <c r="AX526" s="1" t="s">
        <v>74</v>
      </c>
      <c r="AY526" s="1" t="s">
        <v>74</v>
      </c>
      <c r="AZ526" s="1" t="s">
        <v>74</v>
      </c>
      <c r="BA526" s="1" t="s">
        <v>74</v>
      </c>
      <c r="BB526" s="1" t="s">
        <v>74</v>
      </c>
      <c r="BC526" s="1" t="s">
        <v>74</v>
      </c>
      <c r="BD526" s="1">
        <v>463.0</v>
      </c>
      <c r="BE526" s="1" t="s">
        <v>4917</v>
      </c>
      <c r="BF526" s="2" t="str">
        <f>HYPERLINK("http://dx.doi.org/10.3390/land13040463","http://dx.doi.org/10.3390/land13040463")</f>
        <v>http://dx.doi.org/10.3390/land13040463</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4918</v>
      </c>
      <c r="BT526" s="1" t="str">
        <f>HYPERLINK("https%3A%2F%2Fwww.webofscience.com%2Fwos%2Fwoscc%2Ffull-record%2FWOS:001220477400001","View Full Record in Web of Science")</f>
        <v>View Full Record in Web of Science</v>
      </c>
    </row>
    <row r="527" ht="12.75" customHeight="1">
      <c r="A527" s="1" t="s">
        <v>72</v>
      </c>
      <c r="B527" s="1" t="s">
        <v>4919</v>
      </c>
      <c r="C527" s="1" t="s">
        <v>74</v>
      </c>
      <c r="D527" s="1" t="s">
        <v>74</v>
      </c>
      <c r="E527" s="1" t="s">
        <v>74</v>
      </c>
      <c r="F527" s="1" t="s">
        <v>4920</v>
      </c>
      <c r="G527" s="1" t="s">
        <v>74</v>
      </c>
      <c r="H527" s="1" t="s">
        <v>74</v>
      </c>
      <c r="I527" s="1" t="s">
        <v>4921</v>
      </c>
      <c r="J527" s="1" t="s">
        <v>4922</v>
      </c>
      <c r="K527" s="1" t="s">
        <v>74</v>
      </c>
      <c r="L527" s="1" t="s">
        <v>74</v>
      </c>
      <c r="M527" s="1" t="s">
        <v>74</v>
      </c>
      <c r="N527" s="1" t="s">
        <v>74</v>
      </c>
      <c r="O527" s="1" t="s">
        <v>74</v>
      </c>
      <c r="P527" s="1" t="s">
        <v>74</v>
      </c>
      <c r="Q527" s="1" t="s">
        <v>74</v>
      </c>
      <c r="R527" s="1" t="s">
        <v>74</v>
      </c>
      <c r="S527" s="1" t="s">
        <v>74</v>
      </c>
      <c r="T527" s="1" t="s">
        <v>74</v>
      </c>
      <c r="U527" s="1" t="s">
        <v>74</v>
      </c>
      <c r="V527" s="1" t="s">
        <v>4923</v>
      </c>
      <c r="W527" s="1" t="s">
        <v>74</v>
      </c>
      <c r="X527" s="1" t="s">
        <v>74</v>
      </c>
      <c r="Y527" s="1" t="s">
        <v>74</v>
      </c>
      <c r="Z527" s="1" t="s">
        <v>74</v>
      </c>
      <c r="AA527" s="1" t="s">
        <v>4924</v>
      </c>
      <c r="AB527" s="1" t="s">
        <v>4925</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4926</v>
      </c>
      <c r="AP527" s="1" t="s">
        <v>4927</v>
      </c>
      <c r="AQ527" s="1" t="s">
        <v>74</v>
      </c>
      <c r="AR527" s="1" t="s">
        <v>74</v>
      </c>
      <c r="AS527" s="1" t="s">
        <v>74</v>
      </c>
      <c r="AT527" s="1" t="s">
        <v>94</v>
      </c>
      <c r="AU527" s="1">
        <v>2024.0</v>
      </c>
      <c r="AV527" s="1">
        <v>36.0</v>
      </c>
      <c r="AW527" s="1">
        <v>1.0</v>
      </c>
      <c r="AX527" s="1" t="s">
        <v>74</v>
      </c>
      <c r="AY527" s="1" t="s">
        <v>74</v>
      </c>
      <c r="AZ527" s="1" t="s">
        <v>74</v>
      </c>
      <c r="BA527" s="1" t="s">
        <v>74</v>
      </c>
      <c r="BB527" s="1" t="s">
        <v>74</v>
      </c>
      <c r="BC527" s="1" t="s">
        <v>74</v>
      </c>
      <c r="BD527" s="1">
        <v>101918.0</v>
      </c>
      <c r="BE527" s="1" t="s">
        <v>4928</v>
      </c>
      <c r="BF527" s="2" t="str">
        <f>HYPERLINK("http://dx.doi.org/10.1016/j.jksuci.2024.101918","http://dx.doi.org/10.1016/j.jksuci.2024.101918")</f>
        <v>http://dx.doi.org/10.1016/j.jksuci.2024.101918</v>
      </c>
      <c r="BG527" s="1" t="s">
        <v>74</v>
      </c>
      <c r="BH527" s="1" t="s">
        <v>907</v>
      </c>
      <c r="BI527" s="1" t="s">
        <v>74</v>
      </c>
      <c r="BJ527" s="1" t="s">
        <v>74</v>
      </c>
      <c r="BK527" s="1" t="s">
        <v>74</v>
      </c>
      <c r="BL527" s="1" t="s">
        <v>74</v>
      </c>
      <c r="BM527" s="1" t="s">
        <v>74</v>
      </c>
      <c r="BN527" s="1" t="s">
        <v>74</v>
      </c>
      <c r="BO527" s="1" t="s">
        <v>74</v>
      </c>
      <c r="BP527" s="1" t="s">
        <v>74</v>
      </c>
      <c r="BQ527" s="1" t="s">
        <v>74</v>
      </c>
      <c r="BR527" s="1" t="s">
        <v>74</v>
      </c>
      <c r="BS527" s="1" t="s">
        <v>4929</v>
      </c>
      <c r="BT527" s="1" t="str">
        <f>HYPERLINK("https%3A%2F%2Fwww.webofscience.com%2Fwos%2Fwoscc%2Ffull-record%2FWOS:001170682600001","View Full Record in Web of Science")</f>
        <v>View Full Record in Web of Science</v>
      </c>
    </row>
    <row r="528" ht="12.75" customHeight="1">
      <c r="A528" s="1" t="s">
        <v>72</v>
      </c>
      <c r="B528" s="1" t="s">
        <v>4930</v>
      </c>
      <c r="C528" s="1" t="s">
        <v>74</v>
      </c>
      <c r="D528" s="1" t="s">
        <v>74</v>
      </c>
      <c r="E528" s="1" t="s">
        <v>74</v>
      </c>
      <c r="F528" s="1" t="s">
        <v>4931</v>
      </c>
      <c r="G528" s="1" t="s">
        <v>74</v>
      </c>
      <c r="H528" s="1" t="s">
        <v>74</v>
      </c>
      <c r="I528" s="1" t="s">
        <v>4932</v>
      </c>
      <c r="J528" s="1" t="s">
        <v>4933</v>
      </c>
      <c r="K528" s="1" t="s">
        <v>74</v>
      </c>
      <c r="L528" s="1" t="s">
        <v>74</v>
      </c>
      <c r="M528" s="1" t="s">
        <v>74</v>
      </c>
      <c r="N528" s="1" t="s">
        <v>74</v>
      </c>
      <c r="O528" s="1" t="s">
        <v>74</v>
      </c>
      <c r="P528" s="1" t="s">
        <v>74</v>
      </c>
      <c r="Q528" s="1" t="s">
        <v>74</v>
      </c>
      <c r="R528" s="1" t="s">
        <v>74</v>
      </c>
      <c r="S528" s="1" t="s">
        <v>74</v>
      </c>
      <c r="T528" s="1" t="s">
        <v>74</v>
      </c>
      <c r="U528" s="1" t="s">
        <v>74</v>
      </c>
      <c r="V528" s="1" t="s">
        <v>4934</v>
      </c>
      <c r="W528" s="1" t="s">
        <v>74</v>
      </c>
      <c r="X528" s="1" t="s">
        <v>74</v>
      </c>
      <c r="Y528" s="1" t="s">
        <v>74</v>
      </c>
      <c r="Z528" s="1" t="s">
        <v>74</v>
      </c>
      <c r="AA528" s="1" t="s">
        <v>4935</v>
      </c>
      <c r="AB528" s="1" t="s">
        <v>4936</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74</v>
      </c>
      <c r="AP528" s="1" t="s">
        <v>4937</v>
      </c>
      <c r="AQ528" s="1" t="s">
        <v>74</v>
      </c>
      <c r="AR528" s="1" t="s">
        <v>74</v>
      </c>
      <c r="AS528" s="1" t="s">
        <v>74</v>
      </c>
      <c r="AT528" s="1" t="s">
        <v>94</v>
      </c>
      <c r="AU528" s="1">
        <v>2024.0</v>
      </c>
      <c r="AV528" s="1">
        <v>16.0</v>
      </c>
      <c r="AW528" s="1">
        <v>1.0</v>
      </c>
      <c r="AX528" s="1" t="s">
        <v>74</v>
      </c>
      <c r="AY528" s="1" t="s">
        <v>74</v>
      </c>
      <c r="AZ528" s="1" t="s">
        <v>74</v>
      </c>
      <c r="BA528" s="1" t="s">
        <v>74</v>
      </c>
      <c r="BB528" s="1" t="s">
        <v>74</v>
      </c>
      <c r="BC528" s="1" t="s">
        <v>74</v>
      </c>
      <c r="BD528" s="1">
        <v>123.0</v>
      </c>
      <c r="BE528" s="1" t="s">
        <v>4938</v>
      </c>
      <c r="BF528" s="2" t="str">
        <f>HYPERLINK("http://dx.doi.org/10.3390/sym16010123","http://dx.doi.org/10.3390/sym16010123")</f>
        <v>http://dx.doi.org/10.3390/sym16010123</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4939</v>
      </c>
      <c r="BT528" s="1" t="str">
        <f>HYPERLINK("https%3A%2F%2Fwww.webofscience.com%2Fwos%2Fwoscc%2Ffull-record%2FWOS:001151378500001","View Full Record in Web of Science")</f>
        <v>View Full Record in Web of Science</v>
      </c>
    </row>
    <row r="529" ht="12.75" customHeight="1">
      <c r="A529" s="1" t="s">
        <v>72</v>
      </c>
      <c r="B529" s="1" t="s">
        <v>4940</v>
      </c>
      <c r="C529" s="1" t="s">
        <v>74</v>
      </c>
      <c r="D529" s="1" t="s">
        <v>74</v>
      </c>
      <c r="E529" s="1" t="s">
        <v>74</v>
      </c>
      <c r="F529" s="1" t="s">
        <v>4941</v>
      </c>
      <c r="G529" s="1" t="s">
        <v>74</v>
      </c>
      <c r="H529" s="1" t="s">
        <v>74</v>
      </c>
      <c r="I529" s="1" t="s">
        <v>4942</v>
      </c>
      <c r="J529" s="1" t="s">
        <v>4943</v>
      </c>
      <c r="K529" s="1" t="s">
        <v>74</v>
      </c>
      <c r="L529" s="1" t="s">
        <v>74</v>
      </c>
      <c r="M529" s="1" t="s">
        <v>74</v>
      </c>
      <c r="N529" s="1" t="s">
        <v>74</v>
      </c>
      <c r="O529" s="1" t="s">
        <v>74</v>
      </c>
      <c r="P529" s="1" t="s">
        <v>74</v>
      </c>
      <c r="Q529" s="1" t="s">
        <v>74</v>
      </c>
      <c r="R529" s="1" t="s">
        <v>74</v>
      </c>
      <c r="S529" s="1" t="s">
        <v>74</v>
      </c>
      <c r="T529" s="1" t="s">
        <v>74</v>
      </c>
      <c r="U529" s="1" t="s">
        <v>74</v>
      </c>
      <c r="V529" s="1" t="s">
        <v>4944</v>
      </c>
      <c r="W529" s="1" t="s">
        <v>74</v>
      </c>
      <c r="X529" s="1" t="s">
        <v>74</v>
      </c>
      <c r="Y529" s="1" t="s">
        <v>74</v>
      </c>
      <c r="Z529" s="1" t="s">
        <v>74</v>
      </c>
      <c r="AA529" s="1" t="s">
        <v>4945</v>
      </c>
      <c r="AB529" s="1" t="s">
        <v>4946</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4947</v>
      </c>
      <c r="AP529" s="1" t="s">
        <v>74</v>
      </c>
      <c r="AQ529" s="1" t="s">
        <v>74</v>
      </c>
      <c r="AR529" s="1" t="s">
        <v>74</v>
      </c>
      <c r="AS529" s="1" t="s">
        <v>74</v>
      </c>
      <c r="AT529" s="1" t="s">
        <v>4948</v>
      </c>
      <c r="AU529" s="1">
        <v>2023.0</v>
      </c>
      <c r="AV529" s="1">
        <v>20.0</v>
      </c>
      <c r="AW529" s="1">
        <v>4.0</v>
      </c>
      <c r="AX529" s="1" t="s">
        <v>74</v>
      </c>
      <c r="AY529" s="1" t="s">
        <v>74</v>
      </c>
      <c r="AZ529" s="1" t="s">
        <v>74</v>
      </c>
      <c r="BA529" s="1" t="s">
        <v>74</v>
      </c>
      <c r="BB529" s="1" t="s">
        <v>74</v>
      </c>
      <c r="BC529" s="1" t="s">
        <v>74</v>
      </c>
      <c r="BD529" s="1">
        <v>44007.0</v>
      </c>
      <c r="BE529" s="1" t="s">
        <v>4949</v>
      </c>
      <c r="BF529" s="2" t="str">
        <f>HYPERLINK("http://dx.doi.org/10.1103/PhysRevApplied.20.044007","http://dx.doi.org/10.1103/PhysRevApplied.20.044007")</f>
        <v>http://dx.doi.org/10.1103/PhysRevApplied.20.044007</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4950</v>
      </c>
      <c r="BT529" s="1" t="str">
        <f>HYPERLINK("https%3A%2F%2Fwww.webofscience.com%2Fwos%2Fwoscc%2Ffull-record%2FWOS:001089011200003","View Full Record in Web of Science")</f>
        <v>View Full Record in Web of Science</v>
      </c>
    </row>
    <row r="530" ht="12.75" customHeight="1">
      <c r="A530" s="1" t="s">
        <v>72</v>
      </c>
      <c r="B530" s="1" t="s">
        <v>4951</v>
      </c>
      <c r="C530" s="1" t="s">
        <v>74</v>
      </c>
      <c r="D530" s="1" t="s">
        <v>74</v>
      </c>
      <c r="E530" s="1" t="s">
        <v>74</v>
      </c>
      <c r="F530" s="1" t="s">
        <v>4952</v>
      </c>
      <c r="G530" s="1" t="s">
        <v>74</v>
      </c>
      <c r="H530" s="1" t="s">
        <v>74</v>
      </c>
      <c r="I530" s="1" t="s">
        <v>4953</v>
      </c>
      <c r="J530" s="1" t="s">
        <v>4954</v>
      </c>
      <c r="K530" s="1" t="s">
        <v>74</v>
      </c>
      <c r="L530" s="1" t="s">
        <v>74</v>
      </c>
      <c r="M530" s="1" t="s">
        <v>74</v>
      </c>
      <c r="N530" s="1" t="s">
        <v>74</v>
      </c>
      <c r="O530" s="1" t="s">
        <v>74</v>
      </c>
      <c r="P530" s="1" t="s">
        <v>74</v>
      </c>
      <c r="Q530" s="1" t="s">
        <v>74</v>
      </c>
      <c r="R530" s="1" t="s">
        <v>74</v>
      </c>
      <c r="S530" s="1" t="s">
        <v>74</v>
      </c>
      <c r="T530" s="1" t="s">
        <v>74</v>
      </c>
      <c r="U530" s="1" t="s">
        <v>74</v>
      </c>
      <c r="V530" s="1" t="s">
        <v>74</v>
      </c>
      <c r="W530" s="1" t="s">
        <v>74</v>
      </c>
      <c r="X530" s="1" t="s">
        <v>74</v>
      </c>
      <c r="Y530" s="1" t="s">
        <v>74</v>
      </c>
      <c r="Z530" s="1" t="s">
        <v>74</v>
      </c>
      <c r="AA530" s="1" t="s">
        <v>4955</v>
      </c>
      <c r="AB530" s="1" t="s">
        <v>74</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4956</v>
      </c>
      <c r="AP530" s="1" t="s">
        <v>4957</v>
      </c>
      <c r="AQ530" s="1" t="s">
        <v>74</v>
      </c>
      <c r="AR530" s="1" t="s">
        <v>74</v>
      </c>
      <c r="AS530" s="1" t="s">
        <v>74</v>
      </c>
      <c r="AT530" s="1" t="s">
        <v>106</v>
      </c>
      <c r="AU530" s="1">
        <v>2023.0</v>
      </c>
      <c r="AV530" s="1">
        <v>37.0</v>
      </c>
      <c r="AW530" s="1" t="s">
        <v>74</v>
      </c>
      <c r="AX530" s="1" t="s">
        <v>74</v>
      </c>
      <c r="AY530" s="1">
        <v>1.0</v>
      </c>
      <c r="AZ530" s="1" t="s">
        <v>74</v>
      </c>
      <c r="BA530" s="1">
        <v>315.0</v>
      </c>
      <c r="BB530" s="1" t="s">
        <v>4958</v>
      </c>
      <c r="BC530" s="1" t="s">
        <v>4958</v>
      </c>
      <c r="BD530" s="1" t="s">
        <v>74</v>
      </c>
      <c r="BE530" s="1" t="s">
        <v>74</v>
      </c>
      <c r="BF530" s="1" t="s">
        <v>74</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4959</v>
      </c>
      <c r="BT530" s="1" t="str">
        <f>HYPERLINK("https%3A%2F%2Fwww.webofscience.com%2Fwos%2Fwoscc%2Ffull-record%2FWOS:001161877400568","View Full Record in Web of Science")</f>
        <v>View Full Record in Web of Science</v>
      </c>
    </row>
    <row r="531" ht="12.75" customHeight="1">
      <c r="A531" s="1" t="s">
        <v>72</v>
      </c>
      <c r="B531" s="1" t="s">
        <v>4960</v>
      </c>
      <c r="C531" s="1" t="s">
        <v>74</v>
      </c>
      <c r="D531" s="1" t="s">
        <v>74</v>
      </c>
      <c r="E531" s="1" t="s">
        <v>74</v>
      </c>
      <c r="F531" s="1" t="s">
        <v>4961</v>
      </c>
      <c r="G531" s="1" t="s">
        <v>74</v>
      </c>
      <c r="H531" s="1" t="s">
        <v>74</v>
      </c>
      <c r="I531" s="1" t="s">
        <v>4962</v>
      </c>
      <c r="J531" s="1" t="s">
        <v>4963</v>
      </c>
      <c r="K531" s="1" t="s">
        <v>74</v>
      </c>
      <c r="L531" s="1" t="s">
        <v>74</v>
      </c>
      <c r="M531" s="1" t="s">
        <v>74</v>
      </c>
      <c r="N531" s="1" t="s">
        <v>74</v>
      </c>
      <c r="O531" s="1" t="s">
        <v>74</v>
      </c>
      <c r="P531" s="1" t="s">
        <v>74</v>
      </c>
      <c r="Q531" s="1" t="s">
        <v>74</v>
      </c>
      <c r="R531" s="1" t="s">
        <v>74</v>
      </c>
      <c r="S531" s="1" t="s">
        <v>74</v>
      </c>
      <c r="T531" s="1" t="s">
        <v>74</v>
      </c>
      <c r="U531" s="1" t="s">
        <v>74</v>
      </c>
      <c r="V531" s="1" t="s">
        <v>4964</v>
      </c>
      <c r="W531" s="1" t="s">
        <v>74</v>
      </c>
      <c r="X531" s="1" t="s">
        <v>74</v>
      </c>
      <c r="Y531" s="1" t="s">
        <v>74</v>
      </c>
      <c r="Z531" s="1" t="s">
        <v>74</v>
      </c>
      <c r="AA531" s="1" t="s">
        <v>74</v>
      </c>
      <c r="AB531" s="1" t="s">
        <v>4965</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74</v>
      </c>
      <c r="AP531" s="1" t="s">
        <v>4966</v>
      </c>
      <c r="AQ531" s="1" t="s">
        <v>74</v>
      </c>
      <c r="AR531" s="1" t="s">
        <v>74</v>
      </c>
      <c r="AS531" s="1" t="s">
        <v>74</v>
      </c>
      <c r="AT531" s="1" t="s">
        <v>4967</v>
      </c>
      <c r="AU531" s="1">
        <v>2023.0</v>
      </c>
      <c r="AV531" s="1">
        <v>26.0</v>
      </c>
      <c r="AW531" s="1">
        <v>5.0</v>
      </c>
      <c r="AX531" s="1" t="s">
        <v>74</v>
      </c>
      <c r="AY531" s="1" t="s">
        <v>74</v>
      </c>
      <c r="AZ531" s="1" t="s">
        <v>74</v>
      </c>
      <c r="BA531" s="1" t="s">
        <v>74</v>
      </c>
      <c r="BB531" s="1" t="s">
        <v>74</v>
      </c>
      <c r="BC531" s="1" t="s">
        <v>74</v>
      </c>
      <c r="BD531" s="1">
        <v>106599.0</v>
      </c>
      <c r="BE531" s="1" t="s">
        <v>4968</v>
      </c>
      <c r="BF531" s="2" t="str">
        <f>HYPERLINK("http://dx.doi.org/10.1016/j.isci.2023.106599","http://dx.doi.org/10.1016/j.isci.2023.106599")</f>
        <v>http://dx.doi.org/10.1016/j.isci.2023.106599</v>
      </c>
      <c r="BG531" s="1" t="s">
        <v>74</v>
      </c>
      <c r="BH531" s="1" t="s">
        <v>3089</v>
      </c>
      <c r="BI531" s="1" t="s">
        <v>74</v>
      </c>
      <c r="BJ531" s="1" t="s">
        <v>74</v>
      </c>
      <c r="BK531" s="1" t="s">
        <v>74</v>
      </c>
      <c r="BL531" s="1" t="s">
        <v>74</v>
      </c>
      <c r="BM531" s="1" t="s">
        <v>74</v>
      </c>
      <c r="BN531" s="1">
        <v>3.72503E7</v>
      </c>
      <c r="BO531" s="1" t="s">
        <v>74</v>
      </c>
      <c r="BP531" s="1" t="s">
        <v>74</v>
      </c>
      <c r="BQ531" s="1" t="s">
        <v>74</v>
      </c>
      <c r="BR531" s="1" t="s">
        <v>74</v>
      </c>
      <c r="BS531" s="1" t="s">
        <v>4969</v>
      </c>
      <c r="BT531" s="1" t="str">
        <f>HYPERLINK("https%3A%2F%2Fwww.webofscience.com%2Fwos%2Fwoscc%2Ffull-record%2FWOS:001001107500001","View Full Record in Web of Science")</f>
        <v>View Full Record in Web of Science</v>
      </c>
    </row>
    <row r="532" ht="12.75" customHeight="1">
      <c r="A532" s="1" t="s">
        <v>72</v>
      </c>
      <c r="B532" s="1" t="s">
        <v>4970</v>
      </c>
      <c r="C532" s="1" t="s">
        <v>74</v>
      </c>
      <c r="D532" s="1" t="s">
        <v>74</v>
      </c>
      <c r="E532" s="1" t="s">
        <v>74</v>
      </c>
      <c r="F532" s="1" t="s">
        <v>4971</v>
      </c>
      <c r="G532" s="1" t="s">
        <v>74</v>
      </c>
      <c r="H532" s="1" t="s">
        <v>74</v>
      </c>
      <c r="I532" s="1" t="s">
        <v>4972</v>
      </c>
      <c r="J532" s="1" t="s">
        <v>3407</v>
      </c>
      <c r="K532" s="1" t="s">
        <v>74</v>
      </c>
      <c r="L532" s="1" t="s">
        <v>74</v>
      </c>
      <c r="M532" s="1" t="s">
        <v>74</v>
      </c>
      <c r="N532" s="1" t="s">
        <v>74</v>
      </c>
      <c r="O532" s="1" t="s">
        <v>74</v>
      </c>
      <c r="P532" s="1" t="s">
        <v>74</v>
      </c>
      <c r="Q532" s="1" t="s">
        <v>74</v>
      </c>
      <c r="R532" s="1" t="s">
        <v>74</v>
      </c>
      <c r="S532" s="1" t="s">
        <v>74</v>
      </c>
      <c r="T532" s="1" t="s">
        <v>74</v>
      </c>
      <c r="U532" s="1" t="s">
        <v>74</v>
      </c>
      <c r="V532" s="1" t="s">
        <v>4973</v>
      </c>
      <c r="W532" s="1" t="s">
        <v>74</v>
      </c>
      <c r="X532" s="1" t="s">
        <v>74</v>
      </c>
      <c r="Y532" s="1" t="s">
        <v>74</v>
      </c>
      <c r="Z532" s="1" t="s">
        <v>74</v>
      </c>
      <c r="AA532" s="1" t="s">
        <v>4974</v>
      </c>
      <c r="AB532" s="1" t="s">
        <v>4975</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74</v>
      </c>
      <c r="AP532" s="1" t="s">
        <v>3411</v>
      </c>
      <c r="AQ532" s="1" t="s">
        <v>74</v>
      </c>
      <c r="AR532" s="1" t="s">
        <v>74</v>
      </c>
      <c r="AS532" s="1" t="s">
        <v>74</v>
      </c>
      <c r="AT532" s="1" t="s">
        <v>174</v>
      </c>
      <c r="AU532" s="1">
        <v>2023.0</v>
      </c>
      <c r="AV532" s="1">
        <v>13.0</v>
      </c>
      <c r="AW532" s="1">
        <v>7.0</v>
      </c>
      <c r="AX532" s="1" t="s">
        <v>74</v>
      </c>
      <c r="AY532" s="1" t="s">
        <v>74</v>
      </c>
      <c r="AZ532" s="1" t="s">
        <v>74</v>
      </c>
      <c r="BA532" s="1" t="s">
        <v>74</v>
      </c>
      <c r="BB532" s="1" t="s">
        <v>74</v>
      </c>
      <c r="BC532" s="1" t="s">
        <v>74</v>
      </c>
      <c r="BD532" s="1">
        <v>1265.0</v>
      </c>
      <c r="BE532" s="1" t="s">
        <v>4976</v>
      </c>
      <c r="BF532" s="2" t="str">
        <f>HYPERLINK("http://dx.doi.org/10.3390/nano13071265","http://dx.doi.org/10.3390/nano13071265")</f>
        <v>http://dx.doi.org/10.3390/nano13071265</v>
      </c>
      <c r="BG532" s="1" t="s">
        <v>74</v>
      </c>
      <c r="BH532" s="1" t="s">
        <v>74</v>
      </c>
      <c r="BI532" s="1" t="s">
        <v>74</v>
      </c>
      <c r="BJ532" s="1" t="s">
        <v>74</v>
      </c>
      <c r="BK532" s="1" t="s">
        <v>74</v>
      </c>
      <c r="BL532" s="1" t="s">
        <v>74</v>
      </c>
      <c r="BM532" s="1" t="s">
        <v>74</v>
      </c>
      <c r="BN532" s="1">
        <v>3.7049358E7</v>
      </c>
      <c r="BO532" s="1" t="s">
        <v>74</v>
      </c>
      <c r="BP532" s="1" t="s">
        <v>74</v>
      </c>
      <c r="BQ532" s="1" t="s">
        <v>74</v>
      </c>
      <c r="BR532" s="1" t="s">
        <v>74</v>
      </c>
      <c r="BS532" s="1" t="s">
        <v>4977</v>
      </c>
      <c r="BT532" s="1" t="str">
        <f>HYPERLINK("https%3A%2F%2Fwww.webofscience.com%2Fwos%2Fwoscc%2Ffull-record%2FWOS:000970038500001","View Full Record in Web of Science")</f>
        <v>View Full Record in Web of Science</v>
      </c>
    </row>
    <row r="533" ht="12.75" customHeight="1">
      <c r="A533" s="1" t="s">
        <v>72</v>
      </c>
      <c r="B533" s="1" t="s">
        <v>4978</v>
      </c>
      <c r="C533" s="1" t="s">
        <v>74</v>
      </c>
      <c r="D533" s="1" t="s">
        <v>74</v>
      </c>
      <c r="E533" s="1" t="s">
        <v>74</v>
      </c>
      <c r="F533" s="1" t="s">
        <v>4979</v>
      </c>
      <c r="G533" s="1" t="s">
        <v>74</v>
      </c>
      <c r="H533" s="1" t="s">
        <v>74</v>
      </c>
      <c r="I533" s="1" t="s">
        <v>4980</v>
      </c>
      <c r="J533" s="1" t="s">
        <v>1314</v>
      </c>
      <c r="K533" s="1" t="s">
        <v>74</v>
      </c>
      <c r="L533" s="1" t="s">
        <v>74</v>
      </c>
      <c r="M533" s="1" t="s">
        <v>74</v>
      </c>
      <c r="N533" s="1" t="s">
        <v>74</v>
      </c>
      <c r="O533" s="1" t="s">
        <v>74</v>
      </c>
      <c r="P533" s="1" t="s">
        <v>74</v>
      </c>
      <c r="Q533" s="1" t="s">
        <v>74</v>
      </c>
      <c r="R533" s="1" t="s">
        <v>74</v>
      </c>
      <c r="S533" s="1" t="s">
        <v>74</v>
      </c>
      <c r="T533" s="1" t="s">
        <v>74</v>
      </c>
      <c r="U533" s="1" t="s">
        <v>74</v>
      </c>
      <c r="V533" s="1" t="s">
        <v>4981</v>
      </c>
      <c r="W533" s="1" t="s">
        <v>74</v>
      </c>
      <c r="X533" s="1" t="s">
        <v>74</v>
      </c>
      <c r="Y533" s="1" t="s">
        <v>74</v>
      </c>
      <c r="Z533" s="1" t="s">
        <v>74</v>
      </c>
      <c r="AA533" s="1" t="s">
        <v>1331</v>
      </c>
      <c r="AB533" s="1" t="s">
        <v>4982</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74</v>
      </c>
      <c r="AP533" s="1" t="s">
        <v>1318</v>
      </c>
      <c r="AQ533" s="1" t="s">
        <v>74</v>
      </c>
      <c r="AR533" s="1" t="s">
        <v>74</v>
      </c>
      <c r="AS533" s="1" t="s">
        <v>74</v>
      </c>
      <c r="AT533" s="1" t="s">
        <v>607</v>
      </c>
      <c r="AU533" s="1">
        <v>2023.0</v>
      </c>
      <c r="AV533" s="1">
        <v>15.0</v>
      </c>
      <c r="AW533" s="1">
        <v>3.0</v>
      </c>
      <c r="AX533" s="1" t="s">
        <v>74</v>
      </c>
      <c r="AY533" s="1" t="s">
        <v>74</v>
      </c>
      <c r="AZ533" s="1" t="s">
        <v>74</v>
      </c>
      <c r="BA533" s="1" t="s">
        <v>74</v>
      </c>
      <c r="BB533" s="1" t="s">
        <v>74</v>
      </c>
      <c r="BC533" s="1" t="s">
        <v>74</v>
      </c>
      <c r="BD533" s="1">
        <v>2086.0</v>
      </c>
      <c r="BE533" s="1" t="s">
        <v>4983</v>
      </c>
      <c r="BF533" s="2" t="str">
        <f>HYPERLINK("http://dx.doi.org/10.3390/su15032086","http://dx.doi.org/10.3390/su15032086")</f>
        <v>http://dx.doi.org/10.3390/su15032086</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4984</v>
      </c>
      <c r="BT533" s="1" t="str">
        <f>HYPERLINK("https%3A%2F%2Fwww.webofscience.com%2Fwos%2Fwoscc%2Ffull-record%2FWOS:000932903600001","View Full Record in Web of Science")</f>
        <v>View Full Record in Web of Science</v>
      </c>
    </row>
    <row r="534" ht="12.75" customHeight="1">
      <c r="A534" s="1" t="s">
        <v>72</v>
      </c>
      <c r="B534" s="1" t="s">
        <v>4985</v>
      </c>
      <c r="C534" s="1" t="s">
        <v>74</v>
      </c>
      <c r="D534" s="1" t="s">
        <v>74</v>
      </c>
      <c r="E534" s="1" t="s">
        <v>74</v>
      </c>
      <c r="F534" s="1" t="s">
        <v>4986</v>
      </c>
      <c r="G534" s="1" t="s">
        <v>74</v>
      </c>
      <c r="H534" s="1" t="s">
        <v>74</v>
      </c>
      <c r="I534" s="1" t="s">
        <v>4987</v>
      </c>
      <c r="J534" s="1" t="s">
        <v>4988</v>
      </c>
      <c r="K534" s="1" t="s">
        <v>74</v>
      </c>
      <c r="L534" s="1" t="s">
        <v>74</v>
      </c>
      <c r="M534" s="1" t="s">
        <v>74</v>
      </c>
      <c r="N534" s="1" t="s">
        <v>74</v>
      </c>
      <c r="O534" s="1" t="s">
        <v>74</v>
      </c>
      <c r="P534" s="1" t="s">
        <v>74</v>
      </c>
      <c r="Q534" s="1" t="s">
        <v>74</v>
      </c>
      <c r="R534" s="1" t="s">
        <v>74</v>
      </c>
      <c r="S534" s="1" t="s">
        <v>74</v>
      </c>
      <c r="T534" s="1" t="s">
        <v>74</v>
      </c>
      <c r="U534" s="1" t="s">
        <v>74</v>
      </c>
      <c r="V534" s="1" t="s">
        <v>4989</v>
      </c>
      <c r="W534" s="1" t="s">
        <v>74</v>
      </c>
      <c r="X534" s="1" t="s">
        <v>74</v>
      </c>
      <c r="Y534" s="1" t="s">
        <v>74</v>
      </c>
      <c r="Z534" s="1" t="s">
        <v>74</v>
      </c>
      <c r="AA534" s="1" t="s">
        <v>74</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4990</v>
      </c>
      <c r="AP534" s="1" t="s">
        <v>74</v>
      </c>
      <c r="AQ534" s="1" t="s">
        <v>74</v>
      </c>
      <c r="AR534" s="1" t="s">
        <v>74</v>
      </c>
      <c r="AS534" s="1" t="s">
        <v>74</v>
      </c>
      <c r="AT534" s="1" t="s">
        <v>74</v>
      </c>
      <c r="AU534" s="1">
        <v>2023.0</v>
      </c>
      <c r="AV534" s="1">
        <v>11.0</v>
      </c>
      <c r="AW534" s="1">
        <v>20.0</v>
      </c>
      <c r="AX534" s="1" t="s">
        <v>74</v>
      </c>
      <c r="AY534" s="1" t="s">
        <v>74</v>
      </c>
      <c r="AZ534" s="1" t="s">
        <v>74</v>
      </c>
      <c r="BA534" s="1" t="s">
        <v>74</v>
      </c>
      <c r="BB534" s="1">
        <v>80.0</v>
      </c>
      <c r="BC534" s="1">
        <v>113.0</v>
      </c>
      <c r="BD534" s="1" t="s">
        <v>74</v>
      </c>
      <c r="BE534" s="1" t="s">
        <v>4991</v>
      </c>
      <c r="BF534" s="2" t="str">
        <f>HYPERLINK("http://dx.doi.org/10.5195/ct/2023.602","http://dx.doi.org/10.5195/ct/2023.602")</f>
        <v>http://dx.doi.org/10.5195/ct/2023.602</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4992</v>
      </c>
      <c r="BT534" s="1" t="str">
        <f>HYPERLINK("https%3A%2F%2Fwww.webofscience.com%2Fwos%2Fwoscc%2Ffull-record%2FWOS:001044368200003","View Full Record in Web of Science")</f>
        <v>View Full Record in Web of Science</v>
      </c>
    </row>
    <row r="535" ht="12.75" customHeight="1">
      <c r="A535" s="1" t="s">
        <v>72</v>
      </c>
      <c r="B535" s="1" t="s">
        <v>4993</v>
      </c>
      <c r="C535" s="1" t="s">
        <v>74</v>
      </c>
      <c r="D535" s="1" t="s">
        <v>74</v>
      </c>
      <c r="E535" s="1" t="s">
        <v>74</v>
      </c>
      <c r="F535" s="1" t="s">
        <v>4994</v>
      </c>
      <c r="G535" s="1" t="s">
        <v>74</v>
      </c>
      <c r="H535" s="1" t="s">
        <v>74</v>
      </c>
      <c r="I535" s="1" t="s">
        <v>4995</v>
      </c>
      <c r="J535" s="1" t="s">
        <v>4996</v>
      </c>
      <c r="K535" s="1" t="s">
        <v>74</v>
      </c>
      <c r="L535" s="1" t="s">
        <v>74</v>
      </c>
      <c r="M535" s="1" t="s">
        <v>74</v>
      </c>
      <c r="N535" s="1" t="s">
        <v>74</v>
      </c>
      <c r="O535" s="1" t="s">
        <v>74</v>
      </c>
      <c r="P535" s="1" t="s">
        <v>74</v>
      </c>
      <c r="Q535" s="1" t="s">
        <v>74</v>
      </c>
      <c r="R535" s="1" t="s">
        <v>74</v>
      </c>
      <c r="S535" s="1" t="s">
        <v>74</v>
      </c>
      <c r="T535" s="1" t="s">
        <v>74</v>
      </c>
      <c r="U535" s="1" t="s">
        <v>74</v>
      </c>
      <c r="V535" s="1" t="s">
        <v>4997</v>
      </c>
      <c r="W535" s="1" t="s">
        <v>74</v>
      </c>
      <c r="X535" s="1" t="s">
        <v>74</v>
      </c>
      <c r="Y535" s="1" t="s">
        <v>74</v>
      </c>
      <c r="Z535" s="1" t="s">
        <v>74</v>
      </c>
      <c r="AA535" s="1" t="s">
        <v>74</v>
      </c>
      <c r="AB535" s="1" t="s">
        <v>74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74</v>
      </c>
      <c r="AP535" s="1" t="s">
        <v>4998</v>
      </c>
      <c r="AQ535" s="1" t="s">
        <v>74</v>
      </c>
      <c r="AR535" s="1" t="s">
        <v>74</v>
      </c>
      <c r="AS535" s="1" t="s">
        <v>74</v>
      </c>
      <c r="AT535" s="1" t="s">
        <v>74</v>
      </c>
      <c r="AU535" s="1">
        <v>2023.0</v>
      </c>
      <c r="AV535" s="1">
        <v>25.0</v>
      </c>
      <c r="AW535" s="1" t="s">
        <v>74</v>
      </c>
      <c r="AX535" s="1" t="s">
        <v>74</v>
      </c>
      <c r="AY535" s="1" t="s">
        <v>74</v>
      </c>
      <c r="AZ535" s="1" t="s">
        <v>74</v>
      </c>
      <c r="BA535" s="1" t="s">
        <v>74</v>
      </c>
      <c r="BB535" s="1" t="s">
        <v>74</v>
      </c>
      <c r="BC535" s="1" t="s">
        <v>74</v>
      </c>
      <c r="BD535" s="1" t="s">
        <v>4999</v>
      </c>
      <c r="BE535" s="1" t="s">
        <v>5000</v>
      </c>
      <c r="BF535" s="2" t="str">
        <f>HYPERLINK("http://dx.doi.org/10.24320/redie.2023.25.e23.4670","http://dx.doi.org/10.24320/redie.2023.25.e23.4670")</f>
        <v>http://dx.doi.org/10.24320/redie.2023.25.e23.4670</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5001</v>
      </c>
      <c r="BT535" s="1" t="str">
        <f>HYPERLINK("https%3A%2F%2Fwww.webofscience.com%2Fwos%2Fwoscc%2Ffull-record%2FWOS:001111046600001","View Full Record in Web of Science")</f>
        <v>View Full Record in Web of Science</v>
      </c>
    </row>
    <row r="536" ht="12.75" customHeight="1">
      <c r="A536" s="1" t="s">
        <v>72</v>
      </c>
      <c r="B536" s="1" t="s">
        <v>5002</v>
      </c>
      <c r="C536" s="1" t="s">
        <v>74</v>
      </c>
      <c r="D536" s="1" t="s">
        <v>74</v>
      </c>
      <c r="E536" s="1" t="s">
        <v>74</v>
      </c>
      <c r="F536" s="1" t="s">
        <v>5003</v>
      </c>
      <c r="G536" s="1" t="s">
        <v>74</v>
      </c>
      <c r="H536" s="1" t="s">
        <v>74</v>
      </c>
      <c r="I536" s="1" t="s">
        <v>5004</v>
      </c>
      <c r="J536" s="1" t="s">
        <v>5005</v>
      </c>
      <c r="K536" s="1" t="s">
        <v>74</v>
      </c>
      <c r="L536" s="1" t="s">
        <v>74</v>
      </c>
      <c r="M536" s="1" t="s">
        <v>74</v>
      </c>
      <c r="N536" s="1" t="s">
        <v>74</v>
      </c>
      <c r="O536" s="1" t="s">
        <v>74</v>
      </c>
      <c r="P536" s="1" t="s">
        <v>74</v>
      </c>
      <c r="Q536" s="1" t="s">
        <v>74</v>
      </c>
      <c r="R536" s="1" t="s">
        <v>74</v>
      </c>
      <c r="S536" s="1" t="s">
        <v>74</v>
      </c>
      <c r="T536" s="1" t="s">
        <v>74</v>
      </c>
      <c r="U536" s="1" t="s">
        <v>74</v>
      </c>
      <c r="V536" s="1" t="s">
        <v>5006</v>
      </c>
      <c r="W536" s="1" t="s">
        <v>74</v>
      </c>
      <c r="X536" s="1" t="s">
        <v>74</v>
      </c>
      <c r="Y536" s="1" t="s">
        <v>74</v>
      </c>
      <c r="Z536" s="1" t="s">
        <v>74</v>
      </c>
      <c r="AA536" s="1" t="s">
        <v>5007</v>
      </c>
      <c r="AB536" s="1" t="s">
        <v>5008</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5009</v>
      </c>
      <c r="AP536" s="1" t="s">
        <v>5010</v>
      </c>
      <c r="AQ536" s="1" t="s">
        <v>74</v>
      </c>
      <c r="AR536" s="1" t="s">
        <v>74</v>
      </c>
      <c r="AS536" s="1" t="s">
        <v>74</v>
      </c>
      <c r="AT536" s="1" t="s">
        <v>5011</v>
      </c>
      <c r="AU536" s="1">
        <v>2022.0</v>
      </c>
      <c r="AV536" s="1">
        <v>44.0</v>
      </c>
      <c r="AW536" s="1">
        <v>4.0</v>
      </c>
      <c r="AX536" s="1" t="s">
        <v>74</v>
      </c>
      <c r="AY536" s="1" t="s">
        <v>74</v>
      </c>
      <c r="AZ536" s="1" t="s">
        <v>74</v>
      </c>
      <c r="BA536" s="1" t="s">
        <v>74</v>
      </c>
      <c r="BB536" s="1">
        <v>531.0</v>
      </c>
      <c r="BC536" s="1">
        <v>541.0</v>
      </c>
      <c r="BD536" s="1" t="s">
        <v>74</v>
      </c>
      <c r="BE536" s="1" t="s">
        <v>5012</v>
      </c>
      <c r="BF536" s="2" t="str">
        <f>HYPERLINK("http://dx.doi.org/10.12989/scs.2022.44.4.531","http://dx.doi.org/10.12989/scs.2022.44.4.531")</f>
        <v>http://dx.doi.org/10.12989/scs.2022.44.4.531</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5013</v>
      </c>
      <c r="BT536" s="1" t="str">
        <f>HYPERLINK("https%3A%2F%2Fwww.webofscience.com%2Fwos%2Fwoscc%2Ffull-record%2FWOS:000882961000007","View Full Record in Web of Science")</f>
        <v>View Full Record in Web of Science</v>
      </c>
    </row>
    <row r="537" ht="12.75" customHeight="1">
      <c r="A537" s="1" t="s">
        <v>72</v>
      </c>
      <c r="B537" s="1" t="s">
        <v>5014</v>
      </c>
      <c r="C537" s="1" t="s">
        <v>74</v>
      </c>
      <c r="D537" s="1" t="s">
        <v>74</v>
      </c>
      <c r="E537" s="1" t="s">
        <v>74</v>
      </c>
      <c r="F537" s="1" t="s">
        <v>5015</v>
      </c>
      <c r="G537" s="1" t="s">
        <v>74</v>
      </c>
      <c r="H537" s="1" t="s">
        <v>74</v>
      </c>
      <c r="I537" s="1" t="s">
        <v>5016</v>
      </c>
      <c r="J537" s="1" t="s">
        <v>5017</v>
      </c>
      <c r="K537" s="1" t="s">
        <v>74</v>
      </c>
      <c r="L537" s="1" t="s">
        <v>74</v>
      </c>
      <c r="M537" s="1" t="s">
        <v>74</v>
      </c>
      <c r="N537" s="1" t="s">
        <v>74</v>
      </c>
      <c r="O537" s="1" t="s">
        <v>74</v>
      </c>
      <c r="P537" s="1" t="s">
        <v>74</v>
      </c>
      <c r="Q537" s="1" t="s">
        <v>74</v>
      </c>
      <c r="R537" s="1" t="s">
        <v>74</v>
      </c>
      <c r="S537" s="1" t="s">
        <v>74</v>
      </c>
      <c r="T537" s="1" t="s">
        <v>74</v>
      </c>
      <c r="U537" s="1" t="s">
        <v>74</v>
      </c>
      <c r="V537" s="1" t="s">
        <v>5018</v>
      </c>
      <c r="W537" s="1" t="s">
        <v>74</v>
      </c>
      <c r="X537" s="1" t="s">
        <v>74</v>
      </c>
      <c r="Y537" s="1" t="s">
        <v>74</v>
      </c>
      <c r="Z537" s="1" t="s">
        <v>74</v>
      </c>
      <c r="AA537" s="1" t="s">
        <v>5019</v>
      </c>
      <c r="AB537" s="1" t="s">
        <v>5020</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5021</v>
      </c>
      <c r="AP537" s="1" t="s">
        <v>5022</v>
      </c>
      <c r="AQ537" s="1" t="s">
        <v>74</v>
      </c>
      <c r="AR537" s="1" t="s">
        <v>74</v>
      </c>
      <c r="AS537" s="1" t="s">
        <v>74</v>
      </c>
      <c r="AT537" s="1" t="s">
        <v>116</v>
      </c>
      <c r="AU537" s="1">
        <v>2022.0</v>
      </c>
      <c r="AV537" s="1">
        <v>2.0</v>
      </c>
      <c r="AW537" s="1">
        <v>3.0</v>
      </c>
      <c r="AX537" s="1" t="s">
        <v>74</v>
      </c>
      <c r="AY537" s="1" t="s">
        <v>74</v>
      </c>
      <c r="AZ537" s="1" t="s">
        <v>74</v>
      </c>
      <c r="BA537" s="1" t="s">
        <v>74</v>
      </c>
      <c r="BB537" s="1">
        <v>393.0</v>
      </c>
      <c r="BC537" s="1">
        <v>412.0</v>
      </c>
      <c r="BD537" s="1" t="s">
        <v>74</v>
      </c>
      <c r="BE537" s="1" t="s">
        <v>5023</v>
      </c>
      <c r="BF537" s="2" t="str">
        <f>HYPERLINK("http://dx.doi.org/10.1007/s43393-021-00068-2","http://dx.doi.org/10.1007/s43393-021-00068-2")</f>
        <v>http://dx.doi.org/10.1007/s43393-021-00068-2</v>
      </c>
      <c r="BG537" s="1" t="s">
        <v>74</v>
      </c>
      <c r="BH537" s="1" t="s">
        <v>74</v>
      </c>
      <c r="BI537" s="1" t="s">
        <v>74</v>
      </c>
      <c r="BJ537" s="1" t="s">
        <v>74</v>
      </c>
      <c r="BK537" s="1" t="s">
        <v>74</v>
      </c>
      <c r="BL537" s="1" t="s">
        <v>74</v>
      </c>
      <c r="BM537" s="1" t="s">
        <v>74</v>
      </c>
      <c r="BN537" s="1">
        <v>3.8624767E7</v>
      </c>
      <c r="BO537" s="1" t="s">
        <v>74</v>
      </c>
      <c r="BP537" s="1" t="s">
        <v>74</v>
      </c>
      <c r="BQ537" s="1" t="s">
        <v>74</v>
      </c>
      <c r="BR537" s="1" t="s">
        <v>74</v>
      </c>
      <c r="BS537" s="1" t="s">
        <v>5024</v>
      </c>
      <c r="BT537" s="1" t="str">
        <f>HYPERLINK("https%3A%2F%2Fwww.webofscience.com%2Fwos%2Fwoscc%2Ffull-record%2FWOS:001205780300009","View Full Record in Web of Science")</f>
        <v>View Full Record in Web of Science</v>
      </c>
    </row>
    <row r="538" ht="12.75" customHeight="1">
      <c r="A538" s="1" t="s">
        <v>72</v>
      </c>
      <c r="B538" s="1" t="s">
        <v>5025</v>
      </c>
      <c r="C538" s="1" t="s">
        <v>74</v>
      </c>
      <c r="D538" s="1" t="s">
        <v>74</v>
      </c>
      <c r="E538" s="1" t="s">
        <v>74</v>
      </c>
      <c r="F538" s="1" t="s">
        <v>5026</v>
      </c>
      <c r="G538" s="1" t="s">
        <v>74</v>
      </c>
      <c r="H538" s="1" t="s">
        <v>74</v>
      </c>
      <c r="I538" s="1" t="s">
        <v>5027</v>
      </c>
      <c r="J538" s="1" t="s">
        <v>5028</v>
      </c>
      <c r="K538" s="1" t="s">
        <v>74</v>
      </c>
      <c r="L538" s="1" t="s">
        <v>74</v>
      </c>
      <c r="M538" s="1" t="s">
        <v>74</v>
      </c>
      <c r="N538" s="1" t="s">
        <v>74</v>
      </c>
      <c r="O538" s="1" t="s">
        <v>74</v>
      </c>
      <c r="P538" s="1" t="s">
        <v>74</v>
      </c>
      <c r="Q538" s="1" t="s">
        <v>74</v>
      </c>
      <c r="R538" s="1" t="s">
        <v>74</v>
      </c>
      <c r="S538" s="1" t="s">
        <v>74</v>
      </c>
      <c r="T538" s="1" t="s">
        <v>74</v>
      </c>
      <c r="U538" s="1" t="s">
        <v>74</v>
      </c>
      <c r="V538" s="1" t="s">
        <v>5029</v>
      </c>
      <c r="W538" s="1" t="s">
        <v>74</v>
      </c>
      <c r="X538" s="1" t="s">
        <v>74</v>
      </c>
      <c r="Y538" s="1" t="s">
        <v>74</v>
      </c>
      <c r="Z538" s="1" t="s">
        <v>74</v>
      </c>
      <c r="AA538" s="1" t="s">
        <v>5030</v>
      </c>
      <c r="AB538" s="1" t="s">
        <v>5031</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74</v>
      </c>
      <c r="AP538" s="1" t="s">
        <v>5032</v>
      </c>
      <c r="AQ538" s="1" t="s">
        <v>74</v>
      </c>
      <c r="AR538" s="1" t="s">
        <v>74</v>
      </c>
      <c r="AS538" s="1" t="s">
        <v>74</v>
      </c>
      <c r="AT538" s="1" t="s">
        <v>183</v>
      </c>
      <c r="AU538" s="1">
        <v>2022.0</v>
      </c>
      <c r="AV538" s="1">
        <v>15.0</v>
      </c>
      <c r="AW538" s="1">
        <v>9.0</v>
      </c>
      <c r="AX538" s="1" t="s">
        <v>74</v>
      </c>
      <c r="AY538" s="1" t="s">
        <v>74</v>
      </c>
      <c r="AZ538" s="1" t="s">
        <v>74</v>
      </c>
      <c r="BA538" s="1" t="s">
        <v>74</v>
      </c>
      <c r="BB538" s="1" t="s">
        <v>74</v>
      </c>
      <c r="BC538" s="1" t="s">
        <v>74</v>
      </c>
      <c r="BD538" s="1">
        <v>3384.0</v>
      </c>
      <c r="BE538" s="1" t="s">
        <v>5033</v>
      </c>
      <c r="BF538" s="2" t="str">
        <f>HYPERLINK("http://dx.doi.org/10.3390/en15093384","http://dx.doi.org/10.3390/en15093384")</f>
        <v>http://dx.doi.org/10.3390/en15093384</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5034</v>
      </c>
      <c r="BT538" s="1" t="str">
        <f>HYPERLINK("https%3A%2F%2Fwww.webofscience.com%2Fwos%2Fwoscc%2Ffull-record%2FWOS:000794864100001","View Full Record in Web of Science")</f>
        <v>View Full Record in Web of Science</v>
      </c>
    </row>
    <row r="539" ht="12.75" customHeight="1">
      <c r="A539" s="1" t="s">
        <v>72</v>
      </c>
      <c r="B539" s="1" t="s">
        <v>5035</v>
      </c>
      <c r="C539" s="1" t="s">
        <v>74</v>
      </c>
      <c r="D539" s="1" t="s">
        <v>74</v>
      </c>
      <c r="E539" s="1" t="s">
        <v>74</v>
      </c>
      <c r="F539" s="1" t="s">
        <v>5036</v>
      </c>
      <c r="G539" s="1" t="s">
        <v>74</v>
      </c>
      <c r="H539" s="1" t="s">
        <v>74</v>
      </c>
      <c r="I539" s="1" t="s">
        <v>5037</v>
      </c>
      <c r="J539" s="1" t="s">
        <v>5038</v>
      </c>
      <c r="K539" s="1" t="s">
        <v>74</v>
      </c>
      <c r="L539" s="1" t="s">
        <v>74</v>
      </c>
      <c r="M539" s="1" t="s">
        <v>74</v>
      </c>
      <c r="N539" s="1" t="s">
        <v>74</v>
      </c>
      <c r="O539" s="1" t="s">
        <v>74</v>
      </c>
      <c r="P539" s="1" t="s">
        <v>74</v>
      </c>
      <c r="Q539" s="1" t="s">
        <v>74</v>
      </c>
      <c r="R539" s="1" t="s">
        <v>74</v>
      </c>
      <c r="S539" s="1" t="s">
        <v>74</v>
      </c>
      <c r="T539" s="1" t="s">
        <v>74</v>
      </c>
      <c r="U539" s="1" t="s">
        <v>74</v>
      </c>
      <c r="V539" s="1" t="s">
        <v>5039</v>
      </c>
      <c r="W539" s="1" t="s">
        <v>74</v>
      </c>
      <c r="X539" s="1" t="s">
        <v>74</v>
      </c>
      <c r="Y539" s="1" t="s">
        <v>74</v>
      </c>
      <c r="Z539" s="1" t="s">
        <v>74</v>
      </c>
      <c r="AA539" s="1" t="s">
        <v>5040</v>
      </c>
      <c r="AB539" s="1" t="s">
        <v>5041</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5042</v>
      </c>
      <c r="AP539" s="1" t="s">
        <v>5043</v>
      </c>
      <c r="AQ539" s="1" t="s">
        <v>74</v>
      </c>
      <c r="AR539" s="1" t="s">
        <v>74</v>
      </c>
      <c r="AS539" s="1" t="s">
        <v>74</v>
      </c>
      <c r="AT539" s="1" t="s">
        <v>607</v>
      </c>
      <c r="AU539" s="1">
        <v>2022.0</v>
      </c>
      <c r="AV539" s="1">
        <v>43.0</v>
      </c>
      <c r="AW539" s="1">
        <v>1.0</v>
      </c>
      <c r="AX539" s="1" t="s">
        <v>74</v>
      </c>
      <c r="AY539" s="1" t="s">
        <v>74</v>
      </c>
      <c r="AZ539" s="1" t="s">
        <v>2319</v>
      </c>
      <c r="BA539" s="1" t="s">
        <v>74</v>
      </c>
      <c r="BB539" s="1">
        <v>3.0</v>
      </c>
      <c r="BC539" s="1">
        <v>12.0</v>
      </c>
      <c r="BD539" s="1" t="s">
        <v>74</v>
      </c>
      <c r="BE539" s="1" t="s">
        <v>5044</v>
      </c>
      <c r="BF539" s="2" t="str">
        <f>HYPERLINK("http://dx.doi.org/10.1007/s11107-022-00963-1","http://dx.doi.org/10.1007/s11107-022-00963-1")</f>
        <v>http://dx.doi.org/10.1007/s11107-022-00963-1</v>
      </c>
      <c r="BG539" s="1" t="s">
        <v>74</v>
      </c>
      <c r="BH539" s="1" t="s">
        <v>1335</v>
      </c>
      <c r="BI539" s="1" t="s">
        <v>74</v>
      </c>
      <c r="BJ539" s="1" t="s">
        <v>74</v>
      </c>
      <c r="BK539" s="1" t="s">
        <v>74</v>
      </c>
      <c r="BL539" s="1" t="s">
        <v>74</v>
      </c>
      <c r="BM539" s="1" t="s">
        <v>74</v>
      </c>
      <c r="BN539" s="1" t="s">
        <v>74</v>
      </c>
      <c r="BO539" s="1" t="s">
        <v>74</v>
      </c>
      <c r="BP539" s="1" t="s">
        <v>74</v>
      </c>
      <c r="BQ539" s="1" t="s">
        <v>74</v>
      </c>
      <c r="BR539" s="1" t="s">
        <v>74</v>
      </c>
      <c r="BS539" s="1" t="s">
        <v>5045</v>
      </c>
      <c r="BT539" s="1" t="str">
        <f>HYPERLINK("https%3A%2F%2Fwww.webofscience.com%2Fwos%2Fwoscc%2Ffull-record%2FWOS:000753233700001","View Full Record in Web of Science")</f>
        <v>View Full Record in Web of Science</v>
      </c>
    </row>
    <row r="540" ht="12.75" customHeight="1">
      <c r="A540" s="1" t="s">
        <v>72</v>
      </c>
      <c r="B540" s="1" t="s">
        <v>5046</v>
      </c>
      <c r="C540" s="1" t="s">
        <v>74</v>
      </c>
      <c r="D540" s="1" t="s">
        <v>74</v>
      </c>
      <c r="E540" s="1" t="s">
        <v>74</v>
      </c>
      <c r="F540" s="1" t="s">
        <v>5047</v>
      </c>
      <c r="G540" s="1" t="s">
        <v>74</v>
      </c>
      <c r="H540" s="1" t="s">
        <v>74</v>
      </c>
      <c r="I540" s="1" t="s">
        <v>5048</v>
      </c>
      <c r="J540" s="1" t="s">
        <v>5049</v>
      </c>
      <c r="K540" s="1" t="s">
        <v>74</v>
      </c>
      <c r="L540" s="1" t="s">
        <v>74</v>
      </c>
      <c r="M540" s="1" t="s">
        <v>74</v>
      </c>
      <c r="N540" s="1" t="s">
        <v>74</v>
      </c>
      <c r="O540" s="1" t="s">
        <v>74</v>
      </c>
      <c r="P540" s="1" t="s">
        <v>74</v>
      </c>
      <c r="Q540" s="1" t="s">
        <v>74</v>
      </c>
      <c r="R540" s="1" t="s">
        <v>74</v>
      </c>
      <c r="S540" s="1" t="s">
        <v>74</v>
      </c>
      <c r="T540" s="1" t="s">
        <v>74</v>
      </c>
      <c r="U540" s="1" t="s">
        <v>74</v>
      </c>
      <c r="V540" s="1" t="s">
        <v>5050</v>
      </c>
      <c r="W540" s="1" t="s">
        <v>74</v>
      </c>
      <c r="X540" s="1" t="s">
        <v>74</v>
      </c>
      <c r="Y540" s="1" t="s">
        <v>74</v>
      </c>
      <c r="Z540" s="1" t="s">
        <v>74</v>
      </c>
      <c r="AA540" s="1" t="s">
        <v>74</v>
      </c>
      <c r="AB540" s="1" t="s">
        <v>74</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5051</v>
      </c>
      <c r="AP540" s="1" t="s">
        <v>74</v>
      </c>
      <c r="AQ540" s="1" t="s">
        <v>74</v>
      </c>
      <c r="AR540" s="1" t="s">
        <v>74</v>
      </c>
      <c r="AS540" s="1" t="s">
        <v>74</v>
      </c>
      <c r="AT540" s="1" t="s">
        <v>74</v>
      </c>
      <c r="AU540" s="1">
        <v>2022.0</v>
      </c>
      <c r="AV540" s="1">
        <v>16.0</v>
      </c>
      <c r="AW540" s="1">
        <v>3.0</v>
      </c>
      <c r="AX540" s="1" t="s">
        <v>74</v>
      </c>
      <c r="AY540" s="1" t="s">
        <v>74</v>
      </c>
      <c r="AZ540" s="1" t="s">
        <v>74</v>
      </c>
      <c r="BA540" s="1" t="s">
        <v>74</v>
      </c>
      <c r="BB540" s="1" t="s">
        <v>74</v>
      </c>
      <c r="BC540" s="1" t="s">
        <v>74</v>
      </c>
      <c r="BD540" s="1" t="s">
        <v>74</v>
      </c>
      <c r="BE540" s="1" t="s">
        <v>74</v>
      </c>
      <c r="BF540" s="1" t="s">
        <v>74</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5052</v>
      </c>
      <c r="BT540" s="1" t="str">
        <f>HYPERLINK("https%3A%2F%2Fwww.webofscience.com%2Fwos%2Fwoscc%2Ffull-record%2FWOS:000972463200005","View Full Record in Web of Science")</f>
        <v>View Full Record in Web of Science</v>
      </c>
    </row>
    <row r="541" ht="12.75" customHeight="1">
      <c r="A541" s="1" t="s">
        <v>72</v>
      </c>
      <c r="B541" s="1" t="s">
        <v>5053</v>
      </c>
      <c r="C541" s="1" t="s">
        <v>74</v>
      </c>
      <c r="D541" s="1" t="s">
        <v>74</v>
      </c>
      <c r="E541" s="1" t="s">
        <v>74</v>
      </c>
      <c r="F541" s="1" t="s">
        <v>5054</v>
      </c>
      <c r="G541" s="1" t="s">
        <v>74</v>
      </c>
      <c r="H541" s="1" t="s">
        <v>74</v>
      </c>
      <c r="I541" s="1" t="s">
        <v>5055</v>
      </c>
      <c r="J541" s="1" t="s">
        <v>5056</v>
      </c>
      <c r="K541" s="1" t="s">
        <v>74</v>
      </c>
      <c r="L541" s="1" t="s">
        <v>74</v>
      </c>
      <c r="M541" s="1" t="s">
        <v>74</v>
      </c>
      <c r="N541" s="1" t="s">
        <v>74</v>
      </c>
      <c r="O541" s="1" t="s">
        <v>74</v>
      </c>
      <c r="P541" s="1" t="s">
        <v>74</v>
      </c>
      <c r="Q541" s="1" t="s">
        <v>74</v>
      </c>
      <c r="R541" s="1" t="s">
        <v>74</v>
      </c>
      <c r="S541" s="1" t="s">
        <v>74</v>
      </c>
      <c r="T541" s="1" t="s">
        <v>74</v>
      </c>
      <c r="U541" s="1" t="s">
        <v>74</v>
      </c>
      <c r="V541" s="1" t="s">
        <v>5057</v>
      </c>
      <c r="W541" s="1" t="s">
        <v>74</v>
      </c>
      <c r="X541" s="1" t="s">
        <v>74</v>
      </c>
      <c r="Y541" s="1" t="s">
        <v>74</v>
      </c>
      <c r="Z541" s="1" t="s">
        <v>74</v>
      </c>
      <c r="AA541" s="1" t="s">
        <v>74</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5058</v>
      </c>
      <c r="AP541" s="1" t="s">
        <v>5059</v>
      </c>
      <c r="AQ541" s="1" t="s">
        <v>74</v>
      </c>
      <c r="AR541" s="1" t="s">
        <v>74</v>
      </c>
      <c r="AS541" s="1" t="s">
        <v>74</v>
      </c>
      <c r="AT541" s="1" t="s">
        <v>680</v>
      </c>
      <c r="AU541" s="1">
        <v>2022.0</v>
      </c>
      <c r="AV541" s="1" t="s">
        <v>74</v>
      </c>
      <c r="AW541" s="1">
        <v>28.0</v>
      </c>
      <c r="AX541" s="1" t="s">
        <v>74</v>
      </c>
      <c r="AY541" s="1" t="s">
        <v>74</v>
      </c>
      <c r="AZ541" s="1" t="s">
        <v>74</v>
      </c>
      <c r="BA541" s="1" t="s">
        <v>74</v>
      </c>
      <c r="BB541" s="1">
        <v>116.0</v>
      </c>
      <c r="BC541" s="1">
        <v>135.0</v>
      </c>
      <c r="BD541" s="1" t="s">
        <v>74</v>
      </c>
      <c r="BE541" s="1" t="s">
        <v>74</v>
      </c>
      <c r="BF541" s="1" t="s">
        <v>74</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5060</v>
      </c>
      <c r="BT541" s="1" t="str">
        <f>HYPERLINK("https%3A%2F%2Fwww.webofscience.com%2Fwos%2Fwoscc%2Ffull-record%2FWOS:000715741600008","View Full Record in Web of Science")</f>
        <v>View Full Record in Web of Science</v>
      </c>
    </row>
    <row r="542" ht="12.75" customHeight="1">
      <c r="A542" s="1" t="s">
        <v>72</v>
      </c>
      <c r="B542" s="1" t="s">
        <v>5061</v>
      </c>
      <c r="C542" s="1" t="s">
        <v>74</v>
      </c>
      <c r="D542" s="1" t="s">
        <v>74</v>
      </c>
      <c r="E542" s="1" t="s">
        <v>74</v>
      </c>
      <c r="F542" s="1" t="s">
        <v>5062</v>
      </c>
      <c r="G542" s="1" t="s">
        <v>74</v>
      </c>
      <c r="H542" s="1" t="s">
        <v>74</v>
      </c>
      <c r="I542" s="1" t="s">
        <v>5063</v>
      </c>
      <c r="J542" s="1" t="s">
        <v>5064</v>
      </c>
      <c r="K542" s="1" t="s">
        <v>74</v>
      </c>
      <c r="L542" s="1" t="s">
        <v>74</v>
      </c>
      <c r="M542" s="1" t="s">
        <v>74</v>
      </c>
      <c r="N542" s="1" t="s">
        <v>74</v>
      </c>
      <c r="O542" s="1" t="s">
        <v>74</v>
      </c>
      <c r="P542" s="1" t="s">
        <v>74</v>
      </c>
      <c r="Q542" s="1" t="s">
        <v>74</v>
      </c>
      <c r="R542" s="1" t="s">
        <v>74</v>
      </c>
      <c r="S542" s="1" t="s">
        <v>74</v>
      </c>
      <c r="T542" s="1" t="s">
        <v>74</v>
      </c>
      <c r="U542" s="1" t="s">
        <v>74</v>
      </c>
      <c r="V542" s="1" t="s">
        <v>5065</v>
      </c>
      <c r="W542" s="1" t="s">
        <v>74</v>
      </c>
      <c r="X542" s="1" t="s">
        <v>74</v>
      </c>
      <c r="Y542" s="1" t="s">
        <v>74</v>
      </c>
      <c r="Z542" s="1" t="s">
        <v>74</v>
      </c>
      <c r="AA542" s="1" t="s">
        <v>74</v>
      </c>
      <c r="AB542" s="1" t="s">
        <v>74</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5066</v>
      </c>
      <c r="AP542" s="1" t="s">
        <v>5067</v>
      </c>
      <c r="AQ542" s="1" t="s">
        <v>74</v>
      </c>
      <c r="AR542" s="1" t="s">
        <v>74</v>
      </c>
      <c r="AS542" s="1" t="s">
        <v>74</v>
      </c>
      <c r="AT542" s="1" t="s">
        <v>160</v>
      </c>
      <c r="AU542" s="1">
        <v>2021.0</v>
      </c>
      <c r="AV542" s="1" t="s">
        <v>74</v>
      </c>
      <c r="AW542" s="1">
        <v>35.0</v>
      </c>
      <c r="AX542" s="1" t="s">
        <v>74</v>
      </c>
      <c r="AY542" s="1" t="s">
        <v>74</v>
      </c>
      <c r="AZ542" s="1" t="s">
        <v>74</v>
      </c>
      <c r="BA542" s="1" t="s">
        <v>74</v>
      </c>
      <c r="BB542" s="1">
        <v>55.0</v>
      </c>
      <c r="BC542" s="1">
        <v>68.0</v>
      </c>
      <c r="BD542" s="1" t="s">
        <v>74</v>
      </c>
      <c r="BE542" s="1" t="s">
        <v>5068</v>
      </c>
      <c r="BF542" s="2" t="str">
        <f>HYPERLINK("http://dx.doi.org/10.35588/estudav.v0i35.5324","http://dx.doi.org/10.35588/estudav.v0i35.5324")</f>
        <v>http://dx.doi.org/10.35588/estudav.v0i35.5324</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5069</v>
      </c>
      <c r="BT542" s="1" t="str">
        <f>HYPERLINK("https%3A%2F%2Fwww.webofscience.com%2Fwos%2Fwoscc%2Ffull-record%2FWOS:000739816200005","View Full Record in Web of Science")</f>
        <v>View Full Record in Web of Science</v>
      </c>
    </row>
    <row r="543" ht="12.75" customHeight="1">
      <c r="A543" s="1" t="s">
        <v>72</v>
      </c>
      <c r="B543" s="1" t="s">
        <v>5070</v>
      </c>
      <c r="C543" s="1" t="s">
        <v>74</v>
      </c>
      <c r="D543" s="1" t="s">
        <v>74</v>
      </c>
      <c r="E543" s="1" t="s">
        <v>74</v>
      </c>
      <c r="F543" s="1" t="s">
        <v>5071</v>
      </c>
      <c r="G543" s="1" t="s">
        <v>74</v>
      </c>
      <c r="H543" s="1" t="s">
        <v>74</v>
      </c>
      <c r="I543" s="1" t="s">
        <v>5072</v>
      </c>
      <c r="J543" s="1" t="s">
        <v>5073</v>
      </c>
      <c r="K543" s="1" t="s">
        <v>74</v>
      </c>
      <c r="L543" s="1" t="s">
        <v>74</v>
      </c>
      <c r="M543" s="1" t="s">
        <v>74</v>
      </c>
      <c r="N543" s="1" t="s">
        <v>74</v>
      </c>
      <c r="O543" s="1" t="s">
        <v>74</v>
      </c>
      <c r="P543" s="1" t="s">
        <v>74</v>
      </c>
      <c r="Q543" s="1" t="s">
        <v>74</v>
      </c>
      <c r="R543" s="1" t="s">
        <v>74</v>
      </c>
      <c r="S543" s="1" t="s">
        <v>74</v>
      </c>
      <c r="T543" s="1" t="s">
        <v>74</v>
      </c>
      <c r="U543" s="1" t="s">
        <v>74</v>
      </c>
      <c r="V543" s="1" t="s">
        <v>5074</v>
      </c>
      <c r="W543" s="1" t="s">
        <v>74</v>
      </c>
      <c r="X543" s="1" t="s">
        <v>74</v>
      </c>
      <c r="Y543" s="1" t="s">
        <v>74</v>
      </c>
      <c r="Z543" s="1" t="s">
        <v>74</v>
      </c>
      <c r="AA543" s="1" t="s">
        <v>74</v>
      </c>
      <c r="AB543" s="1" t="s">
        <v>74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5075</v>
      </c>
      <c r="AP543" s="1" t="s">
        <v>74</v>
      </c>
      <c r="AQ543" s="1" t="s">
        <v>74</v>
      </c>
      <c r="AR543" s="1" t="s">
        <v>74</v>
      </c>
      <c r="AS543" s="1" t="s">
        <v>74</v>
      </c>
      <c r="AT543" s="1" t="s">
        <v>183</v>
      </c>
      <c r="AU543" s="1">
        <v>2021.0</v>
      </c>
      <c r="AV543" s="1" t="s">
        <v>74</v>
      </c>
      <c r="AW543" s="1">
        <v>103.0</v>
      </c>
      <c r="AX543" s="1" t="s">
        <v>74</v>
      </c>
      <c r="AY543" s="1" t="s">
        <v>74</v>
      </c>
      <c r="AZ543" s="1" t="s">
        <v>74</v>
      </c>
      <c r="BA543" s="1" t="s">
        <v>74</v>
      </c>
      <c r="BB543" s="1">
        <v>215.0</v>
      </c>
      <c r="BC543" s="1">
        <v>239.0</v>
      </c>
      <c r="BD543" s="1" t="s">
        <v>74</v>
      </c>
      <c r="BE543" s="1" t="s">
        <v>74</v>
      </c>
      <c r="BF543" s="1" t="s">
        <v>74</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5076</v>
      </c>
      <c r="BT543" s="1" t="str">
        <f>HYPERLINK("https%3A%2F%2Fwww.webofscience.com%2Fwos%2Fwoscc%2Ffull-record%2FWOS:000662264600012","View Full Record in Web of Science")</f>
        <v>View Full Record in Web of Science</v>
      </c>
    </row>
    <row r="544" ht="12.75" customHeight="1">
      <c r="A544" s="1" t="s">
        <v>72</v>
      </c>
      <c r="B544" s="1" t="s">
        <v>5077</v>
      </c>
      <c r="C544" s="1" t="s">
        <v>74</v>
      </c>
      <c r="D544" s="1" t="s">
        <v>74</v>
      </c>
      <c r="E544" s="1" t="s">
        <v>74</v>
      </c>
      <c r="F544" s="1" t="s">
        <v>5078</v>
      </c>
      <c r="G544" s="1" t="s">
        <v>74</v>
      </c>
      <c r="H544" s="1" t="s">
        <v>74</v>
      </c>
      <c r="I544" s="1" t="s">
        <v>5079</v>
      </c>
      <c r="J544" s="1" t="s">
        <v>5080</v>
      </c>
      <c r="K544" s="1" t="s">
        <v>74</v>
      </c>
      <c r="L544" s="1" t="s">
        <v>74</v>
      </c>
      <c r="M544" s="1" t="s">
        <v>74</v>
      </c>
      <c r="N544" s="1" t="s">
        <v>74</v>
      </c>
      <c r="O544" s="1" t="s">
        <v>74</v>
      </c>
      <c r="P544" s="1" t="s">
        <v>74</v>
      </c>
      <c r="Q544" s="1" t="s">
        <v>74</v>
      </c>
      <c r="R544" s="1" t="s">
        <v>74</v>
      </c>
      <c r="S544" s="1" t="s">
        <v>74</v>
      </c>
      <c r="T544" s="1" t="s">
        <v>74</v>
      </c>
      <c r="U544" s="1" t="s">
        <v>74</v>
      </c>
      <c r="V544" s="1" t="s">
        <v>5081</v>
      </c>
      <c r="W544" s="1" t="s">
        <v>74</v>
      </c>
      <c r="X544" s="1" t="s">
        <v>74</v>
      </c>
      <c r="Y544" s="1" t="s">
        <v>74</v>
      </c>
      <c r="Z544" s="1" t="s">
        <v>74</v>
      </c>
      <c r="AA544" s="1" t="s">
        <v>5082</v>
      </c>
      <c r="AB544" s="1" t="s">
        <v>5083</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5084</v>
      </c>
      <c r="AP544" s="1" t="s">
        <v>5085</v>
      </c>
      <c r="AQ544" s="1" t="s">
        <v>74</v>
      </c>
      <c r="AR544" s="1" t="s">
        <v>74</v>
      </c>
      <c r="AS544" s="1" t="s">
        <v>74</v>
      </c>
      <c r="AT544" s="1" t="s">
        <v>106</v>
      </c>
      <c r="AU544" s="1">
        <v>2020.0</v>
      </c>
      <c r="AV544" s="1">
        <v>95.0</v>
      </c>
      <c r="AW544" s="1" t="s">
        <v>74</v>
      </c>
      <c r="AX544" s="1" t="s">
        <v>74</v>
      </c>
      <c r="AY544" s="1" t="s">
        <v>74</v>
      </c>
      <c r="AZ544" s="1" t="s">
        <v>74</v>
      </c>
      <c r="BA544" s="1" t="s">
        <v>74</v>
      </c>
      <c r="BB544" s="1">
        <v>114.0</v>
      </c>
      <c r="BC544" s="1">
        <v>123.0</v>
      </c>
      <c r="BD544" s="1" t="s">
        <v>74</v>
      </c>
      <c r="BE544" s="1" t="s">
        <v>5086</v>
      </c>
      <c r="BF544" s="2" t="str">
        <f>HYPERLINK("http://dx.doi.org/10.1016/j.tranpol.2019.08.008","http://dx.doi.org/10.1016/j.tranpol.2019.08.008")</f>
        <v>http://dx.doi.org/10.1016/j.tranpol.2019.08.008</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5087</v>
      </c>
      <c r="BT544" s="1" t="str">
        <f>HYPERLINK("https%3A%2F%2Fwww.webofscience.com%2Fwos%2Fwoscc%2Ffull-record%2FWOS:000566491300013","View Full Record in Web of Science")</f>
        <v>View Full Record in Web of Science</v>
      </c>
    </row>
    <row r="545" ht="12.75" customHeight="1">
      <c r="A545" s="1" t="s">
        <v>72</v>
      </c>
      <c r="B545" s="1" t="s">
        <v>5088</v>
      </c>
      <c r="C545" s="1" t="s">
        <v>74</v>
      </c>
      <c r="D545" s="1" t="s">
        <v>74</v>
      </c>
      <c r="E545" s="1" t="s">
        <v>74</v>
      </c>
      <c r="F545" s="1" t="s">
        <v>5089</v>
      </c>
      <c r="G545" s="1" t="s">
        <v>74</v>
      </c>
      <c r="H545" s="1" t="s">
        <v>74</v>
      </c>
      <c r="I545" s="1" t="s">
        <v>5090</v>
      </c>
      <c r="J545" s="1" t="s">
        <v>5091</v>
      </c>
      <c r="K545" s="1" t="s">
        <v>74</v>
      </c>
      <c r="L545" s="1" t="s">
        <v>74</v>
      </c>
      <c r="M545" s="1" t="s">
        <v>74</v>
      </c>
      <c r="N545" s="1" t="s">
        <v>74</v>
      </c>
      <c r="O545" s="1" t="s">
        <v>74</v>
      </c>
      <c r="P545" s="1" t="s">
        <v>74</v>
      </c>
      <c r="Q545" s="1" t="s">
        <v>74</v>
      </c>
      <c r="R545" s="1" t="s">
        <v>74</v>
      </c>
      <c r="S545" s="1" t="s">
        <v>74</v>
      </c>
      <c r="T545" s="1" t="s">
        <v>74</v>
      </c>
      <c r="U545" s="1" t="s">
        <v>74</v>
      </c>
      <c r="V545" s="1" t="s">
        <v>5092</v>
      </c>
      <c r="W545" s="1" t="s">
        <v>74</v>
      </c>
      <c r="X545" s="1" t="s">
        <v>74</v>
      </c>
      <c r="Y545" s="1" t="s">
        <v>74</v>
      </c>
      <c r="Z545" s="1" t="s">
        <v>74</v>
      </c>
      <c r="AA545" s="1" t="s">
        <v>5093</v>
      </c>
      <c r="AB545" s="1" t="s">
        <v>5094</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5095</v>
      </c>
      <c r="AP545" s="1" t="s">
        <v>74</v>
      </c>
      <c r="AQ545" s="1" t="s">
        <v>74</v>
      </c>
      <c r="AR545" s="1" t="s">
        <v>74</v>
      </c>
      <c r="AS545" s="1" t="s">
        <v>74</v>
      </c>
      <c r="AT545" s="1" t="s">
        <v>82</v>
      </c>
      <c r="AU545" s="1">
        <v>2020.0</v>
      </c>
      <c r="AV545" s="1">
        <v>20.0</v>
      </c>
      <c r="AW545" s="1">
        <v>78.0</v>
      </c>
      <c r="AX545" s="1" t="s">
        <v>74</v>
      </c>
      <c r="AY545" s="1" t="s">
        <v>74</v>
      </c>
      <c r="AZ545" s="1" t="s">
        <v>74</v>
      </c>
      <c r="BA545" s="1" t="s">
        <v>74</v>
      </c>
      <c r="BB545" s="1">
        <v>211.0</v>
      </c>
      <c r="BC545" s="1">
        <v>226.0</v>
      </c>
      <c r="BD545" s="1" t="s">
        <v>74</v>
      </c>
      <c r="BE545" s="1" t="s">
        <v>5096</v>
      </c>
      <c r="BF545" s="2" t="str">
        <f>HYPERLINK("http://dx.doi.org/10.15366/rimcafd2020.78.002","http://dx.doi.org/10.15366/rimcafd2020.78.002")</f>
        <v>http://dx.doi.org/10.15366/rimcafd2020.78.002</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5097</v>
      </c>
      <c r="BT545" s="1" t="str">
        <f>HYPERLINK("https%3A%2F%2Fwww.webofscience.com%2Fwos%2Fwoscc%2Ffull-record%2FWOS:000539584400002","View Full Record in Web of Science")</f>
        <v>View Full Record in Web of Science</v>
      </c>
    </row>
    <row r="546" ht="12.75" customHeight="1">
      <c r="A546" s="1" t="s">
        <v>72</v>
      </c>
      <c r="B546" s="1" t="s">
        <v>5098</v>
      </c>
      <c r="C546" s="1" t="s">
        <v>74</v>
      </c>
      <c r="D546" s="1" t="s">
        <v>74</v>
      </c>
      <c r="E546" s="1" t="s">
        <v>74</v>
      </c>
      <c r="F546" s="1" t="s">
        <v>5099</v>
      </c>
      <c r="G546" s="1" t="s">
        <v>74</v>
      </c>
      <c r="H546" s="1" t="s">
        <v>74</v>
      </c>
      <c r="I546" s="1" t="s">
        <v>5100</v>
      </c>
      <c r="J546" s="1" t="s">
        <v>5101</v>
      </c>
      <c r="K546" s="1" t="s">
        <v>74</v>
      </c>
      <c r="L546" s="1" t="s">
        <v>74</v>
      </c>
      <c r="M546" s="1" t="s">
        <v>74</v>
      </c>
      <c r="N546" s="1" t="s">
        <v>74</v>
      </c>
      <c r="O546" s="1" t="s">
        <v>74</v>
      </c>
      <c r="P546" s="1" t="s">
        <v>74</v>
      </c>
      <c r="Q546" s="1" t="s">
        <v>74</v>
      </c>
      <c r="R546" s="1" t="s">
        <v>74</v>
      </c>
      <c r="S546" s="1" t="s">
        <v>74</v>
      </c>
      <c r="T546" s="1" t="s">
        <v>74</v>
      </c>
      <c r="U546" s="1" t="s">
        <v>74</v>
      </c>
      <c r="V546" s="1" t="s">
        <v>5102</v>
      </c>
      <c r="W546" s="1" t="s">
        <v>74</v>
      </c>
      <c r="X546" s="1" t="s">
        <v>74</v>
      </c>
      <c r="Y546" s="1" t="s">
        <v>74</v>
      </c>
      <c r="Z546" s="1" t="s">
        <v>74</v>
      </c>
      <c r="AA546" s="1" t="s">
        <v>5103</v>
      </c>
      <c r="AB546" s="1" t="s">
        <v>74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5104</v>
      </c>
      <c r="AP546" s="1" t="s">
        <v>5105</v>
      </c>
      <c r="AQ546" s="1" t="s">
        <v>74</v>
      </c>
      <c r="AR546" s="1" t="s">
        <v>74</v>
      </c>
      <c r="AS546" s="1" t="s">
        <v>74</v>
      </c>
      <c r="AT546" s="1" t="s">
        <v>353</v>
      </c>
      <c r="AU546" s="1">
        <v>2020.0</v>
      </c>
      <c r="AV546" s="1">
        <v>23.0</v>
      </c>
      <c r="AW546" s="1">
        <v>5.0</v>
      </c>
      <c r="AX546" s="1" t="s">
        <v>74</v>
      </c>
      <c r="AY546" s="1" t="s">
        <v>74</v>
      </c>
      <c r="AZ546" s="1" t="s">
        <v>74</v>
      </c>
      <c r="BA546" s="1" t="s">
        <v>74</v>
      </c>
      <c r="BB546" s="1">
        <v>945.0</v>
      </c>
      <c r="BC546" s="1">
        <v>955.0</v>
      </c>
      <c r="BD546" s="1" t="s">
        <v>74</v>
      </c>
      <c r="BE546" s="1" t="s">
        <v>5106</v>
      </c>
      <c r="BF546" s="2" t="str">
        <f>HYPERLINK("http://dx.doi.org/10.1007/s11252-020-00986-4","http://dx.doi.org/10.1007/s11252-020-00986-4")</f>
        <v>http://dx.doi.org/10.1007/s11252-020-00986-4</v>
      </c>
      <c r="BG546" s="1" t="s">
        <v>74</v>
      </c>
      <c r="BH546" s="1" t="s">
        <v>5107</v>
      </c>
      <c r="BI546" s="1" t="s">
        <v>74</v>
      </c>
      <c r="BJ546" s="1" t="s">
        <v>74</v>
      </c>
      <c r="BK546" s="1" t="s">
        <v>74</v>
      </c>
      <c r="BL546" s="1" t="s">
        <v>74</v>
      </c>
      <c r="BM546" s="1" t="s">
        <v>74</v>
      </c>
      <c r="BN546" s="1" t="s">
        <v>74</v>
      </c>
      <c r="BO546" s="1" t="s">
        <v>74</v>
      </c>
      <c r="BP546" s="1" t="s">
        <v>74</v>
      </c>
      <c r="BQ546" s="1" t="s">
        <v>74</v>
      </c>
      <c r="BR546" s="1" t="s">
        <v>74</v>
      </c>
      <c r="BS546" s="1" t="s">
        <v>5108</v>
      </c>
      <c r="BT546" s="1" t="str">
        <f>HYPERLINK("https%3A%2F%2Fwww.webofscience.com%2Fwos%2Fwoscc%2Ffull-record%2FWOS:000521784100001","View Full Record in Web of Science")</f>
        <v>View Full Record in Web of Science</v>
      </c>
    </row>
    <row r="547" ht="12.75" customHeight="1">
      <c r="A547" s="1" t="s">
        <v>72</v>
      </c>
      <c r="B547" s="1" t="s">
        <v>5109</v>
      </c>
      <c r="C547" s="1" t="s">
        <v>74</v>
      </c>
      <c r="D547" s="1" t="s">
        <v>74</v>
      </c>
      <c r="E547" s="1" t="s">
        <v>74</v>
      </c>
      <c r="F547" s="1" t="s">
        <v>5110</v>
      </c>
      <c r="G547" s="1" t="s">
        <v>74</v>
      </c>
      <c r="H547" s="1" t="s">
        <v>74</v>
      </c>
      <c r="I547" s="1" t="s">
        <v>5111</v>
      </c>
      <c r="J547" s="1" t="s">
        <v>5112</v>
      </c>
      <c r="K547" s="1" t="s">
        <v>74</v>
      </c>
      <c r="L547" s="1" t="s">
        <v>74</v>
      </c>
      <c r="M547" s="1" t="s">
        <v>74</v>
      </c>
      <c r="N547" s="1" t="s">
        <v>74</v>
      </c>
      <c r="O547" s="1" t="s">
        <v>74</v>
      </c>
      <c r="P547" s="1" t="s">
        <v>74</v>
      </c>
      <c r="Q547" s="1" t="s">
        <v>74</v>
      </c>
      <c r="R547" s="1" t="s">
        <v>74</v>
      </c>
      <c r="S547" s="1" t="s">
        <v>74</v>
      </c>
      <c r="T547" s="1" t="s">
        <v>74</v>
      </c>
      <c r="U547" s="1" t="s">
        <v>74</v>
      </c>
      <c r="V547" s="1" t="s">
        <v>5113</v>
      </c>
      <c r="W547" s="1" t="s">
        <v>74</v>
      </c>
      <c r="X547" s="1" t="s">
        <v>74</v>
      </c>
      <c r="Y547" s="1" t="s">
        <v>74</v>
      </c>
      <c r="Z547" s="1" t="s">
        <v>74</v>
      </c>
      <c r="AA547" s="1" t="s">
        <v>74</v>
      </c>
      <c r="AB547" s="1" t="s">
        <v>74</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5114</v>
      </c>
      <c r="AP547" s="1" t="s">
        <v>5115</v>
      </c>
      <c r="AQ547" s="1" t="s">
        <v>74</v>
      </c>
      <c r="AR547" s="1" t="s">
        <v>74</v>
      </c>
      <c r="AS547" s="1" t="s">
        <v>74</v>
      </c>
      <c r="AT547" s="1" t="s">
        <v>3014</v>
      </c>
      <c r="AU547" s="1">
        <v>2020.0</v>
      </c>
      <c r="AV547" s="1">
        <v>51.0</v>
      </c>
      <c r="AW547" s="1">
        <v>6.0</v>
      </c>
      <c r="AX547" s="1" t="s">
        <v>74</v>
      </c>
      <c r="AY547" s="1" t="s">
        <v>74</v>
      </c>
      <c r="AZ547" s="1" t="s">
        <v>74</v>
      </c>
      <c r="BA547" s="1" t="s">
        <v>74</v>
      </c>
      <c r="BB547" s="1">
        <v>615.0</v>
      </c>
      <c r="BC547" s="1">
        <v>630.0</v>
      </c>
      <c r="BD547" s="1" t="s">
        <v>74</v>
      </c>
      <c r="BE547" s="1" t="s">
        <v>5116</v>
      </c>
      <c r="BF547" s="2" t="str">
        <f>HYPERLINK("http://dx.doi.org/10.1080/01969722.2020.1723873","http://dx.doi.org/10.1080/01969722.2020.1723873")</f>
        <v>http://dx.doi.org/10.1080/01969722.2020.1723873</v>
      </c>
      <c r="BG547" s="1" t="s">
        <v>74</v>
      </c>
      <c r="BH547" s="1" t="s">
        <v>5117</v>
      </c>
      <c r="BI547" s="1" t="s">
        <v>74</v>
      </c>
      <c r="BJ547" s="1" t="s">
        <v>74</v>
      </c>
      <c r="BK547" s="1" t="s">
        <v>74</v>
      </c>
      <c r="BL547" s="1" t="s">
        <v>74</v>
      </c>
      <c r="BM547" s="1" t="s">
        <v>74</v>
      </c>
      <c r="BN547" s="1" t="s">
        <v>74</v>
      </c>
      <c r="BO547" s="1" t="s">
        <v>74</v>
      </c>
      <c r="BP547" s="1" t="s">
        <v>74</v>
      </c>
      <c r="BQ547" s="1" t="s">
        <v>74</v>
      </c>
      <c r="BR547" s="1" t="s">
        <v>74</v>
      </c>
      <c r="BS547" s="1" t="s">
        <v>5118</v>
      </c>
      <c r="BT547" s="1" t="str">
        <f>HYPERLINK("https%3A%2F%2Fwww.webofscience.com%2Fwos%2Fwoscc%2Ffull-record%2FWOS:000513302700001","View Full Record in Web of Science")</f>
        <v>View Full Record in Web of Science</v>
      </c>
    </row>
    <row r="548" ht="12.75" customHeight="1">
      <c r="A548" s="1" t="s">
        <v>72</v>
      </c>
      <c r="B548" s="1" t="s">
        <v>5119</v>
      </c>
      <c r="C548" s="1" t="s">
        <v>74</v>
      </c>
      <c r="D548" s="1" t="s">
        <v>74</v>
      </c>
      <c r="E548" s="1" t="s">
        <v>74</v>
      </c>
      <c r="F548" s="1" t="s">
        <v>5120</v>
      </c>
      <c r="G548" s="1" t="s">
        <v>74</v>
      </c>
      <c r="H548" s="1" t="s">
        <v>74</v>
      </c>
      <c r="I548" s="1" t="s">
        <v>5121</v>
      </c>
      <c r="J548" s="1" t="s">
        <v>5028</v>
      </c>
      <c r="K548" s="1" t="s">
        <v>74</v>
      </c>
      <c r="L548" s="1" t="s">
        <v>74</v>
      </c>
      <c r="M548" s="1" t="s">
        <v>74</v>
      </c>
      <c r="N548" s="1" t="s">
        <v>74</v>
      </c>
      <c r="O548" s="1" t="s">
        <v>74</v>
      </c>
      <c r="P548" s="1" t="s">
        <v>74</v>
      </c>
      <c r="Q548" s="1" t="s">
        <v>74</v>
      </c>
      <c r="R548" s="1" t="s">
        <v>74</v>
      </c>
      <c r="S548" s="1" t="s">
        <v>74</v>
      </c>
      <c r="T548" s="1" t="s">
        <v>74</v>
      </c>
      <c r="U548" s="1" t="s">
        <v>74</v>
      </c>
      <c r="V548" s="1" t="s">
        <v>5122</v>
      </c>
      <c r="W548" s="1" t="s">
        <v>74</v>
      </c>
      <c r="X548" s="1" t="s">
        <v>74</v>
      </c>
      <c r="Y548" s="1" t="s">
        <v>74</v>
      </c>
      <c r="Z548" s="1" t="s">
        <v>74</v>
      </c>
      <c r="AA548" s="1" t="s">
        <v>5123</v>
      </c>
      <c r="AB548" s="1" t="s">
        <v>5124</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74</v>
      </c>
      <c r="AP548" s="1" t="s">
        <v>5032</v>
      </c>
      <c r="AQ548" s="1" t="s">
        <v>74</v>
      </c>
      <c r="AR548" s="1" t="s">
        <v>74</v>
      </c>
      <c r="AS548" s="1" t="s">
        <v>74</v>
      </c>
      <c r="AT548" s="1" t="s">
        <v>607</v>
      </c>
      <c r="AU548" s="1">
        <v>2020.0</v>
      </c>
      <c r="AV548" s="1">
        <v>13.0</v>
      </c>
      <c r="AW548" s="1">
        <v>4.0</v>
      </c>
      <c r="AX548" s="1" t="s">
        <v>74</v>
      </c>
      <c r="AY548" s="1" t="s">
        <v>74</v>
      </c>
      <c r="AZ548" s="1" t="s">
        <v>74</v>
      </c>
      <c r="BA548" s="1" t="s">
        <v>74</v>
      </c>
      <c r="BB548" s="1" t="s">
        <v>74</v>
      </c>
      <c r="BC548" s="1" t="s">
        <v>74</v>
      </c>
      <c r="BD548" s="1">
        <v>942.0</v>
      </c>
      <c r="BE548" s="1" t="s">
        <v>5125</v>
      </c>
      <c r="BF548" s="2" t="str">
        <f>HYPERLINK("http://dx.doi.org/10.3390/en13040942","http://dx.doi.org/10.3390/en13040942")</f>
        <v>http://dx.doi.org/10.3390/en13040942</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5126</v>
      </c>
      <c r="BT548" s="1" t="str">
        <f>HYPERLINK("https%3A%2F%2Fwww.webofscience.com%2Fwos%2Fwoscc%2Ffull-record%2FWOS:000522492700170","View Full Record in Web of Science")</f>
        <v>View Full Record in Web of Science</v>
      </c>
    </row>
    <row r="549" ht="12.75" customHeight="1">
      <c r="A549" s="1" t="s">
        <v>72</v>
      </c>
      <c r="B549" s="1" t="s">
        <v>1627</v>
      </c>
      <c r="C549" s="1" t="s">
        <v>74</v>
      </c>
      <c r="D549" s="1" t="s">
        <v>74</v>
      </c>
      <c r="E549" s="1" t="s">
        <v>74</v>
      </c>
      <c r="F549" s="1" t="s">
        <v>1628</v>
      </c>
      <c r="G549" s="1" t="s">
        <v>74</v>
      </c>
      <c r="H549" s="1" t="s">
        <v>74</v>
      </c>
      <c r="I549" s="1" t="s">
        <v>5127</v>
      </c>
      <c r="J549" s="1" t="s">
        <v>5128</v>
      </c>
      <c r="K549" s="1" t="s">
        <v>74</v>
      </c>
      <c r="L549" s="1" t="s">
        <v>74</v>
      </c>
      <c r="M549" s="1" t="s">
        <v>74</v>
      </c>
      <c r="N549" s="1" t="s">
        <v>74</v>
      </c>
      <c r="O549" s="1" t="s">
        <v>74</v>
      </c>
      <c r="P549" s="1" t="s">
        <v>74</v>
      </c>
      <c r="Q549" s="1" t="s">
        <v>74</v>
      </c>
      <c r="R549" s="1" t="s">
        <v>74</v>
      </c>
      <c r="S549" s="1" t="s">
        <v>74</v>
      </c>
      <c r="T549" s="1" t="s">
        <v>74</v>
      </c>
      <c r="U549" s="1" t="s">
        <v>74</v>
      </c>
      <c r="V549" s="1" t="s">
        <v>5129</v>
      </c>
      <c r="W549" s="1" t="s">
        <v>74</v>
      </c>
      <c r="X549" s="1" t="s">
        <v>74</v>
      </c>
      <c r="Y549" s="1" t="s">
        <v>74</v>
      </c>
      <c r="Z549" s="1" t="s">
        <v>74</v>
      </c>
      <c r="AA549" s="1" t="s">
        <v>1631</v>
      </c>
      <c r="AB549" s="1" t="s">
        <v>1632</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5130</v>
      </c>
      <c r="AP549" s="1" t="s">
        <v>5131</v>
      </c>
      <c r="AQ549" s="1" t="s">
        <v>74</v>
      </c>
      <c r="AR549" s="1" t="s">
        <v>74</v>
      </c>
      <c r="AS549" s="1" t="s">
        <v>74</v>
      </c>
      <c r="AT549" s="1" t="s">
        <v>239</v>
      </c>
      <c r="AU549" s="1">
        <v>2020.0</v>
      </c>
      <c r="AV549" s="1">
        <v>39.0</v>
      </c>
      <c r="AW549" s="1" t="s">
        <v>74</v>
      </c>
      <c r="AX549" s="1" t="s">
        <v>74</v>
      </c>
      <c r="AY549" s="1" t="s">
        <v>74</v>
      </c>
      <c r="AZ549" s="1" t="s">
        <v>74</v>
      </c>
      <c r="BA549" s="1" t="s">
        <v>74</v>
      </c>
      <c r="BB549" s="1" t="s">
        <v>74</v>
      </c>
      <c r="BC549" s="1" t="s">
        <v>74</v>
      </c>
      <c r="BD549" s="1">
        <v>100919.0</v>
      </c>
      <c r="BE549" s="1" t="s">
        <v>5132</v>
      </c>
      <c r="BF549" s="2" t="str">
        <f>HYPERLINK("http://dx.doi.org/10.1016/j.elerap.2019.100919","http://dx.doi.org/10.1016/j.elerap.2019.100919")</f>
        <v>http://dx.doi.org/10.1016/j.elerap.2019.100919</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5133</v>
      </c>
      <c r="BT549" s="1" t="str">
        <f>HYPERLINK("https%3A%2F%2Fwww.webofscience.com%2Fwos%2Fwoscc%2Ffull-record%2FWOS:000517564000019","View Full Record in Web of Science")</f>
        <v>View Full Record in Web of Science</v>
      </c>
    </row>
    <row r="550" ht="12.75" customHeight="1">
      <c r="A550" s="1" t="s">
        <v>72</v>
      </c>
      <c r="B550" s="1" t="s">
        <v>5134</v>
      </c>
      <c r="C550" s="1" t="s">
        <v>74</v>
      </c>
      <c r="D550" s="1" t="s">
        <v>74</v>
      </c>
      <c r="E550" s="1" t="s">
        <v>74</v>
      </c>
      <c r="F550" s="1" t="s">
        <v>5135</v>
      </c>
      <c r="G550" s="1" t="s">
        <v>74</v>
      </c>
      <c r="H550" s="1" t="s">
        <v>74</v>
      </c>
      <c r="I550" s="1" t="s">
        <v>5136</v>
      </c>
      <c r="J550" s="1" t="s">
        <v>5137</v>
      </c>
      <c r="K550" s="1" t="s">
        <v>74</v>
      </c>
      <c r="L550" s="1" t="s">
        <v>74</v>
      </c>
      <c r="M550" s="1" t="s">
        <v>74</v>
      </c>
      <c r="N550" s="1" t="s">
        <v>74</v>
      </c>
      <c r="O550" s="1" t="s">
        <v>74</v>
      </c>
      <c r="P550" s="1" t="s">
        <v>74</v>
      </c>
      <c r="Q550" s="1" t="s">
        <v>74</v>
      </c>
      <c r="R550" s="1" t="s">
        <v>74</v>
      </c>
      <c r="S550" s="1" t="s">
        <v>74</v>
      </c>
      <c r="T550" s="1" t="s">
        <v>74</v>
      </c>
      <c r="U550" s="1" t="s">
        <v>74</v>
      </c>
      <c r="V550" s="1" t="s">
        <v>5138</v>
      </c>
      <c r="W550" s="1" t="s">
        <v>74</v>
      </c>
      <c r="X550" s="1" t="s">
        <v>74</v>
      </c>
      <c r="Y550" s="1" t="s">
        <v>74</v>
      </c>
      <c r="Z550" s="1" t="s">
        <v>74</v>
      </c>
      <c r="AA550" s="1" t="s">
        <v>5139</v>
      </c>
      <c r="AB550" s="1" t="s">
        <v>74</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5140</v>
      </c>
      <c r="AP550" s="1" t="s">
        <v>74</v>
      </c>
      <c r="AQ550" s="1" t="s">
        <v>74</v>
      </c>
      <c r="AR550" s="1" t="s">
        <v>74</v>
      </c>
      <c r="AS550" s="1" t="s">
        <v>74</v>
      </c>
      <c r="AT550" s="1" t="s">
        <v>74</v>
      </c>
      <c r="AU550" s="1">
        <v>2020.0</v>
      </c>
      <c r="AV550" s="1" t="s">
        <v>74</v>
      </c>
      <c r="AW550" s="1">
        <v>80.0</v>
      </c>
      <c r="AX550" s="1" t="s">
        <v>74</v>
      </c>
      <c r="AY550" s="1" t="s">
        <v>74</v>
      </c>
      <c r="AZ550" s="1" t="s">
        <v>74</v>
      </c>
      <c r="BA550" s="1" t="s">
        <v>74</v>
      </c>
      <c r="BB550" s="1">
        <v>183.0</v>
      </c>
      <c r="BC550" s="1">
        <v>222.0</v>
      </c>
      <c r="BD550" s="1" t="s">
        <v>74</v>
      </c>
      <c r="BE550" s="1" t="s">
        <v>74</v>
      </c>
      <c r="BF550" s="1" t="s">
        <v>74</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5141</v>
      </c>
      <c r="BT550" s="1" t="str">
        <f>HYPERLINK("https%3A%2F%2Fwww.webofscience.com%2Fwos%2Fwoscc%2Ffull-record%2FWOS:000592491100005","View Full Record in Web of Science")</f>
        <v>View Full Record in Web of Science</v>
      </c>
    </row>
    <row r="551" ht="12.75" customHeight="1">
      <c r="A551" s="1" t="s">
        <v>72</v>
      </c>
      <c r="B551" s="1" t="s">
        <v>5142</v>
      </c>
      <c r="C551" s="1" t="s">
        <v>74</v>
      </c>
      <c r="D551" s="1" t="s">
        <v>74</v>
      </c>
      <c r="E551" s="1" t="s">
        <v>74</v>
      </c>
      <c r="F551" s="1" t="s">
        <v>5143</v>
      </c>
      <c r="G551" s="1" t="s">
        <v>74</v>
      </c>
      <c r="H551" s="1" t="s">
        <v>74</v>
      </c>
      <c r="I551" s="1" t="s">
        <v>5144</v>
      </c>
      <c r="J551" s="1" t="s">
        <v>5145</v>
      </c>
      <c r="K551" s="1" t="s">
        <v>74</v>
      </c>
      <c r="L551" s="1" t="s">
        <v>74</v>
      </c>
      <c r="M551" s="1" t="s">
        <v>74</v>
      </c>
      <c r="N551" s="1" t="s">
        <v>74</v>
      </c>
      <c r="O551" s="1" t="s">
        <v>74</v>
      </c>
      <c r="P551" s="1" t="s">
        <v>74</v>
      </c>
      <c r="Q551" s="1" t="s">
        <v>74</v>
      </c>
      <c r="R551" s="1" t="s">
        <v>74</v>
      </c>
      <c r="S551" s="1" t="s">
        <v>74</v>
      </c>
      <c r="T551" s="1" t="s">
        <v>74</v>
      </c>
      <c r="U551" s="1" t="s">
        <v>74</v>
      </c>
      <c r="V551" s="1" t="s">
        <v>5146</v>
      </c>
      <c r="W551" s="1" t="s">
        <v>74</v>
      </c>
      <c r="X551" s="1" t="s">
        <v>74</v>
      </c>
      <c r="Y551" s="1" t="s">
        <v>74</v>
      </c>
      <c r="Z551" s="1" t="s">
        <v>74</v>
      </c>
      <c r="AA551" s="1" t="s">
        <v>5147</v>
      </c>
      <c r="AB551" s="1" t="s">
        <v>5148</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5149</v>
      </c>
      <c r="AP551" s="1" t="s">
        <v>5150</v>
      </c>
      <c r="AQ551" s="1" t="s">
        <v>74</v>
      </c>
      <c r="AR551" s="1" t="s">
        <v>74</v>
      </c>
      <c r="AS551" s="1" t="s">
        <v>74</v>
      </c>
      <c r="AT551" s="1" t="s">
        <v>3507</v>
      </c>
      <c r="AU551" s="1">
        <v>2019.0</v>
      </c>
      <c r="AV551" s="1">
        <v>378.0</v>
      </c>
      <c r="AW551" s="1" t="s">
        <v>74</v>
      </c>
      <c r="AX551" s="1" t="s">
        <v>74</v>
      </c>
      <c r="AY551" s="1" t="s">
        <v>74</v>
      </c>
      <c r="AZ551" s="1" t="s">
        <v>74</v>
      </c>
      <c r="BA551" s="1" t="s">
        <v>74</v>
      </c>
      <c r="BB551" s="1" t="s">
        <v>74</v>
      </c>
      <c r="BC551" s="1" t="s">
        <v>74</v>
      </c>
      <c r="BD551" s="1">
        <v>122097.0</v>
      </c>
      <c r="BE551" s="1" t="s">
        <v>5151</v>
      </c>
      <c r="BF551" s="2" t="str">
        <f>HYPERLINK("http://dx.doi.org/10.1016/j.cej.2019.122097","http://dx.doi.org/10.1016/j.cej.2019.122097")</f>
        <v>http://dx.doi.org/10.1016/j.cej.2019.122097</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5152</v>
      </c>
      <c r="BT551" s="1" t="str">
        <f>HYPERLINK("https%3A%2F%2Fwww.webofscience.com%2Fwos%2Fwoscc%2Ffull-record%2FWOS:000487764800036","View Full Record in Web of Science")</f>
        <v>View Full Record in Web of Science</v>
      </c>
    </row>
    <row r="552" ht="12.75" customHeight="1">
      <c r="A552" s="1" t="s">
        <v>72</v>
      </c>
      <c r="B552" s="1" t="s">
        <v>5153</v>
      </c>
      <c r="C552" s="1" t="s">
        <v>74</v>
      </c>
      <c r="D552" s="1" t="s">
        <v>74</v>
      </c>
      <c r="E552" s="1" t="s">
        <v>74</v>
      </c>
      <c r="F552" s="1" t="s">
        <v>5154</v>
      </c>
      <c r="G552" s="1" t="s">
        <v>74</v>
      </c>
      <c r="H552" s="1" t="s">
        <v>74</v>
      </c>
      <c r="I552" s="1" t="s">
        <v>5155</v>
      </c>
      <c r="J552" s="1" t="s">
        <v>3730</v>
      </c>
      <c r="K552" s="1" t="s">
        <v>74</v>
      </c>
      <c r="L552" s="1" t="s">
        <v>74</v>
      </c>
      <c r="M552" s="1" t="s">
        <v>74</v>
      </c>
      <c r="N552" s="1" t="s">
        <v>74</v>
      </c>
      <c r="O552" s="1" t="s">
        <v>74</v>
      </c>
      <c r="P552" s="1" t="s">
        <v>74</v>
      </c>
      <c r="Q552" s="1" t="s">
        <v>74</v>
      </c>
      <c r="R552" s="1" t="s">
        <v>74</v>
      </c>
      <c r="S552" s="1" t="s">
        <v>74</v>
      </c>
      <c r="T552" s="1" t="s">
        <v>74</v>
      </c>
      <c r="U552" s="1" t="s">
        <v>74</v>
      </c>
      <c r="V552" s="1" t="s">
        <v>5156</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3731</v>
      </c>
      <c r="AP552" s="1" t="s">
        <v>74</v>
      </c>
      <c r="AQ552" s="1" t="s">
        <v>74</v>
      </c>
      <c r="AR552" s="1" t="s">
        <v>74</v>
      </c>
      <c r="AS552" s="1" t="s">
        <v>74</v>
      </c>
      <c r="AT552" s="1" t="s">
        <v>160</v>
      </c>
      <c r="AU552" s="1">
        <v>2019.0</v>
      </c>
      <c r="AV552" s="1">
        <v>20.0</v>
      </c>
      <c r="AW552" s="1">
        <v>32.0</v>
      </c>
      <c r="AX552" s="1" t="s">
        <v>74</v>
      </c>
      <c r="AY552" s="1" t="s">
        <v>74</v>
      </c>
      <c r="AZ552" s="1" t="s">
        <v>74</v>
      </c>
      <c r="BA552" s="1" t="s">
        <v>74</v>
      </c>
      <c r="BB552" s="1">
        <v>97.0</v>
      </c>
      <c r="BC552" s="1">
        <v>125.0</v>
      </c>
      <c r="BD552" s="1" t="s">
        <v>74</v>
      </c>
      <c r="BE552" s="1" t="s">
        <v>74</v>
      </c>
      <c r="BF552" s="1" t="s">
        <v>74</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5157</v>
      </c>
      <c r="BT552" s="1" t="str">
        <f>HYPERLINK("https%3A%2F%2Fwww.webofscience.com%2Fwos%2Fwoscc%2Ffull-record%2FWOS:000552459700005","View Full Record in Web of Science")</f>
        <v>View Full Record in Web of Science</v>
      </c>
    </row>
    <row r="553" ht="12.75" customHeight="1">
      <c r="A553" s="1" t="s">
        <v>72</v>
      </c>
      <c r="B553" s="1" t="s">
        <v>5158</v>
      </c>
      <c r="C553" s="1" t="s">
        <v>74</v>
      </c>
      <c r="D553" s="1" t="s">
        <v>74</v>
      </c>
      <c r="E553" s="1" t="s">
        <v>74</v>
      </c>
      <c r="F553" s="1" t="s">
        <v>5159</v>
      </c>
      <c r="G553" s="1" t="s">
        <v>74</v>
      </c>
      <c r="H553" s="1" t="s">
        <v>74</v>
      </c>
      <c r="I553" s="1" t="s">
        <v>5160</v>
      </c>
      <c r="J553" s="1" t="s">
        <v>5161</v>
      </c>
      <c r="K553" s="1" t="s">
        <v>74</v>
      </c>
      <c r="L553" s="1" t="s">
        <v>74</v>
      </c>
      <c r="M553" s="1" t="s">
        <v>74</v>
      </c>
      <c r="N553" s="1" t="s">
        <v>74</v>
      </c>
      <c r="O553" s="1" t="s">
        <v>74</v>
      </c>
      <c r="P553" s="1" t="s">
        <v>74</v>
      </c>
      <c r="Q553" s="1" t="s">
        <v>74</v>
      </c>
      <c r="R553" s="1" t="s">
        <v>74</v>
      </c>
      <c r="S553" s="1" t="s">
        <v>74</v>
      </c>
      <c r="T553" s="1" t="s">
        <v>74</v>
      </c>
      <c r="U553" s="1" t="s">
        <v>74</v>
      </c>
      <c r="V553" s="1" t="s">
        <v>5162</v>
      </c>
      <c r="W553" s="1" t="s">
        <v>74</v>
      </c>
      <c r="X553" s="1" t="s">
        <v>74</v>
      </c>
      <c r="Y553" s="1" t="s">
        <v>74</v>
      </c>
      <c r="Z553" s="1" t="s">
        <v>74</v>
      </c>
      <c r="AA553" s="1" t="s">
        <v>5163</v>
      </c>
      <c r="AB553" s="1" t="s">
        <v>5164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5165</v>
      </c>
      <c r="AP553" s="1" t="s">
        <v>5166</v>
      </c>
      <c r="AQ553" s="1" t="s">
        <v>74</v>
      </c>
      <c r="AR553" s="1" t="s">
        <v>74</v>
      </c>
      <c r="AS553" s="1" t="s">
        <v>74</v>
      </c>
      <c r="AT553" s="1" t="s">
        <v>228</v>
      </c>
      <c r="AU553" s="1">
        <v>2019.0</v>
      </c>
      <c r="AV553" s="1">
        <v>174.0</v>
      </c>
      <c r="AW553" s="1" t="s">
        <v>74</v>
      </c>
      <c r="AX553" s="1" t="s">
        <v>74</v>
      </c>
      <c r="AY553" s="1" t="s">
        <v>74</v>
      </c>
      <c r="AZ553" s="1" t="s">
        <v>74</v>
      </c>
      <c r="BA553" s="1" t="s">
        <v>74</v>
      </c>
      <c r="BB553" s="1" t="s">
        <v>74</v>
      </c>
      <c r="BC553" s="1" t="s">
        <v>74</v>
      </c>
      <c r="BD553" s="1">
        <v>106979.0</v>
      </c>
      <c r="BE553" s="1" t="s">
        <v>5167</v>
      </c>
      <c r="BF553" s="2" t="str">
        <f>HYPERLINK("http://dx.doi.org/10.1016/j.compositesb.2019.106979","http://dx.doi.org/10.1016/j.compositesb.2019.106979")</f>
        <v>http://dx.doi.org/10.1016/j.compositesb.2019.106979</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5168</v>
      </c>
      <c r="BT553" s="1" t="str">
        <f>HYPERLINK("https%3A%2F%2Fwww.webofscience.com%2Fwos%2Fwoscc%2Ffull-record%2FWOS:000485853800010","View Full Record in Web of Science")</f>
        <v>View Full Record in Web of Science</v>
      </c>
    </row>
    <row r="554" ht="12.75" customHeight="1">
      <c r="A554" s="1" t="s">
        <v>72</v>
      </c>
      <c r="B554" s="1" t="s">
        <v>5169</v>
      </c>
      <c r="C554" s="1" t="s">
        <v>74</v>
      </c>
      <c r="D554" s="1" t="s">
        <v>74</v>
      </c>
      <c r="E554" s="1" t="s">
        <v>74</v>
      </c>
      <c r="F554" s="1" t="s">
        <v>5170</v>
      </c>
      <c r="G554" s="1" t="s">
        <v>74</v>
      </c>
      <c r="H554" s="1" t="s">
        <v>74</v>
      </c>
      <c r="I554" s="1" t="s">
        <v>5171</v>
      </c>
      <c r="J554" s="1" t="s">
        <v>4850</v>
      </c>
      <c r="K554" s="1" t="s">
        <v>74</v>
      </c>
      <c r="L554" s="1" t="s">
        <v>74</v>
      </c>
      <c r="M554" s="1" t="s">
        <v>74</v>
      </c>
      <c r="N554" s="1" t="s">
        <v>74</v>
      </c>
      <c r="O554" s="1" t="s">
        <v>74</v>
      </c>
      <c r="P554" s="1" t="s">
        <v>74</v>
      </c>
      <c r="Q554" s="1" t="s">
        <v>74</v>
      </c>
      <c r="R554" s="1" t="s">
        <v>74</v>
      </c>
      <c r="S554" s="1" t="s">
        <v>74</v>
      </c>
      <c r="T554" s="1" t="s">
        <v>74</v>
      </c>
      <c r="U554" s="1" t="s">
        <v>74</v>
      </c>
      <c r="V554" s="1" t="s">
        <v>5172</v>
      </c>
      <c r="W554" s="1" t="s">
        <v>74</v>
      </c>
      <c r="X554" s="1" t="s">
        <v>74</v>
      </c>
      <c r="Y554" s="1" t="s">
        <v>74</v>
      </c>
      <c r="Z554" s="1" t="s">
        <v>74</v>
      </c>
      <c r="AA554" s="1" t="s">
        <v>5173</v>
      </c>
      <c r="AB554" s="1" t="s">
        <v>5174</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4854</v>
      </c>
      <c r="AP554" s="1" t="s">
        <v>5175</v>
      </c>
      <c r="AQ554" s="1" t="s">
        <v>74</v>
      </c>
      <c r="AR554" s="1" t="s">
        <v>74</v>
      </c>
      <c r="AS554" s="1" t="s">
        <v>74</v>
      </c>
      <c r="AT554" s="1" t="s">
        <v>174</v>
      </c>
      <c r="AU554" s="1">
        <v>2019.0</v>
      </c>
      <c r="AV554" s="1">
        <v>49.0</v>
      </c>
      <c r="AW554" s="1">
        <v>4.0</v>
      </c>
      <c r="AX554" s="1" t="s">
        <v>74</v>
      </c>
      <c r="AY554" s="1" t="s">
        <v>74</v>
      </c>
      <c r="AZ554" s="1" t="s">
        <v>74</v>
      </c>
      <c r="BA554" s="1" t="s">
        <v>74</v>
      </c>
      <c r="BB554" s="1">
        <v>423.0</v>
      </c>
      <c r="BC554" s="1">
        <v>432.0</v>
      </c>
      <c r="BD554" s="1" t="s">
        <v>74</v>
      </c>
      <c r="BE554" s="1" t="s">
        <v>5176</v>
      </c>
      <c r="BF554" s="2" t="str">
        <f>HYPERLINK("http://dx.doi.org/10.1007/s10800-019-01288-0","http://dx.doi.org/10.1007/s10800-019-01288-0")</f>
        <v>http://dx.doi.org/10.1007/s10800-019-01288-0</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5177</v>
      </c>
      <c r="BT554" s="1" t="str">
        <f>HYPERLINK("https%3A%2F%2Fwww.webofscience.com%2Fwos%2Fwoscc%2Ffull-record%2FWOS:000461351200007","View Full Record in Web of Science")</f>
        <v>View Full Record in Web of Science</v>
      </c>
    </row>
    <row r="555" ht="12.75" customHeight="1">
      <c r="A555" s="1" t="s">
        <v>72</v>
      </c>
      <c r="B555" s="1" t="s">
        <v>5178</v>
      </c>
      <c r="C555" s="1" t="s">
        <v>74</v>
      </c>
      <c r="D555" s="1" t="s">
        <v>74</v>
      </c>
      <c r="E555" s="1" t="s">
        <v>74</v>
      </c>
      <c r="F555" s="1" t="s">
        <v>5179</v>
      </c>
      <c r="G555" s="1" t="s">
        <v>74</v>
      </c>
      <c r="H555" s="1" t="s">
        <v>74</v>
      </c>
      <c r="I555" s="1" t="s">
        <v>5180</v>
      </c>
      <c r="J555" s="1" t="s">
        <v>1314</v>
      </c>
      <c r="K555" s="1" t="s">
        <v>74</v>
      </c>
      <c r="L555" s="1" t="s">
        <v>74</v>
      </c>
      <c r="M555" s="1" t="s">
        <v>74</v>
      </c>
      <c r="N555" s="1" t="s">
        <v>74</v>
      </c>
      <c r="O555" s="1" t="s">
        <v>74</v>
      </c>
      <c r="P555" s="1" t="s">
        <v>74</v>
      </c>
      <c r="Q555" s="1" t="s">
        <v>74</v>
      </c>
      <c r="R555" s="1" t="s">
        <v>74</v>
      </c>
      <c r="S555" s="1" t="s">
        <v>74</v>
      </c>
      <c r="T555" s="1" t="s">
        <v>74</v>
      </c>
      <c r="U555" s="1" t="s">
        <v>74</v>
      </c>
      <c r="V555" s="1" t="s">
        <v>5181</v>
      </c>
      <c r="W555" s="1" t="s">
        <v>74</v>
      </c>
      <c r="X555" s="1" t="s">
        <v>74</v>
      </c>
      <c r="Y555" s="1" t="s">
        <v>74</v>
      </c>
      <c r="Z555" s="1" t="s">
        <v>74</v>
      </c>
      <c r="AA555" s="1" t="s">
        <v>5182</v>
      </c>
      <c r="AB555" s="1" t="s">
        <v>5183</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74</v>
      </c>
      <c r="AP555" s="1" t="s">
        <v>1318</v>
      </c>
      <c r="AQ555" s="1" t="s">
        <v>74</v>
      </c>
      <c r="AR555" s="1" t="s">
        <v>74</v>
      </c>
      <c r="AS555" s="1" t="s">
        <v>74</v>
      </c>
      <c r="AT555" s="1" t="s">
        <v>5184</v>
      </c>
      <c r="AU555" s="1">
        <v>2019.0</v>
      </c>
      <c r="AV555" s="1">
        <v>11.0</v>
      </c>
      <c r="AW555" s="1">
        <v>2.0</v>
      </c>
      <c r="AX555" s="1" t="s">
        <v>74</v>
      </c>
      <c r="AY555" s="1" t="s">
        <v>74</v>
      </c>
      <c r="AZ555" s="1" t="s">
        <v>74</v>
      </c>
      <c r="BA555" s="1" t="s">
        <v>74</v>
      </c>
      <c r="BB555" s="1" t="s">
        <v>74</v>
      </c>
      <c r="BC555" s="1" t="s">
        <v>74</v>
      </c>
      <c r="BD555" s="1">
        <v>482.0</v>
      </c>
      <c r="BE555" s="1" t="s">
        <v>5185</v>
      </c>
      <c r="BF555" s="2" t="str">
        <f>HYPERLINK("http://dx.doi.org/10.3390/su11020482","http://dx.doi.org/10.3390/su11020482")</f>
        <v>http://dx.doi.org/10.3390/su11020482</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5186</v>
      </c>
      <c r="BT555" s="1" t="str">
        <f>HYPERLINK("https%3A%2F%2Fwww.webofscience.com%2Fwos%2Fwoscc%2Ffull-record%2FWOS:000457129900186","View Full Record in Web of Science")</f>
        <v>View Full Record in Web of Science</v>
      </c>
    </row>
    <row r="556" ht="12.75" customHeight="1">
      <c r="A556" s="1" t="s">
        <v>72</v>
      </c>
      <c r="B556" s="1" t="s">
        <v>5187</v>
      </c>
      <c r="C556" s="1" t="s">
        <v>74</v>
      </c>
      <c r="D556" s="1" t="s">
        <v>74</v>
      </c>
      <c r="E556" s="1" t="s">
        <v>74</v>
      </c>
      <c r="F556" s="1" t="s">
        <v>5188</v>
      </c>
      <c r="G556" s="1" t="s">
        <v>74</v>
      </c>
      <c r="H556" s="1" t="s">
        <v>74</v>
      </c>
      <c r="I556" s="1" t="s">
        <v>5189</v>
      </c>
      <c r="J556" s="1" t="s">
        <v>5190</v>
      </c>
      <c r="K556" s="1" t="s">
        <v>74</v>
      </c>
      <c r="L556" s="1" t="s">
        <v>74</v>
      </c>
      <c r="M556" s="1" t="s">
        <v>74</v>
      </c>
      <c r="N556" s="1" t="s">
        <v>74</v>
      </c>
      <c r="O556" s="1" t="s">
        <v>74</v>
      </c>
      <c r="P556" s="1" t="s">
        <v>74</v>
      </c>
      <c r="Q556" s="1" t="s">
        <v>74</v>
      </c>
      <c r="R556" s="1" t="s">
        <v>74</v>
      </c>
      <c r="S556" s="1" t="s">
        <v>74</v>
      </c>
      <c r="T556" s="1" t="s">
        <v>74</v>
      </c>
      <c r="U556" s="1" t="s">
        <v>74</v>
      </c>
      <c r="V556" s="1" t="s">
        <v>5191</v>
      </c>
      <c r="W556" s="1" t="s">
        <v>74</v>
      </c>
      <c r="X556" s="1" t="s">
        <v>74</v>
      </c>
      <c r="Y556" s="1" t="s">
        <v>74</v>
      </c>
      <c r="Z556" s="1" t="s">
        <v>74</v>
      </c>
      <c r="AA556" s="1" t="s">
        <v>5192</v>
      </c>
      <c r="AB556" s="1" t="s">
        <v>3810</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5193</v>
      </c>
      <c r="AP556" s="1" t="s">
        <v>5194</v>
      </c>
      <c r="AQ556" s="1" t="s">
        <v>74</v>
      </c>
      <c r="AR556" s="1" t="s">
        <v>74</v>
      </c>
      <c r="AS556" s="1" t="s">
        <v>74</v>
      </c>
      <c r="AT556" s="1" t="s">
        <v>74</v>
      </c>
      <c r="AU556" s="1">
        <v>2019.0</v>
      </c>
      <c r="AV556" s="1">
        <v>32.0</v>
      </c>
      <c r="AW556" s="1">
        <v>2.0</v>
      </c>
      <c r="AX556" s="1" t="s">
        <v>74</v>
      </c>
      <c r="AY556" s="1" t="s">
        <v>74</v>
      </c>
      <c r="AZ556" s="1" t="s">
        <v>74</v>
      </c>
      <c r="BA556" s="1" t="s">
        <v>74</v>
      </c>
      <c r="BB556" s="1">
        <v>118.0</v>
      </c>
      <c r="BC556" s="1">
        <v>137.0</v>
      </c>
      <c r="BD556" s="1" t="s">
        <v>74</v>
      </c>
      <c r="BE556" s="1" t="s">
        <v>5195</v>
      </c>
      <c r="BF556" s="2" t="str">
        <f>HYPERLINK("http://dx.doi.org/10.1108/ARLA-02-2017-0033","http://dx.doi.org/10.1108/ARLA-02-2017-0033")</f>
        <v>http://dx.doi.org/10.1108/ARLA-02-2017-0033</v>
      </c>
      <c r="BG556" s="1" t="s">
        <v>74</v>
      </c>
      <c r="BH556" s="1" t="s">
        <v>74</v>
      </c>
      <c r="BI556" s="1" t="s">
        <v>74</v>
      </c>
      <c r="BJ556" s="1" t="s">
        <v>74</v>
      </c>
      <c r="BK556" s="1" t="s">
        <v>74</v>
      </c>
      <c r="BL556" s="1" t="s">
        <v>74</v>
      </c>
      <c r="BM556" s="1" t="s">
        <v>74</v>
      </c>
      <c r="BN556" s="1" t="s">
        <v>74</v>
      </c>
      <c r="BO556" s="1" t="s">
        <v>74</v>
      </c>
      <c r="BP556" s="1" t="s">
        <v>74</v>
      </c>
      <c r="BQ556" s="1" t="s">
        <v>74</v>
      </c>
      <c r="BR556" s="1" t="s">
        <v>74</v>
      </c>
      <c r="BS556" s="1" t="s">
        <v>5196</v>
      </c>
      <c r="BT556" s="1" t="str">
        <f>HYPERLINK("https%3A%2F%2Fwww.webofscience.com%2Fwos%2Fwoscc%2Ffull-record%2FWOS:000484332400002","View Full Record in Web of Science")</f>
        <v>View Full Record in Web of Science</v>
      </c>
    </row>
    <row r="557" ht="12.75" customHeight="1">
      <c r="A557" s="1" t="s">
        <v>241</v>
      </c>
      <c r="B557" s="1" t="s">
        <v>5197</v>
      </c>
      <c r="C557" s="1" t="s">
        <v>74</v>
      </c>
      <c r="D557" s="1" t="s">
        <v>74</v>
      </c>
      <c r="E557" s="1" t="s">
        <v>427</v>
      </c>
      <c r="F557" s="1" t="s">
        <v>5198</v>
      </c>
      <c r="G557" s="1" t="s">
        <v>74</v>
      </c>
      <c r="H557" s="1" t="s">
        <v>74</v>
      </c>
      <c r="I557" s="1" t="s">
        <v>5199</v>
      </c>
      <c r="J557" s="1" t="s">
        <v>782</v>
      </c>
      <c r="K557" s="1" t="s">
        <v>74</v>
      </c>
      <c r="L557" s="1" t="s">
        <v>74</v>
      </c>
      <c r="M557" s="1" t="s">
        <v>74</v>
      </c>
      <c r="N557" s="1" t="s">
        <v>74</v>
      </c>
      <c r="O557" s="1" t="s">
        <v>783</v>
      </c>
      <c r="P557" s="1" t="s">
        <v>784</v>
      </c>
      <c r="Q557" s="1" t="s">
        <v>785</v>
      </c>
      <c r="R557" s="1" t="s">
        <v>786</v>
      </c>
      <c r="S557" s="1" t="s">
        <v>74</v>
      </c>
      <c r="T557" s="1" t="s">
        <v>74</v>
      </c>
      <c r="U557" s="1" t="s">
        <v>74</v>
      </c>
      <c r="V557" s="1" t="s">
        <v>5200</v>
      </c>
      <c r="W557" s="1" t="s">
        <v>74</v>
      </c>
      <c r="X557" s="1" t="s">
        <v>74</v>
      </c>
      <c r="Y557" s="1" t="s">
        <v>74</v>
      </c>
      <c r="Z557" s="1" t="s">
        <v>74</v>
      </c>
      <c r="AA557" s="1" t="s">
        <v>5201</v>
      </c>
      <c r="AB557" s="1" t="s">
        <v>74</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74</v>
      </c>
      <c r="AP557" s="1" t="s">
        <v>74</v>
      </c>
      <c r="AQ557" s="1" t="s">
        <v>789</v>
      </c>
      <c r="AR557" s="1" t="s">
        <v>74</v>
      </c>
      <c r="AS557" s="1" t="s">
        <v>74</v>
      </c>
      <c r="AT557" s="1" t="s">
        <v>74</v>
      </c>
      <c r="AU557" s="1">
        <v>2019.0</v>
      </c>
      <c r="AV557" s="1" t="s">
        <v>74</v>
      </c>
      <c r="AW557" s="1" t="s">
        <v>74</v>
      </c>
      <c r="AX557" s="1" t="s">
        <v>74</v>
      </c>
      <c r="AY557" s="1" t="s">
        <v>74</v>
      </c>
      <c r="AZ557" s="1" t="s">
        <v>74</v>
      </c>
      <c r="BA557" s="1" t="s">
        <v>74</v>
      </c>
      <c r="BB557" s="1" t="s">
        <v>74</v>
      </c>
      <c r="BC557" s="1" t="s">
        <v>74</v>
      </c>
      <c r="BD557" s="1" t="s">
        <v>74</v>
      </c>
      <c r="BE557" s="1" t="s">
        <v>5202</v>
      </c>
      <c r="BF557" s="2" t="str">
        <f>HYPERLINK("http://dx.doi.org/10.1109/chilecon47746.2019.8988057","http://dx.doi.org/10.1109/chilecon47746.2019.8988057")</f>
        <v>http://dx.doi.org/10.1109/chilecon47746.2019.8988057</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5203</v>
      </c>
      <c r="BT557" s="1" t="str">
        <f>HYPERLINK("https%3A%2F%2Fwww.webofscience.com%2Fwos%2Fwoscc%2Ffull-record%2FWOS:000542919100160","View Full Record in Web of Science")</f>
        <v>View Full Record in Web of Science</v>
      </c>
    </row>
    <row r="558" ht="12.75" customHeight="1">
      <c r="A558" s="1" t="s">
        <v>72</v>
      </c>
      <c r="B558" s="1" t="s">
        <v>5204</v>
      </c>
      <c r="C558" s="1" t="s">
        <v>74</v>
      </c>
      <c r="D558" s="1" t="s">
        <v>74</v>
      </c>
      <c r="E558" s="1" t="s">
        <v>74</v>
      </c>
      <c r="F558" s="1" t="s">
        <v>5205</v>
      </c>
      <c r="G558" s="1" t="s">
        <v>74</v>
      </c>
      <c r="H558" s="1" t="s">
        <v>74</v>
      </c>
      <c r="I558" s="1" t="s">
        <v>5206</v>
      </c>
      <c r="J558" s="1" t="s">
        <v>5207</v>
      </c>
      <c r="K558" s="1" t="s">
        <v>74</v>
      </c>
      <c r="L558" s="1" t="s">
        <v>74</v>
      </c>
      <c r="M558" s="1" t="s">
        <v>74</v>
      </c>
      <c r="N558" s="1" t="s">
        <v>74</v>
      </c>
      <c r="O558" s="1" t="s">
        <v>74</v>
      </c>
      <c r="P558" s="1" t="s">
        <v>74</v>
      </c>
      <c r="Q558" s="1" t="s">
        <v>74</v>
      </c>
      <c r="R558" s="1" t="s">
        <v>74</v>
      </c>
      <c r="S558" s="1" t="s">
        <v>74</v>
      </c>
      <c r="T558" s="1" t="s">
        <v>74</v>
      </c>
      <c r="U558" s="1" t="s">
        <v>74</v>
      </c>
      <c r="V558" s="1" t="s">
        <v>5208</v>
      </c>
      <c r="W558" s="1" t="s">
        <v>74</v>
      </c>
      <c r="X558" s="1" t="s">
        <v>74</v>
      </c>
      <c r="Y558" s="1" t="s">
        <v>74</v>
      </c>
      <c r="Z558" s="1" t="s">
        <v>74</v>
      </c>
      <c r="AA558" s="1" t="s">
        <v>74</v>
      </c>
      <c r="AB558" s="1" t="s">
        <v>74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5209</v>
      </c>
      <c r="AP558" s="1" t="s">
        <v>74</v>
      </c>
      <c r="AQ558" s="1" t="s">
        <v>74</v>
      </c>
      <c r="AR558" s="1" t="s">
        <v>74</v>
      </c>
      <c r="AS558" s="1" t="s">
        <v>74</v>
      </c>
      <c r="AT558" s="1" t="s">
        <v>74</v>
      </c>
      <c r="AU558" s="1">
        <v>2018.0</v>
      </c>
      <c r="AV558" s="1">
        <v>24.0</v>
      </c>
      <c r="AW558" s="1">
        <v>1.0</v>
      </c>
      <c r="AX558" s="1" t="s">
        <v>74</v>
      </c>
      <c r="AY558" s="1" t="s">
        <v>74</v>
      </c>
      <c r="AZ558" s="1" t="s">
        <v>74</v>
      </c>
      <c r="BA558" s="1" t="s">
        <v>74</v>
      </c>
      <c r="BB558" s="1">
        <v>127.0</v>
      </c>
      <c r="BC558" s="1">
        <v>136.0</v>
      </c>
      <c r="BD558" s="1" t="s">
        <v>74</v>
      </c>
      <c r="BE558" s="1" t="s">
        <v>5210</v>
      </c>
      <c r="BF558" s="2" t="str">
        <f>HYPERLINK("http://dx.doi.org/10.4067/S1726-569X2018000100127","http://dx.doi.org/10.4067/S1726-569X2018000100127")</f>
        <v>http://dx.doi.org/10.4067/S1726-569X2018000100127</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5211</v>
      </c>
      <c r="BT558" s="1" t="str">
        <f>HYPERLINK("https%3A%2F%2Fwww.webofscience.com%2Fwos%2Fwoscc%2Ffull-record%2FWOS:000434512900014","View Full Record in Web of Science")</f>
        <v>View Full Record in Web of Science</v>
      </c>
    </row>
    <row r="559" ht="12.75" customHeight="1">
      <c r="A559" s="1" t="s">
        <v>72</v>
      </c>
      <c r="B559" s="1" t="s">
        <v>5212</v>
      </c>
      <c r="C559" s="1" t="s">
        <v>74</v>
      </c>
      <c r="D559" s="1" t="s">
        <v>74</v>
      </c>
      <c r="E559" s="1" t="s">
        <v>74</v>
      </c>
      <c r="F559" s="1" t="s">
        <v>5213</v>
      </c>
      <c r="G559" s="1" t="s">
        <v>74</v>
      </c>
      <c r="H559" s="1" t="s">
        <v>74</v>
      </c>
      <c r="I559" s="1" t="s">
        <v>5214</v>
      </c>
      <c r="J559" s="1" t="s">
        <v>5215</v>
      </c>
      <c r="K559" s="1" t="s">
        <v>74</v>
      </c>
      <c r="L559" s="1" t="s">
        <v>74</v>
      </c>
      <c r="M559" s="1" t="s">
        <v>74</v>
      </c>
      <c r="N559" s="1" t="s">
        <v>74</v>
      </c>
      <c r="O559" s="1" t="s">
        <v>74</v>
      </c>
      <c r="P559" s="1" t="s">
        <v>74</v>
      </c>
      <c r="Q559" s="1" t="s">
        <v>74</v>
      </c>
      <c r="R559" s="1" t="s">
        <v>74</v>
      </c>
      <c r="S559" s="1" t="s">
        <v>74</v>
      </c>
      <c r="T559" s="1" t="s">
        <v>74</v>
      </c>
      <c r="U559" s="1" t="s">
        <v>74</v>
      </c>
      <c r="V559" s="1" t="s">
        <v>5216</v>
      </c>
      <c r="W559" s="1" t="s">
        <v>74</v>
      </c>
      <c r="X559" s="1" t="s">
        <v>74</v>
      </c>
      <c r="Y559" s="1" t="s">
        <v>74</v>
      </c>
      <c r="Z559" s="1" t="s">
        <v>74</v>
      </c>
      <c r="AA559" s="1" t="s">
        <v>2564</v>
      </c>
      <c r="AB559" s="1" t="s">
        <v>5217</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5218</v>
      </c>
      <c r="AP559" s="1" t="s">
        <v>5219</v>
      </c>
      <c r="AQ559" s="1" t="s">
        <v>74</v>
      </c>
      <c r="AR559" s="1" t="s">
        <v>74</v>
      </c>
      <c r="AS559" s="1" t="s">
        <v>74</v>
      </c>
      <c r="AT559" s="1" t="s">
        <v>3646</v>
      </c>
      <c r="AU559" s="1">
        <v>2017.0</v>
      </c>
      <c r="AV559" s="1">
        <v>1118.0</v>
      </c>
      <c r="AW559" s="1" t="s">
        <v>74</v>
      </c>
      <c r="AX559" s="1" t="s">
        <v>74</v>
      </c>
      <c r="AY559" s="1" t="s">
        <v>74</v>
      </c>
      <c r="AZ559" s="1" t="s">
        <v>74</v>
      </c>
      <c r="BA559" s="1" t="s">
        <v>74</v>
      </c>
      <c r="BB559" s="1">
        <v>65.0</v>
      </c>
      <c r="BC559" s="1">
        <v>74.0</v>
      </c>
      <c r="BD559" s="1" t="s">
        <v>74</v>
      </c>
      <c r="BE559" s="1" t="s">
        <v>5220</v>
      </c>
      <c r="BF559" s="2" t="str">
        <f>HYPERLINK("http://dx.doi.org/10.1016/j.comptc.2017.08.032","http://dx.doi.org/10.1016/j.comptc.2017.08.032")</f>
        <v>http://dx.doi.org/10.1016/j.comptc.2017.08.032</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5221</v>
      </c>
      <c r="BT559" s="1" t="str">
        <f>HYPERLINK("https%3A%2F%2Fwww.webofscience.com%2Fwos%2Fwoscc%2Ffull-record%2FWOS:000413381900007","View Full Record in Web of Science")</f>
        <v>View Full Record in Web of Science</v>
      </c>
    </row>
    <row r="560" ht="12.75" customHeight="1">
      <c r="A560" s="1" t="s">
        <v>72</v>
      </c>
      <c r="B560" s="1" t="s">
        <v>5222</v>
      </c>
      <c r="C560" s="1" t="s">
        <v>74</v>
      </c>
      <c r="D560" s="1" t="s">
        <v>74</v>
      </c>
      <c r="E560" s="1" t="s">
        <v>74</v>
      </c>
      <c r="F560" s="1" t="s">
        <v>5223</v>
      </c>
      <c r="G560" s="1" t="s">
        <v>74</v>
      </c>
      <c r="H560" s="1" t="s">
        <v>74</v>
      </c>
      <c r="I560" s="1" t="s">
        <v>5224</v>
      </c>
      <c r="J560" s="1" t="s">
        <v>5225</v>
      </c>
      <c r="K560" s="1" t="s">
        <v>74</v>
      </c>
      <c r="L560" s="1" t="s">
        <v>74</v>
      </c>
      <c r="M560" s="1" t="s">
        <v>74</v>
      </c>
      <c r="N560" s="1" t="s">
        <v>74</v>
      </c>
      <c r="O560" s="1" t="s">
        <v>74</v>
      </c>
      <c r="P560" s="1" t="s">
        <v>74</v>
      </c>
      <c r="Q560" s="1" t="s">
        <v>74</v>
      </c>
      <c r="R560" s="1" t="s">
        <v>74</v>
      </c>
      <c r="S560" s="1" t="s">
        <v>74</v>
      </c>
      <c r="T560" s="1" t="s">
        <v>74</v>
      </c>
      <c r="U560" s="1" t="s">
        <v>74</v>
      </c>
      <c r="V560" s="1" t="s">
        <v>5226</v>
      </c>
      <c r="W560" s="1" t="s">
        <v>74</v>
      </c>
      <c r="X560" s="1" t="s">
        <v>74</v>
      </c>
      <c r="Y560" s="1" t="s">
        <v>74</v>
      </c>
      <c r="Z560" s="1" t="s">
        <v>74</v>
      </c>
      <c r="AA560" s="1" t="s">
        <v>5227</v>
      </c>
      <c r="AB560" s="1" t="s">
        <v>5228</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5229</v>
      </c>
      <c r="AP560" s="1" t="s">
        <v>5230</v>
      </c>
      <c r="AQ560" s="1" t="s">
        <v>74</v>
      </c>
      <c r="AR560" s="1" t="s">
        <v>74</v>
      </c>
      <c r="AS560" s="1" t="s">
        <v>74</v>
      </c>
      <c r="AT560" s="1" t="s">
        <v>239</v>
      </c>
      <c r="AU560" s="1">
        <v>2017.0</v>
      </c>
      <c r="AV560" s="1">
        <v>33.0</v>
      </c>
      <c r="AW560" s="1">
        <v>1.0</v>
      </c>
      <c r="AX560" s="1" t="s">
        <v>74</v>
      </c>
      <c r="AY560" s="1" t="s">
        <v>74</v>
      </c>
      <c r="AZ560" s="1" t="s">
        <v>74</v>
      </c>
      <c r="BA560" s="1" t="s">
        <v>74</v>
      </c>
      <c r="BB560" s="1">
        <v>22.0</v>
      </c>
      <c r="BC560" s="1">
        <v>34.0</v>
      </c>
      <c r="BD560" s="1" t="s">
        <v>74</v>
      </c>
      <c r="BE560" s="1" t="s">
        <v>5231</v>
      </c>
      <c r="BF560" s="2" t="str">
        <f>HYPERLINK("http://dx.doi.org/10.1002/asmb.2215","http://dx.doi.org/10.1002/asmb.2215")</f>
        <v>http://dx.doi.org/10.1002/asmb.2215</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5232</v>
      </c>
      <c r="BT560" s="1" t="str">
        <f>HYPERLINK("https%3A%2F%2Fwww.webofscience.com%2Fwos%2Fwoscc%2Ffull-record%2FWOS:000394598100005","View Full Record in Web of Science")</f>
        <v>View Full Record in Web of Science</v>
      </c>
    </row>
    <row r="561" ht="12.75" customHeight="1">
      <c r="A561" s="1" t="s">
        <v>72</v>
      </c>
      <c r="B561" s="1" t="s">
        <v>5233</v>
      </c>
      <c r="C561" s="1" t="s">
        <v>74</v>
      </c>
      <c r="D561" s="1" t="s">
        <v>74</v>
      </c>
      <c r="E561" s="1" t="s">
        <v>74</v>
      </c>
      <c r="F561" s="1" t="s">
        <v>5234</v>
      </c>
      <c r="G561" s="1" t="s">
        <v>74</v>
      </c>
      <c r="H561" s="1" t="s">
        <v>74</v>
      </c>
      <c r="I561" s="1" t="s">
        <v>5235</v>
      </c>
      <c r="J561" s="1" t="s">
        <v>222</v>
      </c>
      <c r="K561" s="1" t="s">
        <v>74</v>
      </c>
      <c r="L561" s="1" t="s">
        <v>74</v>
      </c>
      <c r="M561" s="1" t="s">
        <v>74</v>
      </c>
      <c r="N561" s="1" t="s">
        <v>74</v>
      </c>
      <c r="O561" s="1" t="s">
        <v>74</v>
      </c>
      <c r="P561" s="1" t="s">
        <v>74</v>
      </c>
      <c r="Q561" s="1" t="s">
        <v>74</v>
      </c>
      <c r="R561" s="1" t="s">
        <v>74</v>
      </c>
      <c r="S561" s="1" t="s">
        <v>74</v>
      </c>
      <c r="T561" s="1" t="s">
        <v>74</v>
      </c>
      <c r="U561" s="1" t="s">
        <v>74</v>
      </c>
      <c r="V561" s="1" t="s">
        <v>5236</v>
      </c>
      <c r="W561" s="1" t="s">
        <v>74</v>
      </c>
      <c r="X561" s="1" t="s">
        <v>74</v>
      </c>
      <c r="Y561" s="1" t="s">
        <v>74</v>
      </c>
      <c r="Z561" s="1" t="s">
        <v>74</v>
      </c>
      <c r="AA561" s="1" t="s">
        <v>5237</v>
      </c>
      <c r="AB561" s="1" t="s">
        <v>5238</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226</v>
      </c>
      <c r="AP561" s="1" t="s">
        <v>227</v>
      </c>
      <c r="AQ561" s="1" t="s">
        <v>74</v>
      </c>
      <c r="AR561" s="1" t="s">
        <v>74</v>
      </c>
      <c r="AS561" s="1" t="s">
        <v>74</v>
      </c>
      <c r="AT561" s="1" t="s">
        <v>5239</v>
      </c>
      <c r="AU561" s="1">
        <v>2017.0</v>
      </c>
      <c r="AV561" s="1">
        <v>172.0</v>
      </c>
      <c r="AW561" s="1" t="s">
        <v>74</v>
      </c>
      <c r="AX561" s="1" t="s">
        <v>74</v>
      </c>
      <c r="AY561" s="1" t="s">
        <v>74</v>
      </c>
      <c r="AZ561" s="1" t="s">
        <v>74</v>
      </c>
      <c r="BA561" s="1" t="s">
        <v>74</v>
      </c>
      <c r="BB561" s="1">
        <v>296.0</v>
      </c>
      <c r="BC561" s="1">
        <v>302.0</v>
      </c>
      <c r="BD561" s="1" t="s">
        <v>74</v>
      </c>
      <c r="BE561" s="1" t="s">
        <v>5240</v>
      </c>
      <c r="BF561" s="2" t="str">
        <f>HYPERLINK("http://dx.doi.org/10.1016/j.seppur.2016.08.029","http://dx.doi.org/10.1016/j.seppur.2016.08.029")</f>
        <v>http://dx.doi.org/10.1016/j.seppur.2016.08.029</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5241</v>
      </c>
      <c r="BT561" s="1" t="str">
        <f>HYPERLINK("https%3A%2F%2Fwww.webofscience.com%2Fwos%2Fwoscc%2Ffull-record%2FWOS:000385602300034","View Full Record in Web of Science")</f>
        <v>View Full Record in Web of Science</v>
      </c>
    </row>
    <row r="562" ht="12.75" customHeight="1">
      <c r="A562" s="1" t="s">
        <v>72</v>
      </c>
      <c r="B562" s="1" t="s">
        <v>5242</v>
      </c>
      <c r="C562" s="1" t="s">
        <v>74</v>
      </c>
      <c r="D562" s="1" t="s">
        <v>74</v>
      </c>
      <c r="E562" s="1" t="s">
        <v>74</v>
      </c>
      <c r="F562" s="1" t="s">
        <v>5243</v>
      </c>
      <c r="G562" s="1" t="s">
        <v>74</v>
      </c>
      <c r="H562" s="1" t="s">
        <v>74</v>
      </c>
      <c r="I562" s="1" t="s">
        <v>5244</v>
      </c>
      <c r="J562" s="1" t="s">
        <v>5245</v>
      </c>
      <c r="K562" s="1" t="s">
        <v>74</v>
      </c>
      <c r="L562" s="1" t="s">
        <v>74</v>
      </c>
      <c r="M562" s="1" t="s">
        <v>74</v>
      </c>
      <c r="N562" s="1" t="s">
        <v>74</v>
      </c>
      <c r="O562" s="1" t="s">
        <v>74</v>
      </c>
      <c r="P562" s="1" t="s">
        <v>74</v>
      </c>
      <c r="Q562" s="1" t="s">
        <v>74</v>
      </c>
      <c r="R562" s="1" t="s">
        <v>74</v>
      </c>
      <c r="S562" s="1" t="s">
        <v>74</v>
      </c>
      <c r="T562" s="1" t="s">
        <v>74</v>
      </c>
      <c r="U562" s="1" t="s">
        <v>74</v>
      </c>
      <c r="V562" s="1" t="s">
        <v>74</v>
      </c>
      <c r="W562" s="1" t="s">
        <v>74</v>
      </c>
      <c r="X562" s="1" t="s">
        <v>74</v>
      </c>
      <c r="Y562" s="1" t="s">
        <v>74</v>
      </c>
      <c r="Z562" s="1" t="s">
        <v>74</v>
      </c>
      <c r="AA562" s="1" t="s">
        <v>5246</v>
      </c>
      <c r="AB562" s="1" t="s">
        <v>5247</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5248</v>
      </c>
      <c r="AP562" s="1" t="s">
        <v>5249</v>
      </c>
      <c r="AQ562" s="1" t="s">
        <v>74</v>
      </c>
      <c r="AR562" s="1" t="s">
        <v>74</v>
      </c>
      <c r="AS562" s="1" t="s">
        <v>74</v>
      </c>
      <c r="AT562" s="1" t="s">
        <v>5250</v>
      </c>
      <c r="AU562" s="1">
        <v>2016.0</v>
      </c>
      <c r="AV562" s="1">
        <v>58.0</v>
      </c>
      <c r="AW562" s="1">
        <v>4.0</v>
      </c>
      <c r="AX562" s="1" t="s">
        <v>74</v>
      </c>
      <c r="AY562" s="1" t="s">
        <v>74</v>
      </c>
      <c r="AZ562" s="1" t="s">
        <v>74</v>
      </c>
      <c r="BA562" s="1" t="s">
        <v>74</v>
      </c>
      <c r="BB562" s="1">
        <v>161.0</v>
      </c>
      <c r="BC562" s="1">
        <v>163.0</v>
      </c>
      <c r="BD562" s="1" t="s">
        <v>74</v>
      </c>
      <c r="BE562" s="1" t="s">
        <v>5251</v>
      </c>
      <c r="BF562" s="2" t="str">
        <f>HYPERLINK("http://dx.doi.org/10.1017/S1531426X0000251X","http://dx.doi.org/10.1017/S1531426X0000251X")</f>
        <v>http://dx.doi.org/10.1017/S1531426X0000251X</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5252</v>
      </c>
      <c r="BT562" s="1" t="str">
        <f>HYPERLINK("https%3A%2F%2Fwww.webofscience.com%2Fwos%2Fwoscc%2Ffull-record%2FWOS:000387321300015","View Full Record in Web of Science")</f>
        <v>View Full Record in Web of Science</v>
      </c>
    </row>
    <row r="563" ht="12.75" customHeight="1">
      <c r="A563" s="1" t="s">
        <v>72</v>
      </c>
      <c r="B563" s="1" t="s">
        <v>5253</v>
      </c>
      <c r="C563" s="1" t="s">
        <v>74</v>
      </c>
      <c r="D563" s="1" t="s">
        <v>74</v>
      </c>
      <c r="E563" s="1" t="s">
        <v>74</v>
      </c>
      <c r="F563" s="1" t="s">
        <v>5254</v>
      </c>
      <c r="G563" s="1" t="s">
        <v>74</v>
      </c>
      <c r="H563" s="1" t="s">
        <v>74</v>
      </c>
      <c r="I563" s="1" t="s">
        <v>5255</v>
      </c>
      <c r="J563" s="1" t="s">
        <v>337</v>
      </c>
      <c r="K563" s="1" t="s">
        <v>74</v>
      </c>
      <c r="L563" s="1" t="s">
        <v>74</v>
      </c>
      <c r="M563" s="1" t="s">
        <v>74</v>
      </c>
      <c r="N563" s="1" t="s">
        <v>74</v>
      </c>
      <c r="O563" s="1" t="s">
        <v>74</v>
      </c>
      <c r="P563" s="1" t="s">
        <v>74</v>
      </c>
      <c r="Q563" s="1" t="s">
        <v>74</v>
      </c>
      <c r="R563" s="1" t="s">
        <v>74</v>
      </c>
      <c r="S563" s="1" t="s">
        <v>74</v>
      </c>
      <c r="T563" s="1" t="s">
        <v>74</v>
      </c>
      <c r="U563" s="1" t="s">
        <v>74</v>
      </c>
      <c r="V563" s="1" t="s">
        <v>5256</v>
      </c>
      <c r="W563" s="1" t="s">
        <v>74</v>
      </c>
      <c r="X563" s="1" t="s">
        <v>74</v>
      </c>
      <c r="Y563" s="1" t="s">
        <v>74</v>
      </c>
      <c r="Z563" s="1" t="s">
        <v>74</v>
      </c>
      <c r="AA563" s="1" t="s">
        <v>5257</v>
      </c>
      <c r="AB563" s="1" t="s">
        <v>5258</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5259</v>
      </c>
      <c r="AP563" s="1" t="s">
        <v>5260</v>
      </c>
      <c r="AQ563" s="1" t="s">
        <v>74</v>
      </c>
      <c r="AR563" s="1" t="s">
        <v>74</v>
      </c>
      <c r="AS563" s="1" t="s">
        <v>74</v>
      </c>
      <c r="AT563" s="1" t="s">
        <v>1558</v>
      </c>
      <c r="AU563" s="1">
        <v>2016.0</v>
      </c>
      <c r="AV563" s="1">
        <v>94.0</v>
      </c>
      <c r="AW563" s="1">
        <v>2.0</v>
      </c>
      <c r="AX563" s="1" t="s">
        <v>74</v>
      </c>
      <c r="AY563" s="1" t="s">
        <v>74</v>
      </c>
      <c r="AZ563" s="1" t="s">
        <v>74</v>
      </c>
      <c r="BA563" s="1" t="s">
        <v>74</v>
      </c>
      <c r="BB563" s="1" t="s">
        <v>74</v>
      </c>
      <c r="BC563" s="1" t="s">
        <v>74</v>
      </c>
      <c r="BD563" s="1">
        <v>21101.0</v>
      </c>
      <c r="BE563" s="1" t="s">
        <v>5261</v>
      </c>
      <c r="BF563" s="2" t="str">
        <f>HYPERLINK("http://dx.doi.org/10.1103/PhysRevE.94.021101","http://dx.doi.org/10.1103/PhysRevE.94.021101")</f>
        <v>http://dx.doi.org/10.1103/PhysRevE.94.021101</v>
      </c>
      <c r="BG563" s="1" t="s">
        <v>74</v>
      </c>
      <c r="BH563" s="1" t="s">
        <v>74</v>
      </c>
      <c r="BI563" s="1" t="s">
        <v>74</v>
      </c>
      <c r="BJ563" s="1" t="s">
        <v>74</v>
      </c>
      <c r="BK563" s="1" t="s">
        <v>74</v>
      </c>
      <c r="BL563" s="1" t="s">
        <v>74</v>
      </c>
      <c r="BM563" s="1" t="s">
        <v>74</v>
      </c>
      <c r="BN563" s="1">
        <v>2.7627233E7</v>
      </c>
      <c r="BO563" s="1" t="s">
        <v>74</v>
      </c>
      <c r="BP563" s="1" t="s">
        <v>74</v>
      </c>
      <c r="BQ563" s="1" t="s">
        <v>74</v>
      </c>
      <c r="BR563" s="1" t="s">
        <v>74</v>
      </c>
      <c r="BS563" s="1" t="s">
        <v>5262</v>
      </c>
      <c r="BT563" s="1" t="str">
        <f>HYPERLINK("https%3A%2F%2Fwww.webofscience.com%2Fwos%2Fwoscc%2Ffull-record%2FWOS:000380964400001","View Full Record in Web of Science")</f>
        <v>View Full Record in Web of Science</v>
      </c>
    </row>
    <row r="564" ht="12.75" customHeight="1">
      <c r="A564" s="1" t="s">
        <v>72</v>
      </c>
      <c r="B564" s="1" t="s">
        <v>5263</v>
      </c>
      <c r="C564" s="1" t="s">
        <v>74</v>
      </c>
      <c r="D564" s="1" t="s">
        <v>74</v>
      </c>
      <c r="E564" s="1" t="s">
        <v>74</v>
      </c>
      <c r="F564" s="1" t="s">
        <v>5264</v>
      </c>
      <c r="G564" s="1" t="s">
        <v>74</v>
      </c>
      <c r="H564" s="1" t="s">
        <v>74</v>
      </c>
      <c r="I564" s="1" t="s">
        <v>5265</v>
      </c>
      <c r="J564" s="1" t="s">
        <v>5266</v>
      </c>
      <c r="K564" s="1" t="s">
        <v>74</v>
      </c>
      <c r="L564" s="1" t="s">
        <v>74</v>
      </c>
      <c r="M564" s="1" t="s">
        <v>74</v>
      </c>
      <c r="N564" s="1" t="s">
        <v>74</v>
      </c>
      <c r="O564" s="1" t="s">
        <v>74</v>
      </c>
      <c r="P564" s="1" t="s">
        <v>74</v>
      </c>
      <c r="Q564" s="1" t="s">
        <v>74</v>
      </c>
      <c r="R564" s="1" t="s">
        <v>74</v>
      </c>
      <c r="S564" s="1" t="s">
        <v>74</v>
      </c>
      <c r="T564" s="1" t="s">
        <v>74</v>
      </c>
      <c r="U564" s="1" t="s">
        <v>74</v>
      </c>
      <c r="V564" s="1" t="s">
        <v>5267</v>
      </c>
      <c r="W564" s="1" t="s">
        <v>74</v>
      </c>
      <c r="X564" s="1" t="s">
        <v>74</v>
      </c>
      <c r="Y564" s="1" t="s">
        <v>74</v>
      </c>
      <c r="Z564" s="1" t="s">
        <v>74</v>
      </c>
      <c r="AA564" s="1" t="s">
        <v>74</v>
      </c>
      <c r="AB564" s="1" t="s">
        <v>5268</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5269</v>
      </c>
      <c r="AP564" s="1" t="s">
        <v>5270</v>
      </c>
      <c r="AQ564" s="1" t="s">
        <v>74</v>
      </c>
      <c r="AR564" s="1" t="s">
        <v>74</v>
      </c>
      <c r="AS564" s="1" t="s">
        <v>74</v>
      </c>
      <c r="AT564" s="1" t="s">
        <v>94</v>
      </c>
      <c r="AU564" s="1">
        <v>2016.0</v>
      </c>
      <c r="AV564" s="1">
        <v>44.0</v>
      </c>
      <c r="AW564" s="1">
        <v>1.0</v>
      </c>
      <c r="AX564" s="1" t="s">
        <v>74</v>
      </c>
      <c r="AY564" s="1" t="s">
        <v>74</v>
      </c>
      <c r="AZ564" s="1" t="s">
        <v>74</v>
      </c>
      <c r="BA564" s="1" t="s">
        <v>74</v>
      </c>
      <c r="BB564" s="1">
        <v>43.0</v>
      </c>
      <c r="BC564" s="1">
        <v>51.0</v>
      </c>
      <c r="BD564" s="1" t="s">
        <v>74</v>
      </c>
      <c r="BE564" s="1" t="s">
        <v>5271</v>
      </c>
      <c r="BF564" s="2" t="str">
        <f>HYPERLINK("http://dx.doi.org/10.1007/s11118-015-9497-y","http://dx.doi.org/10.1007/s11118-015-9497-y")</f>
        <v>http://dx.doi.org/10.1007/s11118-015-9497-y</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5272</v>
      </c>
      <c r="BT564" s="1" t="str">
        <f>HYPERLINK("https%3A%2F%2Fwww.webofscience.com%2Fwos%2Fwoscc%2Ffull-record%2FWOS:000369254900003","View Full Record in Web of Science")</f>
        <v>View Full Record in Web of Science</v>
      </c>
    </row>
    <row r="565" ht="12.75" customHeight="1">
      <c r="A565" s="1" t="s">
        <v>241</v>
      </c>
      <c r="B565" s="1" t="s">
        <v>5273</v>
      </c>
      <c r="C565" s="1" t="s">
        <v>74</v>
      </c>
      <c r="D565" s="1" t="s">
        <v>74</v>
      </c>
      <c r="E565" s="1" t="s">
        <v>427</v>
      </c>
      <c r="F565" s="1" t="s">
        <v>5274</v>
      </c>
      <c r="G565" s="1" t="s">
        <v>74</v>
      </c>
      <c r="H565" s="1" t="s">
        <v>74</v>
      </c>
      <c r="I565" s="1" t="s">
        <v>5275</v>
      </c>
      <c r="J565" s="1" t="s">
        <v>2541</v>
      </c>
      <c r="K565" s="1" t="s">
        <v>74</v>
      </c>
      <c r="L565" s="1" t="s">
        <v>74</v>
      </c>
      <c r="M565" s="1" t="s">
        <v>74</v>
      </c>
      <c r="N565" s="1" t="s">
        <v>74</v>
      </c>
      <c r="O565" s="1" t="s">
        <v>2542</v>
      </c>
      <c r="P565" s="1" t="s">
        <v>2543</v>
      </c>
      <c r="Q565" s="1" t="s">
        <v>2544</v>
      </c>
      <c r="R565" s="1" t="s">
        <v>427</v>
      </c>
      <c r="S565" s="1" t="s">
        <v>2545</v>
      </c>
      <c r="T565" s="1" t="s">
        <v>74</v>
      </c>
      <c r="U565" s="1" t="s">
        <v>74</v>
      </c>
      <c r="V565" s="1" t="s">
        <v>5276</v>
      </c>
      <c r="W565" s="1" t="s">
        <v>74</v>
      </c>
      <c r="X565" s="1" t="s">
        <v>74</v>
      </c>
      <c r="Y565" s="1" t="s">
        <v>74</v>
      </c>
      <c r="Z565" s="1" t="s">
        <v>74</v>
      </c>
      <c r="AA565" s="1" t="s">
        <v>5277</v>
      </c>
      <c r="AB565" s="1" t="s">
        <v>74</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74</v>
      </c>
      <c r="AP565" s="1" t="s">
        <v>74</v>
      </c>
      <c r="AQ565" s="1" t="s">
        <v>2548</v>
      </c>
      <c r="AR565" s="1" t="s">
        <v>74</v>
      </c>
      <c r="AS565" s="1" t="s">
        <v>74</v>
      </c>
      <c r="AT565" s="1" t="s">
        <v>74</v>
      </c>
      <c r="AU565" s="1">
        <v>2016.0</v>
      </c>
      <c r="AV565" s="1" t="s">
        <v>74</v>
      </c>
      <c r="AW565" s="1" t="s">
        <v>74</v>
      </c>
      <c r="AX565" s="1" t="s">
        <v>74</v>
      </c>
      <c r="AY565" s="1" t="s">
        <v>74</v>
      </c>
      <c r="AZ565" s="1" t="s">
        <v>74</v>
      </c>
      <c r="BA565" s="1" t="s">
        <v>74</v>
      </c>
      <c r="BB565" s="1" t="s">
        <v>74</v>
      </c>
      <c r="BC565" s="1" t="s">
        <v>74</v>
      </c>
      <c r="BD565" s="1" t="s">
        <v>74</v>
      </c>
      <c r="BE565" s="1" t="s">
        <v>74</v>
      </c>
      <c r="BF565" s="1" t="s">
        <v>74</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5278</v>
      </c>
      <c r="BT565" s="1" t="str">
        <f>HYPERLINK("https%3A%2F%2Fwww.webofscience.com%2Fwos%2Fwoscc%2Ffull-record%2FWOS:000390556300059","View Full Record in Web of Science")</f>
        <v>View Full Record in Web of Science</v>
      </c>
    </row>
    <row r="566" ht="12.75" customHeight="1">
      <c r="A566" s="1" t="s">
        <v>72</v>
      </c>
      <c r="B566" s="1" t="s">
        <v>5279</v>
      </c>
      <c r="C566" s="1" t="s">
        <v>74</v>
      </c>
      <c r="D566" s="1" t="s">
        <v>74</v>
      </c>
      <c r="E566" s="1" t="s">
        <v>74</v>
      </c>
      <c r="F566" s="1" t="s">
        <v>5280</v>
      </c>
      <c r="G566" s="1" t="s">
        <v>74</v>
      </c>
      <c r="H566" s="1" t="s">
        <v>74</v>
      </c>
      <c r="I566" s="1" t="s">
        <v>5281</v>
      </c>
      <c r="J566" s="1" t="s">
        <v>4116</v>
      </c>
      <c r="K566" s="1" t="s">
        <v>74</v>
      </c>
      <c r="L566" s="1" t="s">
        <v>74</v>
      </c>
      <c r="M566" s="1" t="s">
        <v>74</v>
      </c>
      <c r="N566" s="1" t="s">
        <v>74</v>
      </c>
      <c r="O566" s="1" t="s">
        <v>74</v>
      </c>
      <c r="P566" s="1" t="s">
        <v>74</v>
      </c>
      <c r="Q566" s="1" t="s">
        <v>74</v>
      </c>
      <c r="R566" s="1" t="s">
        <v>74</v>
      </c>
      <c r="S566" s="1" t="s">
        <v>74</v>
      </c>
      <c r="T566" s="1" t="s">
        <v>74</v>
      </c>
      <c r="U566" s="1" t="s">
        <v>74</v>
      </c>
      <c r="V566" s="1" t="s">
        <v>5282</v>
      </c>
      <c r="W566" s="1" t="s">
        <v>74</v>
      </c>
      <c r="X566" s="1" t="s">
        <v>74</v>
      </c>
      <c r="Y566" s="1" t="s">
        <v>74</v>
      </c>
      <c r="Z566" s="1" t="s">
        <v>74</v>
      </c>
      <c r="AA566" s="1" t="s">
        <v>5283</v>
      </c>
      <c r="AB566" s="1" t="s">
        <v>5284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4118</v>
      </c>
      <c r="AP566" s="1" t="s">
        <v>4119</v>
      </c>
      <c r="AQ566" s="1" t="s">
        <v>74</v>
      </c>
      <c r="AR566" s="1" t="s">
        <v>74</v>
      </c>
      <c r="AS566" s="1" t="s">
        <v>74</v>
      </c>
      <c r="AT566" s="1" t="s">
        <v>3507</v>
      </c>
      <c r="AU566" s="1">
        <v>2015.0</v>
      </c>
      <c r="AV566" s="1">
        <v>299.0</v>
      </c>
      <c r="AW566" s="1" t="s">
        <v>74</v>
      </c>
      <c r="AX566" s="1" t="s">
        <v>74</v>
      </c>
      <c r="AY566" s="1" t="s">
        <v>74</v>
      </c>
      <c r="AZ566" s="1" t="s">
        <v>74</v>
      </c>
      <c r="BA566" s="1" t="s">
        <v>74</v>
      </c>
      <c r="BB566" s="1">
        <v>675.0</v>
      </c>
      <c r="BC566" s="1">
        <v>684.0</v>
      </c>
      <c r="BD566" s="1" t="s">
        <v>74</v>
      </c>
      <c r="BE566" s="1" t="s">
        <v>5285</v>
      </c>
      <c r="BF566" s="2" t="str">
        <f>HYPERLINK("http://dx.doi.org/10.1016/j.jhazmat.2015.08.007","http://dx.doi.org/10.1016/j.jhazmat.2015.08.007")</f>
        <v>http://dx.doi.org/10.1016/j.jhazmat.2015.08.007</v>
      </c>
      <c r="BG566" s="1" t="s">
        <v>74</v>
      </c>
      <c r="BH566" s="1" t="s">
        <v>74</v>
      </c>
      <c r="BI566" s="1" t="s">
        <v>74</v>
      </c>
      <c r="BJ566" s="1" t="s">
        <v>74</v>
      </c>
      <c r="BK566" s="1" t="s">
        <v>74</v>
      </c>
      <c r="BL566" s="1" t="s">
        <v>74</v>
      </c>
      <c r="BM566" s="1" t="s">
        <v>74</v>
      </c>
      <c r="BN566" s="1">
        <v>2.6280372E7</v>
      </c>
      <c r="BO566" s="1" t="s">
        <v>74</v>
      </c>
      <c r="BP566" s="1" t="s">
        <v>74</v>
      </c>
      <c r="BQ566" s="1" t="s">
        <v>74</v>
      </c>
      <c r="BR566" s="1" t="s">
        <v>74</v>
      </c>
      <c r="BS566" s="1" t="s">
        <v>5286</v>
      </c>
      <c r="BT566" s="1" t="str">
        <f>HYPERLINK("https%3A%2F%2Fwww.webofscience.com%2Fwos%2Fwoscc%2Ffull-record%2FWOS:000367411000075","View Full Record in Web of Science")</f>
        <v>View Full Record in Web of Science</v>
      </c>
    </row>
    <row r="567" ht="12.75" customHeight="1">
      <c r="A567" s="1" t="s">
        <v>72</v>
      </c>
      <c r="B567" s="1" t="s">
        <v>5287</v>
      </c>
      <c r="C567" s="1" t="s">
        <v>74</v>
      </c>
      <c r="D567" s="1" t="s">
        <v>74</v>
      </c>
      <c r="E567" s="1" t="s">
        <v>74</v>
      </c>
      <c r="F567" s="1" t="s">
        <v>5288</v>
      </c>
      <c r="G567" s="1" t="s">
        <v>74</v>
      </c>
      <c r="H567" s="1" t="s">
        <v>74</v>
      </c>
      <c r="I567" s="1" t="s">
        <v>5289</v>
      </c>
      <c r="J567" s="1" t="s">
        <v>837</v>
      </c>
      <c r="K567" s="1" t="s">
        <v>74</v>
      </c>
      <c r="L567" s="1" t="s">
        <v>74</v>
      </c>
      <c r="M567" s="1" t="s">
        <v>74</v>
      </c>
      <c r="N567" s="1" t="s">
        <v>74</v>
      </c>
      <c r="O567" s="1" t="s">
        <v>74</v>
      </c>
      <c r="P567" s="1" t="s">
        <v>74</v>
      </c>
      <c r="Q567" s="1" t="s">
        <v>74</v>
      </c>
      <c r="R567" s="1" t="s">
        <v>74</v>
      </c>
      <c r="S567" s="1" t="s">
        <v>74</v>
      </c>
      <c r="T567" s="1" t="s">
        <v>74</v>
      </c>
      <c r="U567" s="1" t="s">
        <v>74</v>
      </c>
      <c r="V567" s="1" t="s">
        <v>5290</v>
      </c>
      <c r="W567" s="1" t="s">
        <v>74</v>
      </c>
      <c r="X567" s="1" t="s">
        <v>74</v>
      </c>
      <c r="Y567" s="1" t="s">
        <v>74</v>
      </c>
      <c r="Z567" s="1" t="s">
        <v>74</v>
      </c>
      <c r="AA567" s="1" t="s">
        <v>5291</v>
      </c>
      <c r="AB567" s="1" t="s">
        <v>5292</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839</v>
      </c>
      <c r="AP567" s="1" t="s">
        <v>74</v>
      </c>
      <c r="AQ567" s="1" t="s">
        <v>74</v>
      </c>
      <c r="AR567" s="1" t="s">
        <v>74</v>
      </c>
      <c r="AS567" s="1" t="s">
        <v>74</v>
      </c>
      <c r="AT567" s="1" t="s">
        <v>1158</v>
      </c>
      <c r="AU567" s="1">
        <v>2015.0</v>
      </c>
      <c r="AV567" s="1">
        <v>5.0</v>
      </c>
      <c r="AW567" s="1" t="s">
        <v>74</v>
      </c>
      <c r="AX567" s="1" t="s">
        <v>74</v>
      </c>
      <c r="AY567" s="1" t="s">
        <v>74</v>
      </c>
      <c r="AZ567" s="1" t="s">
        <v>74</v>
      </c>
      <c r="BA567" s="1" t="s">
        <v>74</v>
      </c>
      <c r="BB567" s="1" t="s">
        <v>74</v>
      </c>
      <c r="BC567" s="1" t="s">
        <v>74</v>
      </c>
      <c r="BD567" s="1">
        <v>16035.0</v>
      </c>
      <c r="BE567" s="1" t="s">
        <v>5293</v>
      </c>
      <c r="BF567" s="2" t="str">
        <f>HYPERLINK("http://dx.doi.org/10.1038/srep16035","http://dx.doi.org/10.1038/srep16035")</f>
        <v>http://dx.doi.org/10.1038/srep16035</v>
      </c>
      <c r="BG567" s="1" t="s">
        <v>74</v>
      </c>
      <c r="BH567" s="1" t="s">
        <v>74</v>
      </c>
      <c r="BI567" s="1" t="s">
        <v>74</v>
      </c>
      <c r="BJ567" s="1" t="s">
        <v>74</v>
      </c>
      <c r="BK567" s="1" t="s">
        <v>74</v>
      </c>
      <c r="BL567" s="1" t="s">
        <v>74</v>
      </c>
      <c r="BM567" s="1" t="s">
        <v>74</v>
      </c>
      <c r="BN567" s="1">
        <v>2.6538006E7</v>
      </c>
      <c r="BO567" s="1" t="s">
        <v>74</v>
      </c>
      <c r="BP567" s="1" t="s">
        <v>74</v>
      </c>
      <c r="BQ567" s="1" t="s">
        <v>74</v>
      </c>
      <c r="BR567" s="1" t="s">
        <v>74</v>
      </c>
      <c r="BS567" s="1" t="s">
        <v>5294</v>
      </c>
      <c r="BT567" s="1" t="str">
        <f>HYPERLINK("https%3A%2F%2Fwww.webofscience.com%2Fwos%2Fwoscc%2Ffull-record%2FWOS:000364147800001","View Full Record in Web of Science")</f>
        <v>View Full Record in Web of Science</v>
      </c>
    </row>
    <row r="568" ht="12.75" customHeight="1">
      <c r="A568" s="1" t="s">
        <v>241</v>
      </c>
      <c r="B568" s="1" t="s">
        <v>5295</v>
      </c>
      <c r="C568" s="1" t="s">
        <v>74</v>
      </c>
      <c r="D568" s="1" t="s">
        <v>74</v>
      </c>
      <c r="E568" s="1" t="s">
        <v>5296</v>
      </c>
      <c r="F568" s="1" t="s">
        <v>5297</v>
      </c>
      <c r="G568" s="1" t="s">
        <v>74</v>
      </c>
      <c r="H568" s="1" t="s">
        <v>74</v>
      </c>
      <c r="I568" s="1" t="s">
        <v>5298</v>
      </c>
      <c r="J568" s="1" t="s">
        <v>5299</v>
      </c>
      <c r="K568" s="1" t="s">
        <v>5300</v>
      </c>
      <c r="L568" s="1" t="s">
        <v>74</v>
      </c>
      <c r="M568" s="1" t="s">
        <v>74</v>
      </c>
      <c r="N568" s="1" t="s">
        <v>74</v>
      </c>
      <c r="O568" s="1" t="s">
        <v>5301</v>
      </c>
      <c r="P568" s="1" t="s">
        <v>5302</v>
      </c>
      <c r="Q568" s="1" t="s">
        <v>5303</v>
      </c>
      <c r="R568" s="1" t="s">
        <v>5304</v>
      </c>
      <c r="S568" s="1" t="s">
        <v>74</v>
      </c>
      <c r="T568" s="1" t="s">
        <v>74</v>
      </c>
      <c r="U568" s="1" t="s">
        <v>74</v>
      </c>
      <c r="V568" s="1" t="s">
        <v>5305</v>
      </c>
      <c r="W568" s="1" t="s">
        <v>74</v>
      </c>
      <c r="X568" s="1" t="s">
        <v>74</v>
      </c>
      <c r="Y568" s="1" t="s">
        <v>74</v>
      </c>
      <c r="Z568" s="1" t="s">
        <v>74</v>
      </c>
      <c r="AA568" s="1" t="s">
        <v>5306</v>
      </c>
      <c r="AB568" s="1" t="s">
        <v>5307</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5308</v>
      </c>
      <c r="AP568" s="1" t="s">
        <v>74</v>
      </c>
      <c r="AQ568" s="1" t="s">
        <v>74</v>
      </c>
      <c r="AR568" s="1" t="s">
        <v>74</v>
      </c>
      <c r="AS568" s="1" t="s">
        <v>74</v>
      </c>
      <c r="AT568" s="1" t="s">
        <v>74</v>
      </c>
      <c r="AU568" s="1">
        <v>2015.0</v>
      </c>
      <c r="AV568" s="1">
        <v>602.0</v>
      </c>
      <c r="AW568" s="1" t="s">
        <v>74</v>
      </c>
      <c r="AX568" s="1" t="s">
        <v>74</v>
      </c>
      <c r="AY568" s="1" t="s">
        <v>74</v>
      </c>
      <c r="AZ568" s="1" t="s">
        <v>74</v>
      </c>
      <c r="BA568" s="1" t="s">
        <v>74</v>
      </c>
      <c r="BB568" s="1" t="s">
        <v>74</v>
      </c>
      <c r="BC568" s="1" t="s">
        <v>74</v>
      </c>
      <c r="BD568" s="1">
        <v>12013.0</v>
      </c>
      <c r="BE568" s="1" t="s">
        <v>5309</v>
      </c>
      <c r="BF568" s="2" t="str">
        <f>HYPERLINK("http://dx.doi.org/10.1088/1742-6596/602/1/012013","http://dx.doi.org/10.1088/1742-6596/602/1/012013")</f>
        <v>http://dx.doi.org/10.1088/1742-6596/602/1/012013</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5310</v>
      </c>
      <c r="BT568" s="1" t="str">
        <f>HYPERLINK("https%3A%2F%2Fwww.webofscience.com%2Fwos%2Fwoscc%2Ffull-record%2FWOS:000354704800013","View Full Record in Web of Science")</f>
        <v>View Full Record in Web of Science</v>
      </c>
    </row>
    <row r="569" ht="12.75" customHeight="1">
      <c r="A569" s="1" t="s">
        <v>72</v>
      </c>
      <c r="B569" s="1" t="s">
        <v>5311</v>
      </c>
      <c r="C569" s="1" t="s">
        <v>74</v>
      </c>
      <c r="D569" s="1" t="s">
        <v>74</v>
      </c>
      <c r="E569" s="1" t="s">
        <v>74</v>
      </c>
      <c r="F569" s="1" t="s">
        <v>5312</v>
      </c>
      <c r="G569" s="1" t="s">
        <v>74</v>
      </c>
      <c r="H569" s="1" t="s">
        <v>74</v>
      </c>
      <c r="I569" s="1" t="s">
        <v>5313</v>
      </c>
      <c r="J569" s="1" t="s">
        <v>5314</v>
      </c>
      <c r="K569" s="1" t="s">
        <v>74</v>
      </c>
      <c r="L569" s="1" t="s">
        <v>74</v>
      </c>
      <c r="M569" s="1" t="s">
        <v>74</v>
      </c>
      <c r="N569" s="1" t="s">
        <v>74</v>
      </c>
      <c r="O569" s="1" t="s">
        <v>74</v>
      </c>
      <c r="P569" s="1" t="s">
        <v>74</v>
      </c>
      <c r="Q569" s="1" t="s">
        <v>74</v>
      </c>
      <c r="R569" s="1" t="s">
        <v>74</v>
      </c>
      <c r="S569" s="1" t="s">
        <v>74</v>
      </c>
      <c r="T569" s="1" t="s">
        <v>74</v>
      </c>
      <c r="U569" s="1" t="s">
        <v>74</v>
      </c>
      <c r="V569" s="1" t="s">
        <v>5315</v>
      </c>
      <c r="W569" s="1" t="s">
        <v>74</v>
      </c>
      <c r="X569" s="1" t="s">
        <v>74</v>
      </c>
      <c r="Y569" s="1" t="s">
        <v>74</v>
      </c>
      <c r="Z569" s="1" t="s">
        <v>74</v>
      </c>
      <c r="AA569" s="1" t="s">
        <v>5316</v>
      </c>
      <c r="AB569" s="1" t="s">
        <v>5317</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5318</v>
      </c>
      <c r="AP569" s="1" t="s">
        <v>5319</v>
      </c>
      <c r="AQ569" s="1" t="s">
        <v>74</v>
      </c>
      <c r="AR569" s="1" t="s">
        <v>74</v>
      </c>
      <c r="AS569" s="1" t="s">
        <v>74</v>
      </c>
      <c r="AT569" s="1" t="s">
        <v>353</v>
      </c>
      <c r="AU569" s="1">
        <v>2014.0</v>
      </c>
      <c r="AV569" s="1">
        <v>48.0</v>
      </c>
      <c r="AW569" s="1">
        <v>5.0</v>
      </c>
      <c r="AX569" s="1" t="s">
        <v>74</v>
      </c>
      <c r="AY569" s="1" t="s">
        <v>74</v>
      </c>
      <c r="AZ569" s="1" t="s">
        <v>74</v>
      </c>
      <c r="BA569" s="1" t="s">
        <v>74</v>
      </c>
      <c r="BB569" s="1">
        <v>739.0</v>
      </c>
      <c r="BC569" s="1">
        <v>749.0</v>
      </c>
      <c r="BD569" s="1" t="s">
        <v>74</v>
      </c>
      <c r="BE569" s="1" t="s">
        <v>5320</v>
      </c>
      <c r="BF569" s="2" t="str">
        <f>HYPERLINK("http://dx.doi.org/10.1590/S0034-8910.2014048004759","http://dx.doi.org/10.1590/S0034-8910.2014048004759")</f>
        <v>http://dx.doi.org/10.1590/S0034-8910.2014048004759</v>
      </c>
      <c r="BG569" s="1" t="s">
        <v>74</v>
      </c>
      <c r="BH569" s="1" t="s">
        <v>74</v>
      </c>
      <c r="BI569" s="1" t="s">
        <v>74</v>
      </c>
      <c r="BJ569" s="1" t="s">
        <v>74</v>
      </c>
      <c r="BK569" s="1" t="s">
        <v>74</v>
      </c>
      <c r="BL569" s="1" t="s">
        <v>74</v>
      </c>
      <c r="BM569" s="1" t="s">
        <v>74</v>
      </c>
      <c r="BN569" s="1">
        <v>2.5372164E7</v>
      </c>
      <c r="BO569" s="1" t="s">
        <v>74</v>
      </c>
      <c r="BP569" s="1" t="s">
        <v>74</v>
      </c>
      <c r="BQ569" s="1" t="s">
        <v>74</v>
      </c>
      <c r="BR569" s="1" t="s">
        <v>74</v>
      </c>
      <c r="BS569" s="1" t="s">
        <v>5321</v>
      </c>
      <c r="BT569" s="1" t="str">
        <f>HYPERLINK("https%3A%2F%2Fwww.webofscience.com%2Fwos%2Fwoscc%2Ffull-record%2FWOS:000344469200004","View Full Record in Web of Science")</f>
        <v>View Full Record in Web of Science</v>
      </c>
    </row>
    <row r="570" ht="12.75" customHeight="1">
      <c r="A570" s="1" t="s">
        <v>72</v>
      </c>
      <c r="B570" s="1" t="s">
        <v>5322</v>
      </c>
      <c r="C570" s="1" t="s">
        <v>74</v>
      </c>
      <c r="D570" s="1" t="s">
        <v>74</v>
      </c>
      <c r="E570" s="1" t="s">
        <v>74</v>
      </c>
      <c r="F570" s="1" t="s">
        <v>5323</v>
      </c>
      <c r="G570" s="1" t="s">
        <v>74</v>
      </c>
      <c r="H570" s="1" t="s">
        <v>74</v>
      </c>
      <c r="I570" s="1" t="s">
        <v>5324</v>
      </c>
      <c r="J570" s="1" t="s">
        <v>5325</v>
      </c>
      <c r="K570" s="1" t="s">
        <v>74</v>
      </c>
      <c r="L570" s="1" t="s">
        <v>74</v>
      </c>
      <c r="M570" s="1" t="s">
        <v>74</v>
      </c>
      <c r="N570" s="1" t="s">
        <v>74</v>
      </c>
      <c r="O570" s="1" t="s">
        <v>74</v>
      </c>
      <c r="P570" s="1" t="s">
        <v>74</v>
      </c>
      <c r="Q570" s="1" t="s">
        <v>74</v>
      </c>
      <c r="R570" s="1" t="s">
        <v>74</v>
      </c>
      <c r="S570" s="1" t="s">
        <v>74</v>
      </c>
      <c r="T570" s="1" t="s">
        <v>74</v>
      </c>
      <c r="U570" s="1" t="s">
        <v>74</v>
      </c>
      <c r="V570" s="1" t="s">
        <v>5326</v>
      </c>
      <c r="W570" s="1" t="s">
        <v>74</v>
      </c>
      <c r="X570" s="1" t="s">
        <v>74</v>
      </c>
      <c r="Y570" s="1" t="s">
        <v>74</v>
      </c>
      <c r="Z570" s="1" t="s">
        <v>74</v>
      </c>
      <c r="AA570" s="1" t="s">
        <v>74</v>
      </c>
      <c r="AB570" s="1" t="s">
        <v>5327</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5328</v>
      </c>
      <c r="AP570" s="1" t="s">
        <v>5329</v>
      </c>
      <c r="AQ570" s="1" t="s">
        <v>74</v>
      </c>
      <c r="AR570" s="1" t="s">
        <v>74</v>
      </c>
      <c r="AS570" s="1" t="s">
        <v>74</v>
      </c>
      <c r="AT570" s="1" t="s">
        <v>116</v>
      </c>
      <c r="AU570" s="1">
        <v>2014.0</v>
      </c>
      <c r="AV570" s="1">
        <v>42.0</v>
      </c>
      <c r="AW570" s="1">
        <v>5.0</v>
      </c>
      <c r="AX570" s="1" t="s">
        <v>74</v>
      </c>
      <c r="AY570" s="1" t="s">
        <v>74</v>
      </c>
      <c r="AZ570" s="1" t="s">
        <v>74</v>
      </c>
      <c r="BA570" s="1" t="s">
        <v>74</v>
      </c>
      <c r="BB570" s="1">
        <v>343.0</v>
      </c>
      <c r="BC570" s="1">
        <v>347.0</v>
      </c>
      <c r="BD570" s="1" t="s">
        <v>74</v>
      </c>
      <c r="BE570" s="1" t="s">
        <v>5330</v>
      </c>
      <c r="BF570" s="2" t="str">
        <f>HYPERLINK("http://dx.doi.org/10.1016/j.orl.2014.05.009","http://dx.doi.org/10.1016/j.orl.2014.05.009")</f>
        <v>http://dx.doi.org/10.1016/j.orl.2014.05.009</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5331</v>
      </c>
      <c r="BT570" s="1" t="str">
        <f>HYPERLINK("https%3A%2F%2Fwww.webofscience.com%2Fwos%2Fwoscc%2Ffull-record%2FWOS:000340221300008","View Full Record in Web of Science")</f>
        <v>View Full Record in Web of Science</v>
      </c>
    </row>
    <row r="571" ht="12.75" customHeight="1">
      <c r="A571" s="1" t="s">
        <v>72</v>
      </c>
      <c r="B571" s="1" t="s">
        <v>5332</v>
      </c>
      <c r="C571" s="1" t="s">
        <v>74</v>
      </c>
      <c r="D571" s="1" t="s">
        <v>74</v>
      </c>
      <c r="E571" s="1" t="s">
        <v>74</v>
      </c>
      <c r="F571" s="1" t="s">
        <v>5333</v>
      </c>
      <c r="G571" s="1" t="s">
        <v>74</v>
      </c>
      <c r="H571" s="1" t="s">
        <v>74</v>
      </c>
      <c r="I571" s="1" t="s">
        <v>5334</v>
      </c>
      <c r="J571" s="1" t="s">
        <v>5335</v>
      </c>
      <c r="K571" s="1" t="s">
        <v>74</v>
      </c>
      <c r="L571" s="1" t="s">
        <v>74</v>
      </c>
      <c r="M571" s="1" t="s">
        <v>74</v>
      </c>
      <c r="N571" s="1" t="s">
        <v>74</v>
      </c>
      <c r="O571" s="1" t="s">
        <v>74</v>
      </c>
      <c r="P571" s="1" t="s">
        <v>74</v>
      </c>
      <c r="Q571" s="1" t="s">
        <v>74</v>
      </c>
      <c r="R571" s="1" t="s">
        <v>74</v>
      </c>
      <c r="S571" s="1" t="s">
        <v>74</v>
      </c>
      <c r="T571" s="1" t="s">
        <v>74</v>
      </c>
      <c r="U571" s="1" t="s">
        <v>74</v>
      </c>
      <c r="V571" s="1" t="s">
        <v>5336</v>
      </c>
      <c r="W571" s="1" t="s">
        <v>74</v>
      </c>
      <c r="X571" s="1" t="s">
        <v>74</v>
      </c>
      <c r="Y571" s="1" t="s">
        <v>74</v>
      </c>
      <c r="Z571" s="1" t="s">
        <v>74</v>
      </c>
      <c r="AA571" s="1" t="s">
        <v>74</v>
      </c>
      <c r="AB571" s="1" t="s">
        <v>5337</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5338</v>
      </c>
      <c r="AP571" s="1" t="s">
        <v>5339</v>
      </c>
      <c r="AQ571" s="1" t="s">
        <v>74</v>
      </c>
      <c r="AR571" s="1" t="s">
        <v>74</v>
      </c>
      <c r="AS571" s="1" t="s">
        <v>74</v>
      </c>
      <c r="AT571" s="1" t="s">
        <v>4612</v>
      </c>
      <c r="AU571" s="1">
        <v>2014.0</v>
      </c>
      <c r="AV571" s="1">
        <v>11.0</v>
      </c>
      <c r="AW571" s="1">
        <v>1.0</v>
      </c>
      <c r="AX571" s="1" t="s">
        <v>74</v>
      </c>
      <c r="AY571" s="1" t="s">
        <v>74</v>
      </c>
      <c r="AZ571" s="1" t="s">
        <v>74</v>
      </c>
      <c r="BA571" s="1" t="s">
        <v>74</v>
      </c>
      <c r="BB571" s="1">
        <v>109.0</v>
      </c>
      <c r="BC571" s="1">
        <v>116.0</v>
      </c>
      <c r="BD571" s="1" t="s">
        <v>74</v>
      </c>
      <c r="BE571" s="1" t="s">
        <v>5340</v>
      </c>
      <c r="BF571" s="2" t="str">
        <f>HYPERLINK("http://dx.doi.org/10.1016/j.riai.2013.09.008","http://dx.doi.org/10.1016/j.riai.2013.09.008")</f>
        <v>http://dx.doi.org/10.1016/j.riai.2013.09.008</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5341</v>
      </c>
      <c r="BT571" s="1" t="str">
        <f>HYPERLINK("https%3A%2F%2Fwww.webofscience.com%2Fwos%2Fwoscc%2Ffull-record%2FWOS:000330335400010","View Full Record in Web of Science")</f>
        <v>View Full Record in Web of Science</v>
      </c>
    </row>
    <row r="572" ht="12.75" customHeight="1">
      <c r="A572" s="1" t="s">
        <v>72</v>
      </c>
      <c r="B572" s="1" t="s">
        <v>5342</v>
      </c>
      <c r="C572" s="1" t="s">
        <v>74</v>
      </c>
      <c r="D572" s="1" t="s">
        <v>74</v>
      </c>
      <c r="E572" s="1" t="s">
        <v>74</v>
      </c>
      <c r="F572" s="1" t="s">
        <v>5343</v>
      </c>
      <c r="G572" s="1" t="s">
        <v>74</v>
      </c>
      <c r="H572" s="1" t="s">
        <v>74</v>
      </c>
      <c r="I572" s="1" t="s">
        <v>5344</v>
      </c>
      <c r="J572" s="1" t="s">
        <v>5345</v>
      </c>
      <c r="K572" s="1" t="s">
        <v>74</v>
      </c>
      <c r="L572" s="1" t="s">
        <v>74</v>
      </c>
      <c r="M572" s="1" t="s">
        <v>74</v>
      </c>
      <c r="N572" s="1" t="s">
        <v>74</v>
      </c>
      <c r="O572" s="1" t="s">
        <v>74</v>
      </c>
      <c r="P572" s="1" t="s">
        <v>74</v>
      </c>
      <c r="Q572" s="1" t="s">
        <v>74</v>
      </c>
      <c r="R572" s="1" t="s">
        <v>74</v>
      </c>
      <c r="S572" s="1" t="s">
        <v>74</v>
      </c>
      <c r="T572" s="1" t="s">
        <v>74</v>
      </c>
      <c r="U572" s="1" t="s">
        <v>74</v>
      </c>
      <c r="V572" s="1" t="s">
        <v>74</v>
      </c>
      <c r="W572" s="1" t="s">
        <v>74</v>
      </c>
      <c r="X572" s="1" t="s">
        <v>74</v>
      </c>
      <c r="Y572" s="1" t="s">
        <v>74</v>
      </c>
      <c r="Z572" s="1" t="s">
        <v>74</v>
      </c>
      <c r="AA572" s="1" t="s">
        <v>5346</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5347</v>
      </c>
      <c r="AP572" s="1" t="s">
        <v>74</v>
      </c>
      <c r="AQ572" s="1" t="s">
        <v>74</v>
      </c>
      <c r="AR572" s="1" t="s">
        <v>74</v>
      </c>
      <c r="AS572" s="1" t="s">
        <v>74</v>
      </c>
      <c r="AT572" s="1" t="s">
        <v>5250</v>
      </c>
      <c r="AU572" s="1">
        <v>2013.0</v>
      </c>
      <c r="AV572" s="1">
        <v>1.0</v>
      </c>
      <c r="AW572" s="1">
        <v>1.0</v>
      </c>
      <c r="AX572" s="1" t="s">
        <v>74</v>
      </c>
      <c r="AY572" s="1" t="s">
        <v>74</v>
      </c>
      <c r="AZ572" s="1" t="s">
        <v>74</v>
      </c>
      <c r="BA572" s="1" t="s">
        <v>74</v>
      </c>
      <c r="BB572" s="1">
        <v>63.0</v>
      </c>
      <c r="BC572" s="1">
        <v>91.0</v>
      </c>
      <c r="BD572" s="1" t="s">
        <v>74</v>
      </c>
      <c r="BE572" s="1" t="s">
        <v>74</v>
      </c>
      <c r="BF572" s="1" t="s">
        <v>74</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5348</v>
      </c>
      <c r="BT572" s="1" t="str">
        <f>HYPERLINK("https%3A%2F%2Fwww.webofscience.com%2Fwos%2Fwoscc%2Ffull-record%2FWOS:000317145700003","View Full Record in Web of Science")</f>
        <v>View Full Record in Web of Science</v>
      </c>
    </row>
    <row r="573" ht="12.75" customHeight="1">
      <c r="A573" s="1" t="s">
        <v>72</v>
      </c>
      <c r="B573" s="1" t="s">
        <v>5349</v>
      </c>
      <c r="C573" s="1" t="s">
        <v>74</v>
      </c>
      <c r="D573" s="1" t="s">
        <v>74</v>
      </c>
      <c r="E573" s="1" t="s">
        <v>74</v>
      </c>
      <c r="F573" s="1" t="s">
        <v>5350</v>
      </c>
      <c r="G573" s="1" t="s">
        <v>74</v>
      </c>
      <c r="H573" s="1" t="s">
        <v>74</v>
      </c>
      <c r="I573" s="1" t="s">
        <v>5351</v>
      </c>
      <c r="J573" s="1" t="s">
        <v>3453</v>
      </c>
      <c r="K573" s="1" t="s">
        <v>74</v>
      </c>
      <c r="L573" s="1" t="s">
        <v>74</v>
      </c>
      <c r="M573" s="1" t="s">
        <v>74</v>
      </c>
      <c r="N573" s="1" t="s">
        <v>74</v>
      </c>
      <c r="O573" s="1" t="s">
        <v>74</v>
      </c>
      <c r="P573" s="1" t="s">
        <v>74</v>
      </c>
      <c r="Q573" s="1" t="s">
        <v>74</v>
      </c>
      <c r="R573" s="1" t="s">
        <v>74</v>
      </c>
      <c r="S573" s="1" t="s">
        <v>74</v>
      </c>
      <c r="T573" s="1" t="s">
        <v>74</v>
      </c>
      <c r="U573" s="1" t="s">
        <v>74</v>
      </c>
      <c r="V573" s="1" t="s">
        <v>5352</v>
      </c>
      <c r="W573" s="1" t="s">
        <v>74</v>
      </c>
      <c r="X573" s="1" t="s">
        <v>74</v>
      </c>
      <c r="Y573" s="1" t="s">
        <v>74</v>
      </c>
      <c r="Z573" s="1" t="s">
        <v>74</v>
      </c>
      <c r="AA573" s="1" t="s">
        <v>5353</v>
      </c>
      <c r="AB573" s="1" t="s">
        <v>5354</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3456</v>
      </c>
      <c r="AP573" s="1" t="s">
        <v>3457</v>
      </c>
      <c r="AQ573" s="1" t="s">
        <v>74</v>
      </c>
      <c r="AR573" s="1" t="s">
        <v>74</v>
      </c>
      <c r="AS573" s="1" t="s">
        <v>74</v>
      </c>
      <c r="AT573" s="1" t="s">
        <v>719</v>
      </c>
      <c r="AU573" s="1">
        <v>2013.0</v>
      </c>
      <c r="AV573" s="1">
        <v>407.0</v>
      </c>
      <c r="AW573" s="1">
        <v>2.0</v>
      </c>
      <c r="AX573" s="1" t="s">
        <v>74</v>
      </c>
      <c r="AY573" s="1" t="s">
        <v>74</v>
      </c>
      <c r="AZ573" s="1" t="s">
        <v>74</v>
      </c>
      <c r="BA573" s="1" t="s">
        <v>74</v>
      </c>
      <c r="BB573" s="1">
        <v>339.0</v>
      </c>
      <c r="BC573" s="1">
        <v>349.0</v>
      </c>
      <c r="BD573" s="1" t="s">
        <v>74</v>
      </c>
      <c r="BE573" s="1" t="s">
        <v>5355</v>
      </c>
      <c r="BF573" s="2" t="str">
        <f>HYPERLINK("http://dx.doi.org/10.1016/j.jmaa.2013.05.032","http://dx.doi.org/10.1016/j.jmaa.2013.05.032")</f>
        <v>http://dx.doi.org/10.1016/j.jmaa.2013.05.032</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5356</v>
      </c>
      <c r="BT573" s="1" t="str">
        <f>HYPERLINK("https%3A%2F%2Fwww.webofscience.com%2Fwos%2Fwoscc%2Ffull-record%2FWOS:000321880600016","View Full Record in Web of Science")</f>
        <v>View Full Record in Web of Science</v>
      </c>
    </row>
    <row r="574" ht="12.75" customHeight="1">
      <c r="A574" s="1" t="s">
        <v>72</v>
      </c>
      <c r="B574" s="1" t="s">
        <v>3199</v>
      </c>
      <c r="C574" s="1" t="s">
        <v>74</v>
      </c>
      <c r="D574" s="1" t="s">
        <v>74</v>
      </c>
      <c r="E574" s="1" t="s">
        <v>74</v>
      </c>
      <c r="F574" s="1" t="s">
        <v>3200</v>
      </c>
      <c r="G574" s="1" t="s">
        <v>74</v>
      </c>
      <c r="H574" s="1" t="s">
        <v>74</v>
      </c>
      <c r="I574" s="1" t="s">
        <v>5357</v>
      </c>
      <c r="J574" s="1" t="s">
        <v>5358</v>
      </c>
      <c r="K574" s="1" t="s">
        <v>74</v>
      </c>
      <c r="L574" s="1" t="s">
        <v>74</v>
      </c>
      <c r="M574" s="1" t="s">
        <v>74</v>
      </c>
      <c r="N574" s="1" t="s">
        <v>74</v>
      </c>
      <c r="O574" s="1" t="s">
        <v>74</v>
      </c>
      <c r="P574" s="1" t="s">
        <v>74</v>
      </c>
      <c r="Q574" s="1" t="s">
        <v>74</v>
      </c>
      <c r="R574" s="1" t="s">
        <v>74</v>
      </c>
      <c r="S574" s="1" t="s">
        <v>74</v>
      </c>
      <c r="T574" s="1" t="s">
        <v>74</v>
      </c>
      <c r="U574" s="1" t="s">
        <v>74</v>
      </c>
      <c r="V574" s="1" t="s">
        <v>5359</v>
      </c>
      <c r="W574" s="1" t="s">
        <v>74</v>
      </c>
      <c r="X574" s="1" t="s">
        <v>74</v>
      </c>
      <c r="Y574" s="1" t="s">
        <v>74</v>
      </c>
      <c r="Z574" s="1" t="s">
        <v>74</v>
      </c>
      <c r="AA574" s="1" t="s">
        <v>3204</v>
      </c>
      <c r="AB574" s="1" t="s">
        <v>3205</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5360</v>
      </c>
      <c r="AP574" s="1" t="s">
        <v>74</v>
      </c>
      <c r="AQ574" s="1" t="s">
        <v>74</v>
      </c>
      <c r="AR574" s="1" t="s">
        <v>74</v>
      </c>
      <c r="AS574" s="1" t="s">
        <v>74</v>
      </c>
      <c r="AT574" s="1" t="s">
        <v>74</v>
      </c>
      <c r="AU574" s="1">
        <v>2013.0</v>
      </c>
      <c r="AV574" s="1">
        <v>7.0</v>
      </c>
      <c r="AW574" s="1">
        <v>2.0</v>
      </c>
      <c r="AX574" s="1" t="s">
        <v>74</v>
      </c>
      <c r="AY574" s="1" t="s">
        <v>74</v>
      </c>
      <c r="AZ574" s="1" t="s">
        <v>74</v>
      </c>
      <c r="BA574" s="1" t="s">
        <v>74</v>
      </c>
      <c r="BB574" s="1">
        <v>42.0</v>
      </c>
      <c r="BC574" s="1">
        <v>52.0</v>
      </c>
      <c r="BD574" s="1" t="s">
        <v>74</v>
      </c>
      <c r="BE574" s="1" t="s">
        <v>5361</v>
      </c>
      <c r="BF574" s="2" t="str">
        <f>HYPERLINK("http://dx.doi.org/10.15352/bjma/1363784222","http://dx.doi.org/10.15352/bjma/1363784222")</f>
        <v>http://dx.doi.org/10.15352/bjma/1363784222</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5362</v>
      </c>
      <c r="BT574" s="1" t="str">
        <f>HYPERLINK("https%3A%2F%2Fwww.webofscience.com%2Fwos%2Fwoscc%2Ffull-record%2FWOS:000316048400004","View Full Record in Web of Science")</f>
        <v>View Full Record in Web of Science</v>
      </c>
    </row>
    <row r="575" ht="12.75" customHeight="1">
      <c r="A575" s="1" t="s">
        <v>241</v>
      </c>
      <c r="B575" s="1" t="s">
        <v>5363</v>
      </c>
      <c r="C575" s="1" t="s">
        <v>74</v>
      </c>
      <c r="D575" s="1" t="s">
        <v>5364</v>
      </c>
      <c r="E575" s="1" t="s">
        <v>74</v>
      </c>
      <c r="F575" s="1" t="s">
        <v>5365</v>
      </c>
      <c r="G575" s="1" t="s">
        <v>74</v>
      </c>
      <c r="H575" s="1" t="s">
        <v>74</v>
      </c>
      <c r="I575" s="1" t="s">
        <v>5366</v>
      </c>
      <c r="J575" s="1" t="s">
        <v>5367</v>
      </c>
      <c r="K575" s="1" t="s">
        <v>74</v>
      </c>
      <c r="L575" s="1" t="s">
        <v>74</v>
      </c>
      <c r="M575" s="1" t="s">
        <v>74</v>
      </c>
      <c r="N575" s="1" t="s">
        <v>74</v>
      </c>
      <c r="O575" s="1" t="s">
        <v>5368</v>
      </c>
      <c r="P575" s="1" t="s">
        <v>5369</v>
      </c>
      <c r="Q575" s="1" t="s">
        <v>1265</v>
      </c>
      <c r="R575" s="1" t="s">
        <v>5370</v>
      </c>
      <c r="S575" s="1" t="s">
        <v>74</v>
      </c>
      <c r="T575" s="1" t="s">
        <v>74</v>
      </c>
      <c r="U575" s="1" t="s">
        <v>74</v>
      </c>
      <c r="V575" s="1" t="s">
        <v>5371</v>
      </c>
      <c r="W575" s="1" t="s">
        <v>74</v>
      </c>
      <c r="X575" s="1" t="s">
        <v>74</v>
      </c>
      <c r="Y575" s="1" t="s">
        <v>74</v>
      </c>
      <c r="Z575" s="1" t="s">
        <v>74</v>
      </c>
      <c r="AA575" s="1" t="s">
        <v>5372</v>
      </c>
      <c r="AB575" s="1" t="s">
        <v>5373</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74</v>
      </c>
      <c r="AP575" s="1" t="s">
        <v>74</v>
      </c>
      <c r="AQ575" s="1" t="s">
        <v>5374</v>
      </c>
      <c r="AR575" s="1" t="s">
        <v>74</v>
      </c>
      <c r="AS575" s="1" t="s">
        <v>74</v>
      </c>
      <c r="AT575" s="1" t="s">
        <v>74</v>
      </c>
      <c r="AU575" s="1">
        <v>2013.0</v>
      </c>
      <c r="AV575" s="1" t="s">
        <v>74</v>
      </c>
      <c r="AW575" s="1" t="s">
        <v>74</v>
      </c>
      <c r="AX575" s="1" t="s">
        <v>74</v>
      </c>
      <c r="AY575" s="1" t="s">
        <v>74</v>
      </c>
      <c r="AZ575" s="1" t="s">
        <v>74</v>
      </c>
      <c r="BA575" s="1" t="s">
        <v>74</v>
      </c>
      <c r="BB575" s="1" t="s">
        <v>74</v>
      </c>
      <c r="BC575" s="1" t="s">
        <v>74</v>
      </c>
      <c r="BD575" s="1" t="s">
        <v>74</v>
      </c>
      <c r="BE575" s="1" t="s">
        <v>74</v>
      </c>
      <c r="BF575" s="1" t="s">
        <v>74</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5375</v>
      </c>
      <c r="BT575" s="1" t="str">
        <f>HYPERLINK("https%3A%2F%2Fwww.webofscience.com%2Fwos%2Fwoscc%2Ffull-record%2FWOS:000352135900021","View Full Record in Web of Science")</f>
        <v>View Full Record in Web of Science</v>
      </c>
    </row>
    <row r="576" ht="12.75" customHeight="1">
      <c r="A576" s="1" t="s">
        <v>72</v>
      </c>
      <c r="B576" s="1" t="s">
        <v>5376</v>
      </c>
      <c r="C576" s="1" t="s">
        <v>74</v>
      </c>
      <c r="D576" s="1" t="s">
        <v>74</v>
      </c>
      <c r="E576" s="1" t="s">
        <v>74</v>
      </c>
      <c r="F576" s="1" t="s">
        <v>5377</v>
      </c>
      <c r="G576" s="1" t="s">
        <v>74</v>
      </c>
      <c r="H576" s="1" t="s">
        <v>74</v>
      </c>
      <c r="I576" s="1" t="s">
        <v>5378</v>
      </c>
      <c r="J576" s="1" t="s">
        <v>5379</v>
      </c>
      <c r="K576" s="1" t="s">
        <v>74</v>
      </c>
      <c r="L576" s="1" t="s">
        <v>74</v>
      </c>
      <c r="M576" s="1" t="s">
        <v>74</v>
      </c>
      <c r="N576" s="1" t="s">
        <v>74</v>
      </c>
      <c r="O576" s="1" t="s">
        <v>74</v>
      </c>
      <c r="P576" s="1" t="s">
        <v>74</v>
      </c>
      <c r="Q576" s="1" t="s">
        <v>74</v>
      </c>
      <c r="R576" s="1" t="s">
        <v>74</v>
      </c>
      <c r="S576" s="1" t="s">
        <v>74</v>
      </c>
      <c r="T576" s="1" t="s">
        <v>74</v>
      </c>
      <c r="U576" s="1" t="s">
        <v>74</v>
      </c>
      <c r="V576" s="1" t="s">
        <v>5380</v>
      </c>
      <c r="W576" s="1" t="s">
        <v>74</v>
      </c>
      <c r="X576" s="1" t="s">
        <v>74</v>
      </c>
      <c r="Y576" s="1" t="s">
        <v>74</v>
      </c>
      <c r="Z576" s="1" t="s">
        <v>74</v>
      </c>
      <c r="AA576" s="1" t="s">
        <v>5381</v>
      </c>
      <c r="AB576" s="1" t="s">
        <v>74</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5382</v>
      </c>
      <c r="AP576" s="1" t="s">
        <v>74</v>
      </c>
      <c r="AQ576" s="1" t="s">
        <v>74</v>
      </c>
      <c r="AR576" s="1" t="s">
        <v>74</v>
      </c>
      <c r="AS576" s="1" t="s">
        <v>74</v>
      </c>
      <c r="AT576" s="1" t="s">
        <v>343</v>
      </c>
      <c r="AU576" s="1">
        <v>2012.0</v>
      </c>
      <c r="AV576" s="1">
        <v>134.0</v>
      </c>
      <c r="AW576" s="1">
        <v>8.0</v>
      </c>
      <c r="AX576" s="1" t="s">
        <v>74</v>
      </c>
      <c r="AY576" s="1" t="s">
        <v>74</v>
      </c>
      <c r="AZ576" s="1" t="s">
        <v>74</v>
      </c>
      <c r="BA576" s="1" t="s">
        <v>74</v>
      </c>
      <c r="BB576" s="1" t="s">
        <v>74</v>
      </c>
      <c r="BC576" s="1" t="s">
        <v>74</v>
      </c>
      <c r="BD576" s="1">
        <v>84502.0</v>
      </c>
      <c r="BE576" s="1" t="s">
        <v>5383</v>
      </c>
      <c r="BF576" s="2" t="str">
        <f>HYPERLINK("http://dx.doi.org/10.1115/1.4006746","http://dx.doi.org/10.1115/1.4006746")</f>
        <v>http://dx.doi.org/10.1115/1.4006746</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5384</v>
      </c>
      <c r="BT576" s="1" t="str">
        <f>HYPERLINK("https%3A%2F%2Fwww.webofscience.com%2Fwos%2Fwoscc%2Ffull-record%2FWOS:000314759800016","View Full Record in Web of Science")</f>
        <v>View Full Record in Web of Science</v>
      </c>
    </row>
    <row r="577" ht="12.75" customHeight="1">
      <c r="A577" s="1" t="s">
        <v>72</v>
      </c>
      <c r="B577" s="1" t="s">
        <v>5385</v>
      </c>
      <c r="C577" s="1" t="s">
        <v>74</v>
      </c>
      <c r="D577" s="1" t="s">
        <v>74</v>
      </c>
      <c r="E577" s="1" t="s">
        <v>74</v>
      </c>
      <c r="F577" s="1" t="s">
        <v>5386</v>
      </c>
      <c r="G577" s="1" t="s">
        <v>74</v>
      </c>
      <c r="H577" s="1" t="s">
        <v>74</v>
      </c>
      <c r="I577" s="1" t="s">
        <v>5387</v>
      </c>
      <c r="J577" s="1" t="s">
        <v>134</v>
      </c>
      <c r="K577" s="1" t="s">
        <v>74</v>
      </c>
      <c r="L577" s="1" t="s">
        <v>74</v>
      </c>
      <c r="M577" s="1" t="s">
        <v>74</v>
      </c>
      <c r="N577" s="1" t="s">
        <v>74</v>
      </c>
      <c r="O577" s="1" t="s">
        <v>74</v>
      </c>
      <c r="P577" s="1" t="s">
        <v>74</v>
      </c>
      <c r="Q577" s="1" t="s">
        <v>74</v>
      </c>
      <c r="R577" s="1" t="s">
        <v>74</v>
      </c>
      <c r="S577" s="1" t="s">
        <v>74</v>
      </c>
      <c r="T577" s="1" t="s">
        <v>74</v>
      </c>
      <c r="U577" s="1" t="s">
        <v>74</v>
      </c>
      <c r="V577" s="1" t="s">
        <v>5388</v>
      </c>
      <c r="W577" s="1" t="s">
        <v>74</v>
      </c>
      <c r="X577" s="1" t="s">
        <v>74</v>
      </c>
      <c r="Y577" s="1" t="s">
        <v>74</v>
      </c>
      <c r="Z577" s="1" t="s">
        <v>74</v>
      </c>
      <c r="AA577" s="1" t="s">
        <v>5389</v>
      </c>
      <c r="AB577" s="1" t="s">
        <v>5390</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138</v>
      </c>
      <c r="AP577" s="1" t="s">
        <v>139</v>
      </c>
      <c r="AQ577" s="1" t="s">
        <v>74</v>
      </c>
      <c r="AR577" s="1" t="s">
        <v>74</v>
      </c>
      <c r="AS577" s="1" t="s">
        <v>74</v>
      </c>
      <c r="AT577" s="1" t="s">
        <v>343</v>
      </c>
      <c r="AU577" s="1">
        <v>2012.0</v>
      </c>
      <c r="AV577" s="1">
        <v>111.0</v>
      </c>
      <c r="AW577" s="1">
        <v>4.0</v>
      </c>
      <c r="AX577" s="1" t="s">
        <v>74</v>
      </c>
      <c r="AY577" s="1" t="s">
        <v>74</v>
      </c>
      <c r="AZ577" s="1" t="s">
        <v>74</v>
      </c>
      <c r="BA577" s="1" t="s">
        <v>74</v>
      </c>
      <c r="BB577" s="1">
        <v>632.0</v>
      </c>
      <c r="BC577" s="1">
        <v>641.0</v>
      </c>
      <c r="BD577" s="1" t="s">
        <v>74</v>
      </c>
      <c r="BE577" s="1" t="s">
        <v>5391</v>
      </c>
      <c r="BF577" s="2" t="str">
        <f>HYPERLINK("http://dx.doi.org/10.1016/j.jfoodeng.2012.03.004","http://dx.doi.org/10.1016/j.jfoodeng.2012.03.004")</f>
        <v>http://dx.doi.org/10.1016/j.jfoodeng.2012.03.004</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5392</v>
      </c>
      <c r="BT577" s="1" t="str">
        <f>HYPERLINK("https%3A%2F%2Fwww.webofscience.com%2Fwos%2Fwoscc%2Ffull-record%2FWOS:000304577500013","View Full Record in Web of Science")</f>
        <v>View Full Record in Web of Science</v>
      </c>
    </row>
    <row r="578" ht="12.75" customHeight="1">
      <c r="A578" s="1" t="s">
        <v>72</v>
      </c>
      <c r="B578" s="1" t="s">
        <v>5393</v>
      </c>
      <c r="C578" s="1" t="s">
        <v>74</v>
      </c>
      <c r="D578" s="1" t="s">
        <v>74</v>
      </c>
      <c r="E578" s="1" t="s">
        <v>74</v>
      </c>
      <c r="F578" s="1" t="s">
        <v>5394</v>
      </c>
      <c r="G578" s="1" t="s">
        <v>74</v>
      </c>
      <c r="H578" s="1" t="s">
        <v>74</v>
      </c>
      <c r="I578" s="1" t="s">
        <v>5395</v>
      </c>
      <c r="J578" s="1" t="s">
        <v>5396</v>
      </c>
      <c r="K578" s="1" t="s">
        <v>74</v>
      </c>
      <c r="L578" s="1" t="s">
        <v>74</v>
      </c>
      <c r="M578" s="1" t="s">
        <v>74</v>
      </c>
      <c r="N578" s="1" t="s">
        <v>74</v>
      </c>
      <c r="O578" s="1" t="s">
        <v>74</v>
      </c>
      <c r="P578" s="1" t="s">
        <v>74</v>
      </c>
      <c r="Q578" s="1" t="s">
        <v>74</v>
      </c>
      <c r="R578" s="1" t="s">
        <v>74</v>
      </c>
      <c r="S578" s="1" t="s">
        <v>74</v>
      </c>
      <c r="T578" s="1" t="s">
        <v>74</v>
      </c>
      <c r="U578" s="1" t="s">
        <v>74</v>
      </c>
      <c r="V578" s="1" t="s">
        <v>5397</v>
      </c>
      <c r="W578" s="1" t="s">
        <v>74</v>
      </c>
      <c r="X578" s="1" t="s">
        <v>74</v>
      </c>
      <c r="Y578" s="1" t="s">
        <v>74</v>
      </c>
      <c r="Z578" s="1" t="s">
        <v>74</v>
      </c>
      <c r="AA578" s="1" t="s">
        <v>5398</v>
      </c>
      <c r="AB578" s="1" t="s">
        <v>74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5399</v>
      </c>
      <c r="AP578" s="1" t="s">
        <v>5400</v>
      </c>
      <c r="AQ578" s="1" t="s">
        <v>74</v>
      </c>
      <c r="AR578" s="1" t="s">
        <v>74</v>
      </c>
      <c r="AS578" s="1" t="s">
        <v>74</v>
      </c>
      <c r="AT578" s="1" t="s">
        <v>2135</v>
      </c>
      <c r="AU578" s="1">
        <v>2012.0</v>
      </c>
      <c r="AV578" s="1">
        <v>262.0</v>
      </c>
      <c r="AW578" s="1">
        <v>3.0</v>
      </c>
      <c r="AX578" s="1" t="s">
        <v>74</v>
      </c>
      <c r="AY578" s="1" t="s">
        <v>74</v>
      </c>
      <c r="AZ578" s="1" t="s">
        <v>74</v>
      </c>
      <c r="BA578" s="1" t="s">
        <v>74</v>
      </c>
      <c r="BB578" s="1">
        <v>733.0</v>
      </c>
      <c r="BC578" s="1">
        <v>772.0</v>
      </c>
      <c r="BD578" s="1" t="s">
        <v>74</v>
      </c>
      <c r="BE578" s="1" t="s">
        <v>5401</v>
      </c>
      <c r="BF578" s="2" t="str">
        <f>HYPERLINK("http://dx.doi.org/10.1016/j.jfa.2010.12.032","http://dx.doi.org/10.1016/j.jfa.2010.12.032")</f>
        <v>http://dx.doi.org/10.1016/j.jfa.2010.12.032</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5402</v>
      </c>
      <c r="BT578" s="1" t="str">
        <f>HYPERLINK("https%3A%2F%2Fwww.webofscience.com%2Fwos%2Fwoscc%2Ffull-record%2FWOS:000299127800001","View Full Record in Web of Science")</f>
        <v>View Full Record in Web of Science</v>
      </c>
    </row>
    <row r="579" ht="12.75" customHeight="1">
      <c r="A579" s="1" t="s">
        <v>72</v>
      </c>
      <c r="B579" s="1" t="s">
        <v>5403</v>
      </c>
      <c r="C579" s="1" t="s">
        <v>74</v>
      </c>
      <c r="D579" s="1" t="s">
        <v>74</v>
      </c>
      <c r="E579" s="1" t="s">
        <v>74</v>
      </c>
      <c r="F579" s="1" t="s">
        <v>5404</v>
      </c>
      <c r="G579" s="1" t="s">
        <v>74</v>
      </c>
      <c r="H579" s="1" t="s">
        <v>74</v>
      </c>
      <c r="I579" s="1" t="s">
        <v>5405</v>
      </c>
      <c r="J579" s="1" t="s">
        <v>5406</v>
      </c>
      <c r="K579" s="1" t="s">
        <v>74</v>
      </c>
      <c r="L579" s="1" t="s">
        <v>74</v>
      </c>
      <c r="M579" s="1" t="s">
        <v>74</v>
      </c>
      <c r="N579" s="1" t="s">
        <v>74</v>
      </c>
      <c r="O579" s="1" t="s">
        <v>74</v>
      </c>
      <c r="P579" s="1" t="s">
        <v>74</v>
      </c>
      <c r="Q579" s="1" t="s">
        <v>74</v>
      </c>
      <c r="R579" s="1" t="s">
        <v>74</v>
      </c>
      <c r="S579" s="1" t="s">
        <v>74</v>
      </c>
      <c r="T579" s="1" t="s">
        <v>74</v>
      </c>
      <c r="U579" s="1" t="s">
        <v>74</v>
      </c>
      <c r="V579" s="1" t="s">
        <v>5407</v>
      </c>
      <c r="W579" s="1" t="s">
        <v>74</v>
      </c>
      <c r="X579" s="1" t="s">
        <v>74</v>
      </c>
      <c r="Y579" s="1" t="s">
        <v>74</v>
      </c>
      <c r="Z579" s="1" t="s">
        <v>74</v>
      </c>
      <c r="AA579" s="1" t="s">
        <v>5408</v>
      </c>
      <c r="AB579" s="1" t="s">
        <v>5409</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5410</v>
      </c>
      <c r="AP579" s="1" t="s">
        <v>5411</v>
      </c>
      <c r="AQ579" s="1" t="s">
        <v>74</v>
      </c>
      <c r="AR579" s="1" t="s">
        <v>74</v>
      </c>
      <c r="AS579" s="1" t="s">
        <v>74</v>
      </c>
      <c r="AT579" s="1" t="s">
        <v>74</v>
      </c>
      <c r="AU579" s="1">
        <v>2012.0</v>
      </c>
      <c r="AV579" s="1">
        <v>18.0</v>
      </c>
      <c r="AW579" s="1">
        <v>11.0</v>
      </c>
      <c r="AX579" s="1" t="s">
        <v>74</v>
      </c>
      <c r="AY579" s="1" t="s">
        <v>74</v>
      </c>
      <c r="AZ579" s="1" t="s">
        <v>74</v>
      </c>
      <c r="BA579" s="1" t="s">
        <v>74</v>
      </c>
      <c r="BB579" s="1">
        <v>1931.0</v>
      </c>
      <c r="BC579" s="1">
        <v>1946.0</v>
      </c>
      <c r="BD579" s="1" t="s">
        <v>74</v>
      </c>
      <c r="BE579" s="1" t="s">
        <v>5412</v>
      </c>
      <c r="BF579" s="2" t="str">
        <f>HYPERLINK("http://dx.doi.org/10.1080/10236198.2011.603311","http://dx.doi.org/10.1080/10236198.2011.603311")</f>
        <v>http://dx.doi.org/10.1080/10236198.2011.603311</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5413</v>
      </c>
      <c r="BT579" s="1" t="str">
        <f>HYPERLINK("https%3A%2F%2Fwww.webofscience.com%2Fwos%2Fwoscc%2Ffull-record%2FWOS:000310578700011","View Full Record in Web of Science")</f>
        <v>View Full Record in Web of Science</v>
      </c>
    </row>
    <row r="580" ht="12.75" customHeight="1">
      <c r="A580" s="1" t="s">
        <v>72</v>
      </c>
      <c r="B580" s="1" t="s">
        <v>5414</v>
      </c>
      <c r="C580" s="1" t="s">
        <v>74</v>
      </c>
      <c r="D580" s="1" t="s">
        <v>74</v>
      </c>
      <c r="E580" s="1" t="s">
        <v>74</v>
      </c>
      <c r="F580" s="1" t="s">
        <v>5415</v>
      </c>
      <c r="G580" s="1" t="s">
        <v>74</v>
      </c>
      <c r="H580" s="1" t="s">
        <v>74</v>
      </c>
      <c r="I580" s="1" t="s">
        <v>5416</v>
      </c>
      <c r="J580" s="1" t="s">
        <v>4757</v>
      </c>
      <c r="K580" s="1" t="s">
        <v>74</v>
      </c>
      <c r="L580" s="1" t="s">
        <v>74</v>
      </c>
      <c r="M580" s="1" t="s">
        <v>74</v>
      </c>
      <c r="N580" s="1" t="s">
        <v>74</v>
      </c>
      <c r="O580" s="1" t="s">
        <v>74</v>
      </c>
      <c r="P580" s="1" t="s">
        <v>74</v>
      </c>
      <c r="Q580" s="1" t="s">
        <v>74</v>
      </c>
      <c r="R580" s="1" t="s">
        <v>74</v>
      </c>
      <c r="S580" s="1" t="s">
        <v>74</v>
      </c>
      <c r="T580" s="1" t="s">
        <v>74</v>
      </c>
      <c r="U580" s="1" t="s">
        <v>74</v>
      </c>
      <c r="V580" s="1" t="s">
        <v>5417</v>
      </c>
      <c r="W580" s="1" t="s">
        <v>74</v>
      </c>
      <c r="X580" s="1" t="s">
        <v>74</v>
      </c>
      <c r="Y580" s="1" t="s">
        <v>74</v>
      </c>
      <c r="Z580" s="1" t="s">
        <v>74</v>
      </c>
      <c r="AA580" s="1" t="s">
        <v>5418</v>
      </c>
      <c r="AB580" s="1" t="s">
        <v>5419</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4759</v>
      </c>
      <c r="AP580" s="1" t="s">
        <v>5420</v>
      </c>
      <c r="AQ580" s="1" t="s">
        <v>74</v>
      </c>
      <c r="AR580" s="1" t="s">
        <v>74</v>
      </c>
      <c r="AS580" s="1" t="s">
        <v>74</v>
      </c>
      <c r="AT580" s="1" t="s">
        <v>501</v>
      </c>
      <c r="AU580" s="1">
        <v>2011.0</v>
      </c>
      <c r="AV580" s="1">
        <v>54.0</v>
      </c>
      <c r="AW580" s="1" t="s">
        <v>5421</v>
      </c>
      <c r="AX580" s="1" t="s">
        <v>74</v>
      </c>
      <c r="AY580" s="1" t="s">
        <v>74</v>
      </c>
      <c r="AZ580" s="1" t="s">
        <v>74</v>
      </c>
      <c r="BA580" s="1" t="s">
        <v>74</v>
      </c>
      <c r="BB580" s="1">
        <v>5116.0</v>
      </c>
      <c r="BC580" s="1">
        <v>5125.0</v>
      </c>
      <c r="BD580" s="1" t="s">
        <v>74</v>
      </c>
      <c r="BE580" s="1" t="s">
        <v>5422</v>
      </c>
      <c r="BF580" s="2" t="str">
        <f>HYPERLINK("http://dx.doi.org/10.1016/j.ijheatmasstransfer.2011.07.032","http://dx.doi.org/10.1016/j.ijheatmasstransfer.2011.07.032")</f>
        <v>http://dx.doi.org/10.1016/j.ijheatmasstransfer.2011.07.032</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5423</v>
      </c>
      <c r="BT580" s="1" t="str">
        <f>HYPERLINK("https%3A%2F%2Fwww.webofscience.com%2Fwos%2Fwoscc%2Ffull-record%2FWOS:000295115900036","View Full Record in Web of Science")</f>
        <v>View Full Record in Web of Science</v>
      </c>
    </row>
    <row r="581" ht="12.75" customHeight="1">
      <c r="A581" s="1" t="s">
        <v>72</v>
      </c>
      <c r="B581" s="1" t="s">
        <v>5424</v>
      </c>
      <c r="C581" s="1" t="s">
        <v>74</v>
      </c>
      <c r="D581" s="1" t="s">
        <v>74</v>
      </c>
      <c r="E581" s="1" t="s">
        <v>74</v>
      </c>
      <c r="F581" s="1" t="s">
        <v>5425</v>
      </c>
      <c r="G581" s="1" t="s">
        <v>74</v>
      </c>
      <c r="H581" s="1" t="s">
        <v>74</v>
      </c>
      <c r="I581" s="1" t="s">
        <v>5426</v>
      </c>
      <c r="J581" s="1" t="s">
        <v>3453</v>
      </c>
      <c r="K581" s="1" t="s">
        <v>74</v>
      </c>
      <c r="L581" s="1" t="s">
        <v>74</v>
      </c>
      <c r="M581" s="1" t="s">
        <v>74</v>
      </c>
      <c r="N581" s="1" t="s">
        <v>74</v>
      </c>
      <c r="O581" s="1" t="s">
        <v>74</v>
      </c>
      <c r="P581" s="1" t="s">
        <v>74</v>
      </c>
      <c r="Q581" s="1" t="s">
        <v>74</v>
      </c>
      <c r="R581" s="1" t="s">
        <v>74</v>
      </c>
      <c r="S581" s="1" t="s">
        <v>74</v>
      </c>
      <c r="T581" s="1" t="s">
        <v>74</v>
      </c>
      <c r="U581" s="1" t="s">
        <v>74</v>
      </c>
      <c r="V581" s="1" t="s">
        <v>5427</v>
      </c>
      <c r="W581" s="1" t="s">
        <v>74</v>
      </c>
      <c r="X581" s="1" t="s">
        <v>74</v>
      </c>
      <c r="Y581" s="1" t="s">
        <v>74</v>
      </c>
      <c r="Z581" s="1" t="s">
        <v>74</v>
      </c>
      <c r="AA581" s="1" t="s">
        <v>5428</v>
      </c>
      <c r="AB581" s="1" t="s">
        <v>5429</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3456</v>
      </c>
      <c r="AP581" s="1" t="s">
        <v>3457</v>
      </c>
      <c r="AQ581" s="1" t="s">
        <v>74</v>
      </c>
      <c r="AR581" s="1" t="s">
        <v>74</v>
      </c>
      <c r="AS581" s="1" t="s">
        <v>74</v>
      </c>
      <c r="AT581" s="1" t="s">
        <v>3646</v>
      </c>
      <c r="AU581" s="1">
        <v>2011.0</v>
      </c>
      <c r="AV581" s="1">
        <v>382.0</v>
      </c>
      <c r="AW581" s="1">
        <v>2.0</v>
      </c>
      <c r="AX581" s="1" t="s">
        <v>74</v>
      </c>
      <c r="AY581" s="1" t="s">
        <v>74</v>
      </c>
      <c r="AZ581" s="1" t="s">
        <v>74</v>
      </c>
      <c r="BA581" s="1" t="s">
        <v>74</v>
      </c>
      <c r="BB581" s="1">
        <v>761.0</v>
      </c>
      <c r="BC581" s="1">
        <v>771.0</v>
      </c>
      <c r="BD581" s="1" t="s">
        <v>74</v>
      </c>
      <c r="BE581" s="1" t="s">
        <v>5430</v>
      </c>
      <c r="BF581" s="2" t="str">
        <f>HYPERLINK("http://dx.doi.org/10.1016/j.jmaa.2011.04.078","http://dx.doi.org/10.1016/j.jmaa.2011.04.078")</f>
        <v>http://dx.doi.org/10.1016/j.jmaa.2011.04.078</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5431</v>
      </c>
      <c r="BT581" s="1" t="str">
        <f>HYPERLINK("https%3A%2F%2Fwww.webofscience.com%2Fwos%2Fwoscc%2Ffull-record%2FWOS:000291714400021","View Full Record in Web of Science")</f>
        <v>View Full Record in Web of Science</v>
      </c>
    </row>
    <row r="582" ht="12.75" customHeight="1">
      <c r="A582" s="1" t="s">
        <v>72</v>
      </c>
      <c r="B582" s="1" t="s">
        <v>5432</v>
      </c>
      <c r="C582" s="1" t="s">
        <v>74</v>
      </c>
      <c r="D582" s="1" t="s">
        <v>74</v>
      </c>
      <c r="E582" s="1" t="s">
        <v>74</v>
      </c>
      <c r="F582" s="1" t="s">
        <v>5433</v>
      </c>
      <c r="G582" s="1" t="s">
        <v>74</v>
      </c>
      <c r="H582" s="1" t="s">
        <v>74</v>
      </c>
      <c r="I582" s="1" t="s">
        <v>5434</v>
      </c>
      <c r="J582" s="1" t="s">
        <v>3251</v>
      </c>
      <c r="K582" s="1" t="s">
        <v>74</v>
      </c>
      <c r="L582" s="1" t="s">
        <v>74</v>
      </c>
      <c r="M582" s="1" t="s">
        <v>74</v>
      </c>
      <c r="N582" s="1" t="s">
        <v>74</v>
      </c>
      <c r="O582" s="1" t="s">
        <v>74</v>
      </c>
      <c r="P582" s="1" t="s">
        <v>74</v>
      </c>
      <c r="Q582" s="1" t="s">
        <v>74</v>
      </c>
      <c r="R582" s="1" t="s">
        <v>74</v>
      </c>
      <c r="S582" s="1" t="s">
        <v>74</v>
      </c>
      <c r="T582" s="1" t="s">
        <v>74</v>
      </c>
      <c r="U582" s="1" t="s">
        <v>74</v>
      </c>
      <c r="V582" s="1" t="s">
        <v>5435</v>
      </c>
      <c r="W582" s="1" t="s">
        <v>74</v>
      </c>
      <c r="X582" s="1" t="s">
        <v>74</v>
      </c>
      <c r="Y582" s="1" t="s">
        <v>74</v>
      </c>
      <c r="Z582" s="1" t="s">
        <v>74</v>
      </c>
      <c r="AA582" s="1" t="s">
        <v>5436</v>
      </c>
      <c r="AB582" s="1" t="s">
        <v>5437</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3252</v>
      </c>
      <c r="AP582" s="1" t="s">
        <v>74</v>
      </c>
      <c r="AQ582" s="1" t="s">
        <v>74</v>
      </c>
      <c r="AR582" s="1" t="s">
        <v>74</v>
      </c>
      <c r="AS582" s="1" t="s">
        <v>74</v>
      </c>
      <c r="AT582" s="1" t="s">
        <v>82</v>
      </c>
      <c r="AU582" s="1">
        <v>2011.0</v>
      </c>
      <c r="AV582" s="1">
        <v>30.0</v>
      </c>
      <c r="AW582" s="1">
        <v>6.0</v>
      </c>
      <c r="AX582" s="1" t="s">
        <v>74</v>
      </c>
      <c r="AY582" s="1" t="s">
        <v>74</v>
      </c>
      <c r="AZ582" s="1" t="s">
        <v>74</v>
      </c>
      <c r="BA582" s="1" t="s">
        <v>74</v>
      </c>
      <c r="BB582" s="1">
        <v>809.0</v>
      </c>
      <c r="BC582" s="1">
        <v>815.0</v>
      </c>
      <c r="BD582" s="1" t="s">
        <v>74</v>
      </c>
      <c r="BE582" s="1" t="s">
        <v>5438</v>
      </c>
      <c r="BF582" s="2" t="str">
        <f>HYPERLINK("http://dx.doi.org/10.7863/jum.2011.30.6.809","http://dx.doi.org/10.7863/jum.2011.30.6.809")</f>
        <v>http://dx.doi.org/10.7863/jum.2011.30.6.809</v>
      </c>
      <c r="BG582" s="1" t="s">
        <v>74</v>
      </c>
      <c r="BH582" s="1" t="s">
        <v>74</v>
      </c>
      <c r="BI582" s="1" t="s">
        <v>74</v>
      </c>
      <c r="BJ582" s="1" t="s">
        <v>74</v>
      </c>
      <c r="BK582" s="1" t="s">
        <v>74</v>
      </c>
      <c r="BL582" s="1" t="s">
        <v>74</v>
      </c>
      <c r="BM582" s="1" t="s">
        <v>74</v>
      </c>
      <c r="BN582" s="1">
        <v>2.1632996E7</v>
      </c>
      <c r="BO582" s="1" t="s">
        <v>74</v>
      </c>
      <c r="BP582" s="1" t="s">
        <v>74</v>
      </c>
      <c r="BQ582" s="1" t="s">
        <v>74</v>
      </c>
      <c r="BR582" s="1" t="s">
        <v>74</v>
      </c>
      <c r="BS582" s="1" t="s">
        <v>5439</v>
      </c>
      <c r="BT582" s="1" t="str">
        <f>HYPERLINK("https%3A%2F%2Fwww.webofscience.com%2Fwos%2Fwoscc%2Ffull-record%2FWOS:000291521500010","View Full Record in Web of Science")</f>
        <v>View Full Record in Web of Science</v>
      </c>
    </row>
    <row r="583" ht="12.75" customHeight="1">
      <c r="A583" s="1" t="s">
        <v>72</v>
      </c>
      <c r="B583" s="1" t="s">
        <v>5440</v>
      </c>
      <c r="C583" s="1" t="s">
        <v>74</v>
      </c>
      <c r="D583" s="1" t="s">
        <v>74</v>
      </c>
      <c r="E583" s="1" t="s">
        <v>74</v>
      </c>
      <c r="F583" s="1" t="s">
        <v>5441</v>
      </c>
      <c r="G583" s="1" t="s">
        <v>74</v>
      </c>
      <c r="H583" s="1" t="s">
        <v>74</v>
      </c>
      <c r="I583" s="1" t="s">
        <v>5442</v>
      </c>
      <c r="J583" s="1" t="s">
        <v>2677</v>
      </c>
      <c r="K583" s="1" t="s">
        <v>74</v>
      </c>
      <c r="L583" s="1" t="s">
        <v>74</v>
      </c>
      <c r="M583" s="1" t="s">
        <v>74</v>
      </c>
      <c r="N583" s="1" t="s">
        <v>74</v>
      </c>
      <c r="O583" s="1" t="s">
        <v>74</v>
      </c>
      <c r="P583" s="1" t="s">
        <v>74</v>
      </c>
      <c r="Q583" s="1" t="s">
        <v>74</v>
      </c>
      <c r="R583" s="1" t="s">
        <v>74</v>
      </c>
      <c r="S583" s="1" t="s">
        <v>74</v>
      </c>
      <c r="T583" s="1" t="s">
        <v>74</v>
      </c>
      <c r="U583" s="1" t="s">
        <v>74</v>
      </c>
      <c r="V583" s="1" t="s">
        <v>5443</v>
      </c>
      <c r="W583" s="1" t="s">
        <v>74</v>
      </c>
      <c r="X583" s="1" t="s">
        <v>74</v>
      </c>
      <c r="Y583" s="1" t="s">
        <v>74</v>
      </c>
      <c r="Z583" s="1" t="s">
        <v>74</v>
      </c>
      <c r="AA583" s="1" t="s">
        <v>5444</v>
      </c>
      <c r="AB583" s="1" t="s">
        <v>5445</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3243</v>
      </c>
      <c r="AP583" s="1" t="s">
        <v>3244</v>
      </c>
      <c r="AQ583" s="1" t="s">
        <v>74</v>
      </c>
      <c r="AR583" s="1" t="s">
        <v>74</v>
      </c>
      <c r="AS583" s="1" t="s">
        <v>74</v>
      </c>
      <c r="AT583" s="1" t="s">
        <v>5446</v>
      </c>
      <c r="AU583" s="1">
        <v>2010.0</v>
      </c>
      <c r="AV583" s="1">
        <v>82.0</v>
      </c>
      <c r="AW583" s="1">
        <v>6.0</v>
      </c>
      <c r="AX583" s="1" t="s">
        <v>74</v>
      </c>
      <c r="AY583" s="1" t="s">
        <v>74</v>
      </c>
      <c r="AZ583" s="1" t="s">
        <v>74</v>
      </c>
      <c r="BA583" s="1" t="s">
        <v>74</v>
      </c>
      <c r="BB583" s="1" t="s">
        <v>74</v>
      </c>
      <c r="BC583" s="1" t="s">
        <v>74</v>
      </c>
      <c r="BD583" s="1">
        <v>65022.0</v>
      </c>
      <c r="BE583" s="1" t="s">
        <v>5447</v>
      </c>
      <c r="BF583" s="2" t="str">
        <f>HYPERLINK("http://dx.doi.org/10.1103/PhysRevD.82.065022","http://dx.doi.org/10.1103/PhysRevD.82.065022")</f>
        <v>http://dx.doi.org/10.1103/PhysRevD.82.065022</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5448</v>
      </c>
      <c r="BT583" s="1" t="str">
        <f>HYPERLINK("https%3A%2F%2Fwww.webofscience.com%2Fwos%2Fwoscc%2Ffull-record%2FWOS:000282132400004","View Full Record in Web of Science")</f>
        <v>View Full Record in Web of Science</v>
      </c>
    </row>
    <row r="584" ht="12.75" customHeight="1">
      <c r="A584" s="1" t="s">
        <v>72</v>
      </c>
      <c r="B584" s="1" t="s">
        <v>4795</v>
      </c>
      <c r="C584" s="1" t="s">
        <v>74</v>
      </c>
      <c r="D584" s="1" t="s">
        <v>74</v>
      </c>
      <c r="E584" s="1" t="s">
        <v>74</v>
      </c>
      <c r="F584" s="1" t="s">
        <v>4796</v>
      </c>
      <c r="G584" s="1" t="s">
        <v>74</v>
      </c>
      <c r="H584" s="1" t="s">
        <v>74</v>
      </c>
      <c r="I584" s="1" t="s">
        <v>5449</v>
      </c>
      <c r="J584" s="1" t="s">
        <v>3494</v>
      </c>
      <c r="K584" s="1" t="s">
        <v>74</v>
      </c>
      <c r="L584" s="1" t="s">
        <v>74</v>
      </c>
      <c r="M584" s="1" t="s">
        <v>74</v>
      </c>
      <c r="N584" s="1" t="s">
        <v>74</v>
      </c>
      <c r="O584" s="1" t="s">
        <v>74</v>
      </c>
      <c r="P584" s="1" t="s">
        <v>74</v>
      </c>
      <c r="Q584" s="1" t="s">
        <v>74</v>
      </c>
      <c r="R584" s="1" t="s">
        <v>74</v>
      </c>
      <c r="S584" s="1" t="s">
        <v>74</v>
      </c>
      <c r="T584" s="1" t="s">
        <v>74</v>
      </c>
      <c r="U584" s="1" t="s">
        <v>74</v>
      </c>
      <c r="V584" s="1" t="s">
        <v>5450</v>
      </c>
      <c r="W584" s="1" t="s">
        <v>74</v>
      </c>
      <c r="X584" s="1" t="s">
        <v>74</v>
      </c>
      <c r="Y584" s="1" t="s">
        <v>74</v>
      </c>
      <c r="Z584" s="1" t="s">
        <v>74</v>
      </c>
      <c r="AA584" s="1" t="s">
        <v>4781</v>
      </c>
      <c r="AB584" s="1" t="s">
        <v>5451</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3496</v>
      </c>
      <c r="AP584" s="1" t="s">
        <v>5452</v>
      </c>
      <c r="AQ584" s="1" t="s">
        <v>74</v>
      </c>
      <c r="AR584" s="1" t="s">
        <v>74</v>
      </c>
      <c r="AS584" s="1" t="s">
        <v>74</v>
      </c>
      <c r="AT584" s="1" t="s">
        <v>74</v>
      </c>
      <c r="AU584" s="1">
        <v>2010.0</v>
      </c>
      <c r="AV584" s="1">
        <v>39.0</v>
      </c>
      <c r="AW584" s="1">
        <v>3.0</v>
      </c>
      <c r="AX584" s="1" t="s">
        <v>74</v>
      </c>
      <c r="AY584" s="1" t="s">
        <v>74</v>
      </c>
      <c r="AZ584" s="1" t="s">
        <v>74</v>
      </c>
      <c r="BA584" s="1" t="s">
        <v>74</v>
      </c>
      <c r="BB584" s="1">
        <v>624.0</v>
      </c>
      <c r="BC584" s="1">
        <v>640.0</v>
      </c>
      <c r="BD584" s="1" t="s">
        <v>5453</v>
      </c>
      <c r="BE584" s="1" t="s">
        <v>5454</v>
      </c>
      <c r="BF584" s="2" t="str">
        <f>HYPERLINK("http://dx.doi.org/10.1080/03610910903548952","http://dx.doi.org/10.1080/03610910903548952")</f>
        <v>http://dx.doi.org/10.1080/03610910903548952</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5455</v>
      </c>
      <c r="BT584" s="1" t="str">
        <f>HYPERLINK("https%3A%2F%2Fwww.webofscience.com%2Fwos%2Fwoscc%2Ffull-record%2FWOS:000274980300013","View Full Record in Web of Science")</f>
        <v>View Full Record in Web of Science</v>
      </c>
    </row>
    <row r="585" ht="12.75" customHeight="1">
      <c r="A585" s="1" t="s">
        <v>72</v>
      </c>
      <c r="B585" s="1" t="s">
        <v>5456</v>
      </c>
      <c r="C585" s="1" t="s">
        <v>74</v>
      </c>
      <c r="D585" s="1" t="s">
        <v>74</v>
      </c>
      <c r="E585" s="1" t="s">
        <v>74</v>
      </c>
      <c r="F585" s="1" t="s">
        <v>5457</v>
      </c>
      <c r="G585" s="1" t="s">
        <v>74</v>
      </c>
      <c r="H585" s="1" t="s">
        <v>74</v>
      </c>
      <c r="I585" s="1" t="s">
        <v>5458</v>
      </c>
      <c r="J585" s="1" t="s">
        <v>4798</v>
      </c>
      <c r="K585" s="1" t="s">
        <v>74</v>
      </c>
      <c r="L585" s="1" t="s">
        <v>74</v>
      </c>
      <c r="M585" s="1" t="s">
        <v>74</v>
      </c>
      <c r="N585" s="1" t="s">
        <v>74</v>
      </c>
      <c r="O585" s="1" t="s">
        <v>5459</v>
      </c>
      <c r="P585" s="1">
        <v>2007.0</v>
      </c>
      <c r="Q585" s="1" t="s">
        <v>5460</v>
      </c>
      <c r="R585" s="1" t="s">
        <v>74</v>
      </c>
      <c r="S585" s="1" t="s">
        <v>74</v>
      </c>
      <c r="T585" s="1" t="s">
        <v>74</v>
      </c>
      <c r="U585" s="1" t="s">
        <v>74</v>
      </c>
      <c r="V585" s="1" t="s">
        <v>5461</v>
      </c>
      <c r="W585" s="1" t="s">
        <v>74</v>
      </c>
      <c r="X585" s="1" t="s">
        <v>74</v>
      </c>
      <c r="Y585" s="1" t="s">
        <v>74</v>
      </c>
      <c r="Z585" s="1" t="s">
        <v>74</v>
      </c>
      <c r="AA585" s="1" t="s">
        <v>4781</v>
      </c>
      <c r="AB585" s="1" t="s">
        <v>4782</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4801</v>
      </c>
      <c r="AP585" s="1" t="s">
        <v>4802</v>
      </c>
      <c r="AQ585" s="1" t="s">
        <v>74</v>
      </c>
      <c r="AR585" s="1" t="s">
        <v>74</v>
      </c>
      <c r="AS585" s="1" t="s">
        <v>74</v>
      </c>
      <c r="AT585" s="1" t="s">
        <v>501</v>
      </c>
      <c r="AU585" s="1">
        <v>2008.0</v>
      </c>
      <c r="AV585" s="1">
        <v>20.0</v>
      </c>
      <c r="AW585" s="1">
        <v>4.0</v>
      </c>
      <c r="AX585" s="1" t="s">
        <v>74</v>
      </c>
      <c r="AY585" s="1" t="s">
        <v>74</v>
      </c>
      <c r="AZ585" s="1" t="s">
        <v>74</v>
      </c>
      <c r="BA585" s="1" t="s">
        <v>74</v>
      </c>
      <c r="BB585" s="1">
        <v>969.0</v>
      </c>
      <c r="BC585" s="1">
        <v>973.0</v>
      </c>
      <c r="BD585" s="1" t="s">
        <v>74</v>
      </c>
      <c r="BE585" s="1" t="s">
        <v>74</v>
      </c>
      <c r="BF585" s="1" t="s">
        <v>74</v>
      </c>
      <c r="BG585" s="1" t="s">
        <v>74</v>
      </c>
      <c r="BH585" s="1" t="s">
        <v>74</v>
      </c>
      <c r="BI585" s="1" t="s">
        <v>74</v>
      </c>
      <c r="BJ585" s="1" t="s">
        <v>74</v>
      </c>
      <c r="BK585" s="1" t="s">
        <v>74</v>
      </c>
      <c r="BL585" s="1" t="s">
        <v>74</v>
      </c>
      <c r="BM585" s="1" t="s">
        <v>74</v>
      </c>
      <c r="BN585" s="1">
        <v>1.8940112E7</v>
      </c>
      <c r="BO585" s="1" t="s">
        <v>74</v>
      </c>
      <c r="BP585" s="1" t="s">
        <v>74</v>
      </c>
      <c r="BQ585" s="1" t="s">
        <v>74</v>
      </c>
      <c r="BR585" s="1" t="s">
        <v>74</v>
      </c>
      <c r="BS585" s="1" t="s">
        <v>5462</v>
      </c>
      <c r="BT585" s="1" t="str">
        <f>HYPERLINK("https%3A%2F%2Fwww.webofscience.com%2Fwos%2Fwoscc%2Ffull-record%2FWOS:000260211000071","View Full Record in Web of Science")</f>
        <v>View Full Record in Web of Science</v>
      </c>
    </row>
    <row r="586" ht="12.75" customHeight="1">
      <c r="A586" s="1" t="s">
        <v>72</v>
      </c>
      <c r="B586" s="1" t="s">
        <v>5463</v>
      </c>
      <c r="C586" s="1" t="s">
        <v>74</v>
      </c>
      <c r="D586" s="1" t="s">
        <v>74</v>
      </c>
      <c r="E586" s="1" t="s">
        <v>74</v>
      </c>
      <c r="F586" s="1" t="s">
        <v>5464</v>
      </c>
      <c r="G586" s="1" t="s">
        <v>74</v>
      </c>
      <c r="H586" s="1" t="s">
        <v>74</v>
      </c>
      <c r="I586" s="1" t="s">
        <v>5465</v>
      </c>
      <c r="J586" s="1" t="s">
        <v>5466</v>
      </c>
      <c r="K586" s="1" t="s">
        <v>74</v>
      </c>
      <c r="L586" s="1" t="s">
        <v>74</v>
      </c>
      <c r="M586" s="1" t="s">
        <v>74</v>
      </c>
      <c r="N586" s="1" t="s">
        <v>74</v>
      </c>
      <c r="O586" s="1" t="s">
        <v>74</v>
      </c>
      <c r="P586" s="1" t="s">
        <v>74</v>
      </c>
      <c r="Q586" s="1" t="s">
        <v>74</v>
      </c>
      <c r="R586" s="1" t="s">
        <v>74</v>
      </c>
      <c r="S586" s="1" t="s">
        <v>74</v>
      </c>
      <c r="T586" s="1" t="s">
        <v>74</v>
      </c>
      <c r="U586" s="1" t="s">
        <v>74</v>
      </c>
      <c r="V586" s="1" t="s">
        <v>5467</v>
      </c>
      <c r="W586" s="1" t="s">
        <v>74</v>
      </c>
      <c r="X586" s="1" t="s">
        <v>74</v>
      </c>
      <c r="Y586" s="1" t="s">
        <v>74</v>
      </c>
      <c r="Z586" s="1" t="s">
        <v>74</v>
      </c>
      <c r="AA586" s="1" t="s">
        <v>5468</v>
      </c>
      <c r="AB586" s="1" t="s">
        <v>5469</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5470</v>
      </c>
      <c r="AP586" s="1" t="s">
        <v>5471</v>
      </c>
      <c r="AQ586" s="1" t="s">
        <v>74</v>
      </c>
      <c r="AR586" s="1" t="s">
        <v>74</v>
      </c>
      <c r="AS586" s="1" t="s">
        <v>74</v>
      </c>
      <c r="AT586" s="1" t="s">
        <v>106</v>
      </c>
      <c r="AU586" s="1">
        <v>2008.0</v>
      </c>
      <c r="AV586" s="1">
        <v>24.0</v>
      </c>
      <c r="AW586" s="1">
        <v>9.0</v>
      </c>
      <c r="AX586" s="1" t="s">
        <v>74</v>
      </c>
      <c r="AY586" s="1" t="s">
        <v>74</v>
      </c>
      <c r="AZ586" s="1" t="s">
        <v>74</v>
      </c>
      <c r="BA586" s="1" t="s">
        <v>74</v>
      </c>
      <c r="BB586" s="1">
        <v>1803.0</v>
      </c>
      <c r="BC586" s="1">
        <v>1811.0</v>
      </c>
      <c r="BD586" s="1" t="s">
        <v>74</v>
      </c>
      <c r="BE586" s="1" t="s">
        <v>5472</v>
      </c>
      <c r="BF586" s="2" t="str">
        <f>HYPERLINK("http://dx.doi.org/10.1007/s11274-008-9673-y","http://dx.doi.org/10.1007/s11274-008-9673-y")</f>
        <v>http://dx.doi.org/10.1007/s11274-008-9673-y</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5473</v>
      </c>
      <c r="BT586" s="1" t="str">
        <f>HYPERLINK("https%3A%2F%2Fwww.webofscience.com%2Fwos%2Fwoscc%2Ffull-record%2FWOS:000257961500022","View Full Record in Web of Science")</f>
        <v>View Full Record in Web of Science</v>
      </c>
    </row>
    <row r="587" ht="12.75" customHeight="1">
      <c r="A587" s="1" t="s">
        <v>72</v>
      </c>
      <c r="B587" s="1" t="s">
        <v>5474</v>
      </c>
      <c r="C587" s="1" t="s">
        <v>74</v>
      </c>
      <c r="D587" s="1" t="s">
        <v>74</v>
      </c>
      <c r="E587" s="1" t="s">
        <v>74</v>
      </c>
      <c r="F587" s="1" t="s">
        <v>5475</v>
      </c>
      <c r="G587" s="1" t="s">
        <v>74</v>
      </c>
      <c r="H587" s="1" t="s">
        <v>74</v>
      </c>
      <c r="I587" s="1" t="s">
        <v>5476</v>
      </c>
      <c r="J587" s="1" t="s">
        <v>5477</v>
      </c>
      <c r="K587" s="1" t="s">
        <v>74</v>
      </c>
      <c r="L587" s="1" t="s">
        <v>74</v>
      </c>
      <c r="M587" s="1" t="s">
        <v>74</v>
      </c>
      <c r="N587" s="1" t="s">
        <v>74</v>
      </c>
      <c r="O587" s="1" t="s">
        <v>74</v>
      </c>
      <c r="P587" s="1" t="s">
        <v>74</v>
      </c>
      <c r="Q587" s="1" t="s">
        <v>74</v>
      </c>
      <c r="R587" s="1" t="s">
        <v>74</v>
      </c>
      <c r="S587" s="1" t="s">
        <v>74</v>
      </c>
      <c r="T587" s="1" t="s">
        <v>74</v>
      </c>
      <c r="U587" s="1" t="s">
        <v>74</v>
      </c>
      <c r="V587" s="1" t="s">
        <v>5478</v>
      </c>
      <c r="W587" s="1" t="s">
        <v>74</v>
      </c>
      <c r="X587" s="1" t="s">
        <v>74</v>
      </c>
      <c r="Y587" s="1" t="s">
        <v>74</v>
      </c>
      <c r="Z587" s="1" t="s">
        <v>74</v>
      </c>
      <c r="AA587" s="1" t="s">
        <v>74</v>
      </c>
      <c r="AB587" s="1" t="s">
        <v>5479</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5480</v>
      </c>
      <c r="AP587" s="1" t="s">
        <v>5481</v>
      </c>
      <c r="AQ587" s="1" t="s">
        <v>74</v>
      </c>
      <c r="AR587" s="1" t="s">
        <v>74</v>
      </c>
      <c r="AS587" s="1" t="s">
        <v>74</v>
      </c>
      <c r="AT587" s="1" t="s">
        <v>5482</v>
      </c>
      <c r="AU587" s="1">
        <v>2007.0</v>
      </c>
      <c r="AV587" s="1">
        <v>43.0</v>
      </c>
      <c r="AW587" s="1">
        <v>23.0</v>
      </c>
      <c r="AX587" s="1" t="s">
        <v>74</v>
      </c>
      <c r="AY587" s="1" t="s">
        <v>74</v>
      </c>
      <c r="AZ587" s="1" t="s">
        <v>74</v>
      </c>
      <c r="BA587" s="1" t="s">
        <v>74</v>
      </c>
      <c r="BB587" s="1">
        <v>1298.0</v>
      </c>
      <c r="BC587" s="1">
        <v>1300.0</v>
      </c>
      <c r="BD587" s="1" t="s">
        <v>74</v>
      </c>
      <c r="BE587" s="1" t="s">
        <v>5483</v>
      </c>
      <c r="BF587" s="2" t="str">
        <f>HYPERLINK("http://dx.doi.org/10.1049/el:20070944","http://dx.doi.org/10.1049/el:20070944")</f>
        <v>http://dx.doi.org/10.1049/el:20070944</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5484</v>
      </c>
      <c r="BT587" s="1" t="str">
        <f>HYPERLINK("https%3A%2F%2Fwww.webofscience.com%2Fwos%2Fwoscc%2Ffull-record%2FWOS:000251759200036","View Full Record in Web of Science")</f>
        <v>View Full Record in Web of Science</v>
      </c>
    </row>
    <row r="588" ht="12.75" customHeight="1">
      <c r="A588" s="1" t="s">
        <v>72</v>
      </c>
      <c r="B588" s="1" t="s">
        <v>5485</v>
      </c>
      <c r="C588" s="1" t="s">
        <v>74</v>
      </c>
      <c r="D588" s="1" t="s">
        <v>74</v>
      </c>
      <c r="E588" s="1" t="s">
        <v>74</v>
      </c>
      <c r="F588" s="1" t="s">
        <v>5486</v>
      </c>
      <c r="G588" s="1" t="s">
        <v>74</v>
      </c>
      <c r="H588" s="1" t="s">
        <v>74</v>
      </c>
      <c r="I588" s="1" t="s">
        <v>5487</v>
      </c>
      <c r="J588" s="1" t="s">
        <v>5488</v>
      </c>
      <c r="K588" s="1" t="s">
        <v>74</v>
      </c>
      <c r="L588" s="1" t="s">
        <v>74</v>
      </c>
      <c r="M588" s="1" t="s">
        <v>74</v>
      </c>
      <c r="N588" s="1" t="s">
        <v>74</v>
      </c>
      <c r="O588" s="1" t="s">
        <v>74</v>
      </c>
      <c r="P588" s="1" t="s">
        <v>74</v>
      </c>
      <c r="Q588" s="1" t="s">
        <v>74</v>
      </c>
      <c r="R588" s="1" t="s">
        <v>74</v>
      </c>
      <c r="S588" s="1" t="s">
        <v>74</v>
      </c>
      <c r="T588" s="1" t="s">
        <v>74</v>
      </c>
      <c r="U588" s="1" t="s">
        <v>74</v>
      </c>
      <c r="V588" s="1" t="s">
        <v>5489</v>
      </c>
      <c r="W588" s="1" t="s">
        <v>74</v>
      </c>
      <c r="X588" s="1" t="s">
        <v>74</v>
      </c>
      <c r="Y588" s="1" t="s">
        <v>74</v>
      </c>
      <c r="Z588" s="1" t="s">
        <v>74</v>
      </c>
      <c r="AA588" s="1" t="s">
        <v>5490</v>
      </c>
      <c r="AB588" s="1" t="s">
        <v>5491</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5492</v>
      </c>
      <c r="AP588" s="1" t="s">
        <v>74</v>
      </c>
      <c r="AQ588" s="1" t="s">
        <v>74</v>
      </c>
      <c r="AR588" s="1" t="s">
        <v>74</v>
      </c>
      <c r="AS588" s="1" t="s">
        <v>74</v>
      </c>
      <c r="AT588" s="1" t="s">
        <v>183</v>
      </c>
      <c r="AU588" s="1">
        <v>2007.0</v>
      </c>
      <c r="AV588" s="1">
        <v>7.0</v>
      </c>
      <c r="AW588" s="1">
        <v>2.0</v>
      </c>
      <c r="AX588" s="1" t="s">
        <v>74</v>
      </c>
      <c r="AY588" s="1" t="s">
        <v>74</v>
      </c>
      <c r="AZ588" s="1" t="s">
        <v>74</v>
      </c>
      <c r="BA588" s="1" t="s">
        <v>74</v>
      </c>
      <c r="BB588" s="1">
        <v>373.0</v>
      </c>
      <c r="BC588" s="1">
        <v>386.0</v>
      </c>
      <c r="BD588" s="1" t="s">
        <v>74</v>
      </c>
      <c r="BE588" s="1" t="s">
        <v>5493</v>
      </c>
      <c r="BF588" s="2" t="str">
        <f>HYPERLINK("http://dx.doi.org/10.1007/s00028-007-0302-2","http://dx.doi.org/10.1007/s00028-007-0302-2")</f>
        <v>http://dx.doi.org/10.1007/s00028-007-0302-2</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5494</v>
      </c>
      <c r="BT588" s="1" t="str">
        <f>HYPERLINK("https%3A%2F%2Fwww.webofscience.com%2Fwos%2Fwoscc%2Ffull-record%2FWOS:000246183800006","View Full Record in Web of Science")</f>
        <v>View Full Record in Web of Science</v>
      </c>
    </row>
    <row r="589" ht="12.75" customHeight="1">
      <c r="A589" s="1" t="s">
        <v>72</v>
      </c>
      <c r="B589" s="1" t="s">
        <v>5495</v>
      </c>
      <c r="C589" s="1" t="s">
        <v>74</v>
      </c>
      <c r="D589" s="1" t="s">
        <v>74</v>
      </c>
      <c r="E589" s="1" t="s">
        <v>74</v>
      </c>
      <c r="F589" s="1" t="s">
        <v>5496</v>
      </c>
      <c r="G589" s="1" t="s">
        <v>74</v>
      </c>
      <c r="H589" s="1" t="s">
        <v>74</v>
      </c>
      <c r="I589" s="1" t="s">
        <v>5497</v>
      </c>
      <c r="J589" s="1" t="s">
        <v>2610</v>
      </c>
      <c r="K589" s="1" t="s">
        <v>74</v>
      </c>
      <c r="L589" s="1" t="s">
        <v>74</v>
      </c>
      <c r="M589" s="1" t="s">
        <v>74</v>
      </c>
      <c r="N589" s="1" t="s">
        <v>74</v>
      </c>
      <c r="O589" s="1" t="s">
        <v>74</v>
      </c>
      <c r="P589" s="1" t="s">
        <v>74</v>
      </c>
      <c r="Q589" s="1" t="s">
        <v>74</v>
      </c>
      <c r="R589" s="1" t="s">
        <v>74</v>
      </c>
      <c r="S589" s="1" t="s">
        <v>74</v>
      </c>
      <c r="T589" s="1" t="s">
        <v>74</v>
      </c>
      <c r="U589" s="1" t="s">
        <v>74</v>
      </c>
      <c r="V589" s="1" t="s">
        <v>5498</v>
      </c>
      <c r="W589" s="1" t="s">
        <v>74</v>
      </c>
      <c r="X589" s="1" t="s">
        <v>74</v>
      </c>
      <c r="Y589" s="1" t="s">
        <v>74</v>
      </c>
      <c r="Z589" s="1" t="s">
        <v>74</v>
      </c>
      <c r="AA589" s="1" t="s">
        <v>5499</v>
      </c>
      <c r="AB589" s="1" t="s">
        <v>5500</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2612</v>
      </c>
      <c r="AP589" s="1" t="s">
        <v>2613</v>
      </c>
      <c r="AQ589" s="1" t="s">
        <v>74</v>
      </c>
      <c r="AR589" s="1" t="s">
        <v>74</v>
      </c>
      <c r="AS589" s="1" t="s">
        <v>74</v>
      </c>
      <c r="AT589" s="1" t="s">
        <v>74</v>
      </c>
      <c r="AU589" s="1">
        <v>2007.0</v>
      </c>
      <c r="AV589" s="1">
        <v>90.0</v>
      </c>
      <c r="AW589" s="1">
        <v>10.0</v>
      </c>
      <c r="AX589" s="1" t="s">
        <v>74</v>
      </c>
      <c r="AY589" s="1" t="s">
        <v>74</v>
      </c>
      <c r="AZ589" s="1" t="s">
        <v>74</v>
      </c>
      <c r="BA589" s="1" t="s">
        <v>74</v>
      </c>
      <c r="BB589" s="1">
        <v>2009.0</v>
      </c>
      <c r="BC589" s="1">
        <v>2016.0</v>
      </c>
      <c r="BD589" s="1" t="s">
        <v>74</v>
      </c>
      <c r="BE589" s="1" t="s">
        <v>5501</v>
      </c>
      <c r="BF589" s="2" t="str">
        <f>HYPERLINK("http://dx.doi.org/10.1002/hlca.200790208","http://dx.doi.org/10.1002/hlca.200790208")</f>
        <v>http://dx.doi.org/10.1002/hlca.200790208</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5502</v>
      </c>
      <c r="BT589" s="1" t="str">
        <f>HYPERLINK("https%3A%2F%2Fwww.webofscience.com%2Fwos%2Fwoscc%2Ffull-record%2FWOS:000250496100015","View Full Record in Web of Science")</f>
        <v>View Full Record in Web of Science</v>
      </c>
    </row>
    <row r="590" ht="12.75" customHeight="1">
      <c r="A590" s="1" t="s">
        <v>72</v>
      </c>
      <c r="B590" s="1" t="s">
        <v>5503</v>
      </c>
      <c r="C590" s="1" t="s">
        <v>74</v>
      </c>
      <c r="D590" s="1" t="s">
        <v>74</v>
      </c>
      <c r="E590" s="1" t="s">
        <v>74</v>
      </c>
      <c r="F590" s="1" t="s">
        <v>5503</v>
      </c>
      <c r="G590" s="1" t="s">
        <v>74</v>
      </c>
      <c r="H590" s="1" t="s">
        <v>74</v>
      </c>
      <c r="I590" s="1" t="s">
        <v>5504</v>
      </c>
      <c r="J590" s="1" t="s">
        <v>88</v>
      </c>
      <c r="K590" s="1" t="s">
        <v>74</v>
      </c>
      <c r="L590" s="1" t="s">
        <v>74</v>
      </c>
      <c r="M590" s="1" t="s">
        <v>74</v>
      </c>
      <c r="N590" s="1" t="s">
        <v>74</v>
      </c>
      <c r="O590" s="1" t="s">
        <v>74</v>
      </c>
      <c r="P590" s="1" t="s">
        <v>74</v>
      </c>
      <c r="Q590" s="1" t="s">
        <v>74</v>
      </c>
      <c r="R590" s="1" t="s">
        <v>74</v>
      </c>
      <c r="S590" s="1" t="s">
        <v>74</v>
      </c>
      <c r="T590" s="1" t="s">
        <v>74</v>
      </c>
      <c r="U590" s="1" t="s">
        <v>74</v>
      </c>
      <c r="V590" s="1" t="s">
        <v>5505</v>
      </c>
      <c r="W590" s="1" t="s">
        <v>74</v>
      </c>
      <c r="X590" s="1" t="s">
        <v>74</v>
      </c>
      <c r="Y590" s="1" t="s">
        <v>74</v>
      </c>
      <c r="Z590" s="1" t="s">
        <v>74</v>
      </c>
      <c r="AA590" s="1" t="s">
        <v>74</v>
      </c>
      <c r="AB590" s="1" t="s">
        <v>74</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92</v>
      </c>
      <c r="AP590" s="1" t="s">
        <v>93</v>
      </c>
      <c r="AQ590" s="1" t="s">
        <v>74</v>
      </c>
      <c r="AR590" s="1" t="s">
        <v>74</v>
      </c>
      <c r="AS590" s="1" t="s">
        <v>74</v>
      </c>
      <c r="AT590" s="1" t="s">
        <v>183</v>
      </c>
      <c r="AU590" s="1">
        <v>2005.0</v>
      </c>
      <c r="AV590" s="1">
        <v>40.0</v>
      </c>
      <c r="AW590" s="1">
        <v>4.0</v>
      </c>
      <c r="AX590" s="1" t="s">
        <v>74</v>
      </c>
      <c r="AY590" s="1" t="s">
        <v>74</v>
      </c>
      <c r="AZ590" s="1" t="s">
        <v>74</v>
      </c>
      <c r="BA590" s="1" t="s">
        <v>74</v>
      </c>
      <c r="BB590" s="1">
        <v>485.0</v>
      </c>
      <c r="BC590" s="1">
        <v>493.0</v>
      </c>
      <c r="BD590" s="1" t="s">
        <v>74</v>
      </c>
      <c r="BE590" s="1" t="s">
        <v>5506</v>
      </c>
      <c r="BF590" s="2" t="str">
        <f>HYPERLINK("http://dx.doi.org/10.1016/j.ijnonlinmec.2004.07.009","http://dx.doi.org/10.1016/j.ijnonlinmec.2004.07.009")</f>
        <v>http://dx.doi.org/10.1016/j.ijnonlinmec.2004.07.009</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5507</v>
      </c>
      <c r="BT590" s="1" t="str">
        <f>HYPERLINK("https%3A%2F%2Fwww.webofscience.com%2Fwos%2Fwoscc%2Ffull-record%2FWOS:000226407300005","View Full Record in Web of Science")</f>
        <v>View Full Record in Web of Science</v>
      </c>
    </row>
    <row r="591" ht="12.75" customHeight="1">
      <c r="A591" s="1" t="s">
        <v>72</v>
      </c>
      <c r="B591" s="1" t="s">
        <v>5508</v>
      </c>
      <c r="C591" s="1" t="s">
        <v>74</v>
      </c>
      <c r="D591" s="1" t="s">
        <v>74</v>
      </c>
      <c r="E591" s="1" t="s">
        <v>74</v>
      </c>
      <c r="F591" s="1" t="s">
        <v>5508</v>
      </c>
      <c r="G591" s="1" t="s">
        <v>74</v>
      </c>
      <c r="H591" s="1" t="s">
        <v>74</v>
      </c>
      <c r="I591" s="1" t="s">
        <v>5509</v>
      </c>
      <c r="J591" s="1" t="s">
        <v>5510</v>
      </c>
      <c r="K591" s="1" t="s">
        <v>74</v>
      </c>
      <c r="L591" s="1" t="s">
        <v>74</v>
      </c>
      <c r="M591" s="1" t="s">
        <v>74</v>
      </c>
      <c r="N591" s="1" t="s">
        <v>74</v>
      </c>
      <c r="O591" s="1" t="s">
        <v>74</v>
      </c>
      <c r="P591" s="1" t="s">
        <v>74</v>
      </c>
      <c r="Q591" s="1" t="s">
        <v>74</v>
      </c>
      <c r="R591" s="1" t="s">
        <v>74</v>
      </c>
      <c r="S591" s="1" t="s">
        <v>74</v>
      </c>
      <c r="T591" s="1" t="s">
        <v>74</v>
      </c>
      <c r="U591" s="1" t="s">
        <v>74</v>
      </c>
      <c r="V591" s="1" t="s">
        <v>5511</v>
      </c>
      <c r="W591" s="1" t="s">
        <v>74</v>
      </c>
      <c r="X591" s="1" t="s">
        <v>74</v>
      </c>
      <c r="Y591" s="1" t="s">
        <v>74</v>
      </c>
      <c r="Z591" s="1" t="s">
        <v>74</v>
      </c>
      <c r="AA591" s="1" t="s">
        <v>5512</v>
      </c>
      <c r="AB591" s="1" t="s">
        <v>5513</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5514</v>
      </c>
      <c r="AP591" s="1" t="s">
        <v>74</v>
      </c>
      <c r="AQ591" s="1" t="s">
        <v>74</v>
      </c>
      <c r="AR591" s="1" t="s">
        <v>74</v>
      </c>
      <c r="AS591" s="1" t="s">
        <v>74</v>
      </c>
      <c r="AT591" s="1" t="s">
        <v>319</v>
      </c>
      <c r="AU591" s="1">
        <v>2004.0</v>
      </c>
      <c r="AV591" s="1">
        <v>7.0</v>
      </c>
      <c r="AW591" s="1">
        <v>1.0</v>
      </c>
      <c r="AX591" s="1" t="s">
        <v>74</v>
      </c>
      <c r="AY591" s="1" t="s">
        <v>74</v>
      </c>
      <c r="AZ591" s="1" t="s">
        <v>74</v>
      </c>
      <c r="BA591" s="1" t="s">
        <v>74</v>
      </c>
      <c r="BB591" s="1">
        <v>37.0</v>
      </c>
      <c r="BC591" s="1">
        <v>44.0</v>
      </c>
      <c r="BD591" s="1" t="s">
        <v>74</v>
      </c>
      <c r="BE591" s="1" t="s">
        <v>5515</v>
      </c>
      <c r="BF591" s="2" t="str">
        <f>HYPERLINK("http://dx.doi.org/10.1081/JFP-120022494","http://dx.doi.org/10.1081/JFP-120022494")</f>
        <v>http://dx.doi.org/10.1081/JFP-120022494</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5516</v>
      </c>
      <c r="BT591" s="1" t="str">
        <f>HYPERLINK("https%3A%2F%2Fwww.webofscience.com%2Fwos%2Fwoscc%2Ffull-record%2FWOS:000221189200004","View Full Record in Web of Science")</f>
        <v>View Full Record in Web of Science</v>
      </c>
    </row>
    <row r="592" ht="12.75" customHeight="1">
      <c r="A592" s="1" t="s">
        <v>72</v>
      </c>
      <c r="B592" s="1" t="s">
        <v>5517</v>
      </c>
      <c r="C592" s="1" t="s">
        <v>74</v>
      </c>
      <c r="D592" s="1" t="s">
        <v>74</v>
      </c>
      <c r="E592" s="1" t="s">
        <v>74</v>
      </c>
      <c r="F592" s="1" t="s">
        <v>5517</v>
      </c>
      <c r="G592" s="1" t="s">
        <v>74</v>
      </c>
      <c r="H592" s="1" t="s">
        <v>74</v>
      </c>
      <c r="I592" s="1" t="s">
        <v>5518</v>
      </c>
      <c r="J592" s="1" t="s">
        <v>5519</v>
      </c>
      <c r="K592" s="1" t="s">
        <v>74</v>
      </c>
      <c r="L592" s="1" t="s">
        <v>74</v>
      </c>
      <c r="M592" s="1" t="s">
        <v>74</v>
      </c>
      <c r="N592" s="1" t="s">
        <v>74</v>
      </c>
      <c r="O592" s="1" t="s">
        <v>74</v>
      </c>
      <c r="P592" s="1" t="s">
        <v>74</v>
      </c>
      <c r="Q592" s="1" t="s">
        <v>74</v>
      </c>
      <c r="R592" s="1" t="s">
        <v>74</v>
      </c>
      <c r="S592" s="1" t="s">
        <v>74</v>
      </c>
      <c r="T592" s="1" t="s">
        <v>74</v>
      </c>
      <c r="U592" s="1" t="s">
        <v>74</v>
      </c>
      <c r="V592" s="1" t="s">
        <v>5520</v>
      </c>
      <c r="W592" s="1" t="s">
        <v>74</v>
      </c>
      <c r="X592" s="1" t="s">
        <v>74</v>
      </c>
      <c r="Y592" s="1" t="s">
        <v>74</v>
      </c>
      <c r="Z592" s="1" t="s">
        <v>74</v>
      </c>
      <c r="AA592" s="1" t="s">
        <v>5521</v>
      </c>
      <c r="AB592" s="1" t="s">
        <v>5522</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5523</v>
      </c>
      <c r="AP592" s="1" t="s">
        <v>74</v>
      </c>
      <c r="AQ592" s="1" t="s">
        <v>74</v>
      </c>
      <c r="AR592" s="1" t="s">
        <v>74</v>
      </c>
      <c r="AS592" s="1" t="s">
        <v>74</v>
      </c>
      <c r="AT592" s="1" t="s">
        <v>174</v>
      </c>
      <c r="AU592" s="1">
        <v>2000.0</v>
      </c>
      <c r="AV592" s="1">
        <v>102.0</v>
      </c>
      <c r="AW592" s="1">
        <v>4.0</v>
      </c>
      <c r="AX592" s="1" t="s">
        <v>74</v>
      </c>
      <c r="AY592" s="1" t="s">
        <v>74</v>
      </c>
      <c r="AZ592" s="1" t="s">
        <v>74</v>
      </c>
      <c r="BA592" s="1" t="s">
        <v>74</v>
      </c>
      <c r="BB592" s="1">
        <v>323.0</v>
      </c>
      <c r="BC592" s="1">
        <v>339.0</v>
      </c>
      <c r="BD592" s="1" t="s">
        <v>74</v>
      </c>
      <c r="BE592" s="1" t="s">
        <v>5524</v>
      </c>
      <c r="BF592" s="2" t="str">
        <f>HYPERLINK("http://dx.doi.org/10.1023/A:1007625512996","http://dx.doi.org/10.1023/A:1007625512996")</f>
        <v>http://dx.doi.org/10.1023/A:1007625512996</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5525</v>
      </c>
      <c r="BT592" s="1" t="str">
        <f>HYPERLINK("https%3A%2F%2Fwww.webofscience.com%2Fwos%2Fwoscc%2Ffull-record%2FWOS:000088936600002","View Full Record in Web of Science")</f>
        <v>View Full Record in Web of Science</v>
      </c>
    </row>
    <row r="593" ht="12.75" customHeight="1">
      <c r="A593" s="1" t="s">
        <v>72</v>
      </c>
      <c r="B593" s="1" t="s">
        <v>5526</v>
      </c>
      <c r="C593" s="1" t="s">
        <v>74</v>
      </c>
      <c r="D593" s="1" t="s">
        <v>74</v>
      </c>
      <c r="E593" s="1" t="s">
        <v>74</v>
      </c>
      <c r="F593" s="1" t="s">
        <v>5526</v>
      </c>
      <c r="G593" s="1" t="s">
        <v>74</v>
      </c>
      <c r="H593" s="1" t="s">
        <v>74</v>
      </c>
      <c r="I593" s="1" t="s">
        <v>5527</v>
      </c>
      <c r="J593" s="1" t="s">
        <v>5528</v>
      </c>
      <c r="K593" s="1" t="s">
        <v>74</v>
      </c>
      <c r="L593" s="1" t="s">
        <v>74</v>
      </c>
      <c r="M593" s="1" t="s">
        <v>74</v>
      </c>
      <c r="N593" s="1" t="s">
        <v>74</v>
      </c>
      <c r="O593" s="1" t="s">
        <v>74</v>
      </c>
      <c r="P593" s="1" t="s">
        <v>74</v>
      </c>
      <c r="Q593" s="1" t="s">
        <v>74</v>
      </c>
      <c r="R593" s="1" t="s">
        <v>74</v>
      </c>
      <c r="S593" s="1" t="s">
        <v>74</v>
      </c>
      <c r="T593" s="1" t="s">
        <v>74</v>
      </c>
      <c r="U593" s="1" t="s">
        <v>74</v>
      </c>
      <c r="V593" s="1" t="s">
        <v>5529</v>
      </c>
      <c r="W593" s="1" t="s">
        <v>74</v>
      </c>
      <c r="X593" s="1" t="s">
        <v>74</v>
      </c>
      <c r="Y593" s="1" t="s">
        <v>74</v>
      </c>
      <c r="Z593" s="1" t="s">
        <v>74</v>
      </c>
      <c r="AA593" s="1" t="s">
        <v>5530</v>
      </c>
      <c r="AB593" s="1" t="s">
        <v>5531</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5532</v>
      </c>
      <c r="AP593" s="1" t="s">
        <v>74</v>
      </c>
      <c r="AQ593" s="1" t="s">
        <v>74</v>
      </c>
      <c r="AR593" s="1" t="s">
        <v>74</v>
      </c>
      <c r="AS593" s="1" t="s">
        <v>74</v>
      </c>
      <c r="AT593" s="1" t="s">
        <v>319</v>
      </c>
      <c r="AU593" s="1">
        <v>1999.0</v>
      </c>
      <c r="AV593" s="1">
        <v>66.0</v>
      </c>
      <c r="AW593" s="1">
        <v>2.0</v>
      </c>
      <c r="AX593" s="1" t="s">
        <v>74</v>
      </c>
      <c r="AY593" s="1" t="s">
        <v>74</v>
      </c>
      <c r="AZ593" s="1" t="s">
        <v>74</v>
      </c>
      <c r="BA593" s="1" t="s">
        <v>74</v>
      </c>
      <c r="BB593" s="1">
        <v>225.0</v>
      </c>
      <c r="BC593" s="1">
        <v>229.0</v>
      </c>
      <c r="BD593" s="1" t="s">
        <v>74</v>
      </c>
      <c r="BE593" s="1" t="s">
        <v>74</v>
      </c>
      <c r="BF593" s="1" t="s">
        <v>74</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5533</v>
      </c>
      <c r="BT593" s="1" t="str">
        <f>HYPERLINK("https%3A%2F%2Fwww.webofscience.com%2Fwos%2Fwoscc%2Ffull-record%2FWOS:000079504700005","View Full Record in Web of Science")</f>
        <v>View Full Record in Web of Science</v>
      </c>
    </row>
    <row r="594" ht="12.75" customHeight="1">
      <c r="A594" s="1" t="s">
        <v>72</v>
      </c>
      <c r="B594" s="1" t="s">
        <v>5534</v>
      </c>
      <c r="C594" s="1" t="s">
        <v>74</v>
      </c>
      <c r="D594" s="1" t="s">
        <v>74</v>
      </c>
      <c r="E594" s="1" t="s">
        <v>74</v>
      </c>
      <c r="F594" s="1" t="s">
        <v>5534</v>
      </c>
      <c r="G594" s="1" t="s">
        <v>74</v>
      </c>
      <c r="H594" s="1" t="s">
        <v>74</v>
      </c>
      <c r="I594" s="1" t="s">
        <v>5535</v>
      </c>
      <c r="J594" s="1" t="s">
        <v>1752</v>
      </c>
      <c r="K594" s="1" t="s">
        <v>74</v>
      </c>
      <c r="L594" s="1" t="s">
        <v>74</v>
      </c>
      <c r="M594" s="1" t="s">
        <v>74</v>
      </c>
      <c r="N594" s="1" t="s">
        <v>74</v>
      </c>
      <c r="O594" s="1" t="s">
        <v>5536</v>
      </c>
      <c r="P594" s="1" t="s">
        <v>5537</v>
      </c>
      <c r="Q594" s="1" t="s">
        <v>5538</v>
      </c>
      <c r="R594" s="1" t="s">
        <v>5539</v>
      </c>
      <c r="S594" s="1" t="s">
        <v>74</v>
      </c>
      <c r="T594" s="1" t="s">
        <v>74</v>
      </c>
      <c r="U594" s="1" t="s">
        <v>74</v>
      </c>
      <c r="V594" s="1" t="s">
        <v>5540</v>
      </c>
      <c r="W594" s="1" t="s">
        <v>74</v>
      </c>
      <c r="X594" s="1" t="s">
        <v>74</v>
      </c>
      <c r="Y594" s="1" t="s">
        <v>74</v>
      </c>
      <c r="Z594" s="1" t="s">
        <v>74</v>
      </c>
      <c r="AA594" s="1" t="s">
        <v>5541</v>
      </c>
      <c r="AB594" s="1" t="s">
        <v>5542</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1757</v>
      </c>
      <c r="AP594" s="1" t="s">
        <v>74</v>
      </c>
      <c r="AQ594" s="1" t="s">
        <v>74</v>
      </c>
      <c r="AR594" s="1" t="s">
        <v>74</v>
      </c>
      <c r="AS594" s="1" t="s">
        <v>74</v>
      </c>
      <c r="AT594" s="1" t="s">
        <v>106</v>
      </c>
      <c r="AU594" s="1">
        <v>1998.0</v>
      </c>
      <c r="AV594" s="1">
        <v>44.0</v>
      </c>
      <c r="AW594" s="1" t="s">
        <v>74</v>
      </c>
      <c r="AX594" s="1" t="s">
        <v>74</v>
      </c>
      <c r="AY594" s="1">
        <v>1.0</v>
      </c>
      <c r="AZ594" s="1" t="s">
        <v>74</v>
      </c>
      <c r="BA594" s="1" t="s">
        <v>74</v>
      </c>
      <c r="BB594" s="1">
        <v>55.0</v>
      </c>
      <c r="BC594" s="1">
        <v>57.0</v>
      </c>
      <c r="BD594" s="1" t="s">
        <v>74</v>
      </c>
      <c r="BE594" s="1" t="s">
        <v>74</v>
      </c>
      <c r="BF594" s="1" t="s">
        <v>74</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5543</v>
      </c>
      <c r="BT594" s="1" t="str">
        <f>HYPERLINK("https%3A%2F%2Fwww.webofscience.com%2Fwos%2Fwoscc%2Ffull-record%2FWOS:000076407000015","View Full Record in Web of Science")</f>
        <v>View Full Record in Web of Science</v>
      </c>
    </row>
    <row r="595" ht="12.75" customHeight="1">
      <c r="A595" s="1" t="s">
        <v>72</v>
      </c>
      <c r="B595" s="1" t="s">
        <v>5544</v>
      </c>
      <c r="C595" s="1" t="s">
        <v>74</v>
      </c>
      <c r="D595" s="1" t="s">
        <v>74</v>
      </c>
      <c r="E595" s="1" t="s">
        <v>74</v>
      </c>
      <c r="F595" s="1" t="s">
        <v>5544</v>
      </c>
      <c r="G595" s="1" t="s">
        <v>74</v>
      </c>
      <c r="H595" s="1" t="s">
        <v>74</v>
      </c>
      <c r="I595" s="1" t="s">
        <v>5545</v>
      </c>
      <c r="J595" s="1" t="s">
        <v>5546</v>
      </c>
      <c r="K595" s="1" t="s">
        <v>74</v>
      </c>
      <c r="L595" s="1" t="s">
        <v>74</v>
      </c>
      <c r="M595" s="1" t="s">
        <v>74</v>
      </c>
      <c r="N595" s="1" t="s">
        <v>74</v>
      </c>
      <c r="O595" s="1" t="s">
        <v>74</v>
      </c>
      <c r="P595" s="1" t="s">
        <v>74</v>
      </c>
      <c r="Q595" s="1" t="s">
        <v>74</v>
      </c>
      <c r="R595" s="1" t="s">
        <v>74</v>
      </c>
      <c r="S595" s="1" t="s">
        <v>74</v>
      </c>
      <c r="T595" s="1" t="s">
        <v>74</v>
      </c>
      <c r="U595" s="1" t="s">
        <v>74</v>
      </c>
      <c r="V595" s="1" t="s">
        <v>5547</v>
      </c>
      <c r="W595" s="1" t="s">
        <v>74</v>
      </c>
      <c r="X595" s="1" t="s">
        <v>74</v>
      </c>
      <c r="Y595" s="1" t="s">
        <v>74</v>
      </c>
      <c r="Z595" s="1" t="s">
        <v>74</v>
      </c>
      <c r="AA595" s="1" t="s">
        <v>5548</v>
      </c>
      <c r="AB595" s="1" t="s">
        <v>5549</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5550</v>
      </c>
      <c r="AP595" s="1" t="s">
        <v>74</v>
      </c>
      <c r="AQ595" s="1" t="s">
        <v>74</v>
      </c>
      <c r="AR595" s="1" t="s">
        <v>74</v>
      </c>
      <c r="AS595" s="1" t="s">
        <v>74</v>
      </c>
      <c r="AT595" s="1" t="s">
        <v>239</v>
      </c>
      <c r="AU595" s="1">
        <v>1998.0</v>
      </c>
      <c r="AV595" s="1">
        <v>55.0</v>
      </c>
      <c r="AW595" s="1">
        <v>473.0</v>
      </c>
      <c r="AX595" s="1" t="s">
        <v>74</v>
      </c>
      <c r="AY595" s="1" t="s">
        <v>74</v>
      </c>
      <c r="AZ595" s="1" t="s">
        <v>74</v>
      </c>
      <c r="BA595" s="1" t="s">
        <v>74</v>
      </c>
      <c r="BB595" s="1">
        <v>61.0</v>
      </c>
      <c r="BC595" s="1">
        <v>66.0</v>
      </c>
      <c r="BD595" s="1" t="s">
        <v>74</v>
      </c>
      <c r="BE595" s="1" t="s">
        <v>74</v>
      </c>
      <c r="BF595" s="1" t="s">
        <v>74</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5551</v>
      </c>
      <c r="BT595" s="1" t="str">
        <f>HYPERLINK("https%3A%2F%2Fwww.webofscience.com%2Fwos%2Fwoscc%2Ffull-record%2FWOS:000073009500012","View Full Record in Web of Science")</f>
        <v>View Full Record in Web of Science</v>
      </c>
    </row>
    <row r="596" ht="12.75" customHeight="1">
      <c r="A596" s="1" t="s">
        <v>72</v>
      </c>
      <c r="B596" s="1" t="s">
        <v>5552</v>
      </c>
      <c r="C596" s="1" t="s">
        <v>74</v>
      </c>
      <c r="D596" s="1" t="s">
        <v>74</v>
      </c>
      <c r="E596" s="1" t="s">
        <v>74</v>
      </c>
      <c r="F596" s="1" t="s">
        <v>5552</v>
      </c>
      <c r="G596" s="1" t="s">
        <v>74</v>
      </c>
      <c r="H596" s="1" t="s">
        <v>74</v>
      </c>
      <c r="I596" s="1" t="s">
        <v>5553</v>
      </c>
      <c r="J596" s="1" t="s">
        <v>3713</v>
      </c>
      <c r="K596" s="1" t="s">
        <v>74</v>
      </c>
      <c r="L596" s="1" t="s">
        <v>74</v>
      </c>
      <c r="M596" s="1" t="s">
        <v>74</v>
      </c>
      <c r="N596" s="1" t="s">
        <v>74</v>
      </c>
      <c r="O596" s="1" t="s">
        <v>74</v>
      </c>
      <c r="P596" s="1" t="s">
        <v>74</v>
      </c>
      <c r="Q596" s="1" t="s">
        <v>74</v>
      </c>
      <c r="R596" s="1" t="s">
        <v>74</v>
      </c>
      <c r="S596" s="1" t="s">
        <v>74</v>
      </c>
      <c r="T596" s="1" t="s">
        <v>74</v>
      </c>
      <c r="U596" s="1" t="s">
        <v>74</v>
      </c>
      <c r="V596" s="1" t="s">
        <v>5554</v>
      </c>
      <c r="W596" s="1" t="s">
        <v>74</v>
      </c>
      <c r="X596" s="1" t="s">
        <v>74</v>
      </c>
      <c r="Y596" s="1" t="s">
        <v>74</v>
      </c>
      <c r="Z596" s="1" t="s">
        <v>74</v>
      </c>
      <c r="AA596" s="1" t="s">
        <v>74</v>
      </c>
      <c r="AB596" s="1" t="s">
        <v>5555</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3716</v>
      </c>
      <c r="AP596" s="1" t="s">
        <v>74</v>
      </c>
      <c r="AQ596" s="1" t="s">
        <v>74</v>
      </c>
      <c r="AR596" s="1" t="s">
        <v>74</v>
      </c>
      <c r="AS596" s="1" t="s">
        <v>74</v>
      </c>
      <c r="AT596" s="1" t="s">
        <v>574</v>
      </c>
      <c r="AU596" s="1">
        <v>1996.0</v>
      </c>
      <c r="AV596" s="1">
        <v>328.0</v>
      </c>
      <c r="AW596" s="1">
        <v>1.0</v>
      </c>
      <c r="AX596" s="1" t="s">
        <v>74</v>
      </c>
      <c r="AY596" s="1" t="s">
        <v>74</v>
      </c>
      <c r="AZ596" s="1" t="s">
        <v>74</v>
      </c>
      <c r="BA596" s="1" t="s">
        <v>74</v>
      </c>
      <c r="BB596" s="1">
        <v>208.0</v>
      </c>
      <c r="BC596" s="1">
        <v>212.0</v>
      </c>
      <c r="BD596" s="1" t="s">
        <v>74</v>
      </c>
      <c r="BE596" s="1" t="s">
        <v>5556</v>
      </c>
      <c r="BF596" s="2" t="str">
        <f>HYPERLINK("http://dx.doi.org/10.1006/abbi.1996.0162","http://dx.doi.org/10.1006/abbi.1996.0162")</f>
        <v>http://dx.doi.org/10.1006/abbi.1996.0162</v>
      </c>
      <c r="BG596" s="1" t="s">
        <v>74</v>
      </c>
      <c r="BH596" s="1" t="s">
        <v>74</v>
      </c>
      <c r="BI596" s="1" t="s">
        <v>74</v>
      </c>
      <c r="BJ596" s="1" t="s">
        <v>74</v>
      </c>
      <c r="BK596" s="1" t="s">
        <v>74</v>
      </c>
      <c r="BL596" s="1" t="s">
        <v>74</v>
      </c>
      <c r="BM596" s="1" t="s">
        <v>74</v>
      </c>
      <c r="BN596" s="1">
        <v>8638932.0</v>
      </c>
      <c r="BO596" s="1" t="s">
        <v>74</v>
      </c>
      <c r="BP596" s="1" t="s">
        <v>74</v>
      </c>
      <c r="BQ596" s="1" t="s">
        <v>74</v>
      </c>
      <c r="BR596" s="1" t="s">
        <v>74</v>
      </c>
      <c r="BS596" s="1" t="s">
        <v>5557</v>
      </c>
      <c r="BT596" s="1" t="str">
        <f>HYPERLINK("https%3A%2F%2Fwww.webofscience.com%2Fwos%2Fwoscc%2Ffull-record%2FWOS:A1996UD39600028","View Full Record in Web of Science")</f>
        <v>View Full Record in Web of Science</v>
      </c>
    </row>
    <row r="597" ht="12.75" customHeight="1">
      <c r="A597" s="1" t="s">
        <v>72</v>
      </c>
      <c r="B597" s="1" t="s">
        <v>5558</v>
      </c>
      <c r="C597" s="1" t="s">
        <v>74</v>
      </c>
      <c r="D597" s="1" t="s">
        <v>74</v>
      </c>
      <c r="E597" s="1" t="s">
        <v>74</v>
      </c>
      <c r="F597" s="1" t="s">
        <v>5558</v>
      </c>
      <c r="G597" s="1" t="s">
        <v>74</v>
      </c>
      <c r="H597" s="1" t="s">
        <v>74</v>
      </c>
      <c r="I597" s="1" t="s">
        <v>5559</v>
      </c>
      <c r="J597" s="1" t="s">
        <v>5560</v>
      </c>
      <c r="K597" s="1" t="s">
        <v>74</v>
      </c>
      <c r="L597" s="1" t="s">
        <v>74</v>
      </c>
      <c r="M597" s="1" t="s">
        <v>74</v>
      </c>
      <c r="N597" s="1" t="s">
        <v>74</v>
      </c>
      <c r="O597" s="1" t="s">
        <v>74</v>
      </c>
      <c r="P597" s="1" t="s">
        <v>74</v>
      </c>
      <c r="Q597" s="1" t="s">
        <v>74</v>
      </c>
      <c r="R597" s="1" t="s">
        <v>74</v>
      </c>
      <c r="S597" s="1" t="s">
        <v>74</v>
      </c>
      <c r="T597" s="1" t="s">
        <v>74</v>
      </c>
      <c r="U597" s="1" t="s">
        <v>74</v>
      </c>
      <c r="V597" s="1" t="s">
        <v>5561</v>
      </c>
      <c r="W597" s="1" t="s">
        <v>74</v>
      </c>
      <c r="X597" s="1" t="s">
        <v>74</v>
      </c>
      <c r="Y597" s="1" t="s">
        <v>74</v>
      </c>
      <c r="Z597" s="1" t="s">
        <v>74</v>
      </c>
      <c r="AA597" s="1" t="s">
        <v>663</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5562</v>
      </c>
      <c r="AP597" s="1" t="s">
        <v>74</v>
      </c>
      <c r="AQ597" s="1" t="s">
        <v>74</v>
      </c>
      <c r="AR597" s="1" t="s">
        <v>74</v>
      </c>
      <c r="AS597" s="1" t="s">
        <v>74</v>
      </c>
      <c r="AT597" s="1" t="s">
        <v>5563</v>
      </c>
      <c r="AU597" s="1">
        <v>1996.0</v>
      </c>
      <c r="AV597" s="1">
        <v>92.0</v>
      </c>
      <c r="AW597" s="1">
        <v>1.0</v>
      </c>
      <c r="AX597" s="1" t="s">
        <v>74</v>
      </c>
      <c r="AY597" s="1" t="s">
        <v>74</v>
      </c>
      <c r="AZ597" s="1" t="s">
        <v>74</v>
      </c>
      <c r="BA597" s="1" t="s">
        <v>74</v>
      </c>
      <c r="BB597" s="1">
        <v>17.0</v>
      </c>
      <c r="BC597" s="1">
        <v>22.0</v>
      </c>
      <c r="BD597" s="1" t="s">
        <v>74</v>
      </c>
      <c r="BE597" s="1" t="s">
        <v>5564</v>
      </c>
      <c r="BF597" s="2" t="str">
        <f>HYPERLINK("http://dx.doi.org/10.1039/ft9969200017","http://dx.doi.org/10.1039/ft9969200017")</f>
        <v>http://dx.doi.org/10.1039/ft9969200017</v>
      </c>
      <c r="BG597" s="1" t="s">
        <v>74</v>
      </c>
      <c r="BH597" s="1" t="s">
        <v>74</v>
      </c>
      <c r="BI597" s="1" t="s">
        <v>74</v>
      </c>
      <c r="BJ597" s="1" t="s">
        <v>74</v>
      </c>
      <c r="BK597" s="1" t="s">
        <v>74</v>
      </c>
      <c r="BL597" s="1" t="s">
        <v>74</v>
      </c>
      <c r="BM597" s="1" t="s">
        <v>74</v>
      </c>
      <c r="BN597" s="1" t="s">
        <v>74</v>
      </c>
      <c r="BO597" s="1" t="s">
        <v>74</v>
      </c>
      <c r="BP597" s="1" t="s">
        <v>74</v>
      </c>
      <c r="BQ597" s="1" t="s">
        <v>74</v>
      </c>
      <c r="BR597" s="1" t="s">
        <v>74</v>
      </c>
      <c r="BS597" s="1" t="s">
        <v>5565</v>
      </c>
      <c r="BT597" s="1" t="str">
        <f>HYPERLINK("https%3A%2F%2Fwww.webofscience.com%2Fwos%2Fwoscc%2Ffull-record%2FWOS:A1996TY88700003","View Full Record in Web of Science")</f>
        <v>View Full Record in Web of Science</v>
      </c>
    </row>
    <row r="598" ht="12.75" customHeight="1">
      <c r="A598" s="1" t="s">
        <v>241</v>
      </c>
      <c r="B598" s="1" t="s">
        <v>5566</v>
      </c>
      <c r="C598" s="1" t="s">
        <v>74</v>
      </c>
      <c r="D598" s="1" t="s">
        <v>5567</v>
      </c>
      <c r="E598" s="1" t="s">
        <v>74</v>
      </c>
      <c r="F598" s="1" t="s">
        <v>5566</v>
      </c>
      <c r="G598" s="1" t="s">
        <v>74</v>
      </c>
      <c r="H598" s="1" t="s">
        <v>74</v>
      </c>
      <c r="I598" s="1" t="s">
        <v>5568</v>
      </c>
      <c r="J598" s="1" t="s">
        <v>5569</v>
      </c>
      <c r="K598" s="1" t="s">
        <v>5570</v>
      </c>
      <c r="L598" s="1" t="s">
        <v>74</v>
      </c>
      <c r="M598" s="1" t="s">
        <v>74</v>
      </c>
      <c r="N598" s="1" t="s">
        <v>74</v>
      </c>
      <c r="O598" s="1" t="s">
        <v>5571</v>
      </c>
      <c r="P598" s="1" t="s">
        <v>5572</v>
      </c>
      <c r="Q598" s="1" t="s">
        <v>5573</v>
      </c>
      <c r="R598" s="1" t="s">
        <v>5574</v>
      </c>
      <c r="S598" s="1" t="s">
        <v>5575</v>
      </c>
      <c r="T598" s="1" t="s">
        <v>74</v>
      </c>
      <c r="U598" s="1" t="s">
        <v>74</v>
      </c>
      <c r="V598" s="1" t="s">
        <v>74</v>
      </c>
      <c r="W598" s="1" t="s">
        <v>74</v>
      </c>
      <c r="X598" s="1" t="s">
        <v>74</v>
      </c>
      <c r="Y598" s="1" t="s">
        <v>74</v>
      </c>
      <c r="Z598" s="1" t="s">
        <v>74</v>
      </c>
      <c r="AA598" s="1" t="s">
        <v>74</v>
      </c>
      <c r="AB598" s="1" t="s">
        <v>74</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5576</v>
      </c>
      <c r="AP598" s="1" t="s">
        <v>74</v>
      </c>
      <c r="AQ598" s="1" t="s">
        <v>5577</v>
      </c>
      <c r="AR598" s="1" t="s">
        <v>74</v>
      </c>
      <c r="AS598" s="1" t="s">
        <v>74</v>
      </c>
      <c r="AT598" s="1" t="s">
        <v>74</v>
      </c>
      <c r="AU598" s="1">
        <v>1996.0</v>
      </c>
      <c r="AV598" s="1">
        <v>410.0</v>
      </c>
      <c r="AW598" s="1" t="s">
        <v>74</v>
      </c>
      <c r="AX598" s="1" t="s">
        <v>74</v>
      </c>
      <c r="AY598" s="1" t="s">
        <v>74</v>
      </c>
      <c r="AZ598" s="1" t="s">
        <v>74</v>
      </c>
      <c r="BA598" s="1" t="s">
        <v>74</v>
      </c>
      <c r="BB598" s="1">
        <v>217.0</v>
      </c>
      <c r="BC598" s="1">
        <v>220.0</v>
      </c>
      <c r="BD598" s="1" t="s">
        <v>74</v>
      </c>
      <c r="BE598" s="1" t="s">
        <v>74</v>
      </c>
      <c r="BF598" s="1" t="s">
        <v>74</v>
      </c>
      <c r="BG598" s="1" t="s">
        <v>74</v>
      </c>
      <c r="BH598" s="1" t="s">
        <v>74</v>
      </c>
      <c r="BI598" s="1" t="s">
        <v>74</v>
      </c>
      <c r="BJ598" s="1" t="s">
        <v>74</v>
      </c>
      <c r="BK598" s="1" t="s">
        <v>74</v>
      </c>
      <c r="BL598" s="1" t="s">
        <v>74</v>
      </c>
      <c r="BM598" s="1" t="s">
        <v>74</v>
      </c>
      <c r="BN598" s="1">
        <v>9030301.0</v>
      </c>
      <c r="BO598" s="1" t="s">
        <v>74</v>
      </c>
      <c r="BP598" s="1" t="s">
        <v>74</v>
      </c>
      <c r="BQ598" s="1" t="s">
        <v>74</v>
      </c>
      <c r="BR598" s="1" t="s">
        <v>74</v>
      </c>
      <c r="BS598" s="1" t="s">
        <v>5578</v>
      </c>
      <c r="BT598" s="1" t="str">
        <f>HYPERLINK("https%3A%2F%2Fwww.webofscience.com%2Fwos%2Fwoscc%2Ffull-record%2FWOS:A1996BH18J00031","View Full Record in Web of Science")</f>
        <v>View Full Record in Web of Science</v>
      </c>
    </row>
    <row r="599" ht="12.75" customHeight="1">
      <c r="A599" s="1" t="s">
        <v>72</v>
      </c>
      <c r="B599" s="1" t="s">
        <v>5579</v>
      </c>
      <c r="C599" s="1" t="s">
        <v>74</v>
      </c>
      <c r="D599" s="1" t="s">
        <v>74</v>
      </c>
      <c r="E599" s="1" t="s">
        <v>74</v>
      </c>
      <c r="F599" s="1" t="s">
        <v>5579</v>
      </c>
      <c r="G599" s="1" t="s">
        <v>74</v>
      </c>
      <c r="H599" s="1" t="s">
        <v>74</v>
      </c>
      <c r="I599" s="1" t="s">
        <v>5580</v>
      </c>
      <c r="J599" s="1" t="s">
        <v>5581</v>
      </c>
      <c r="K599" s="1" t="s">
        <v>74</v>
      </c>
      <c r="L599" s="1" t="s">
        <v>74</v>
      </c>
      <c r="M599" s="1" t="s">
        <v>74</v>
      </c>
      <c r="N599" s="1" t="s">
        <v>74</v>
      </c>
      <c r="O599" s="1" t="s">
        <v>74</v>
      </c>
      <c r="P599" s="1" t="s">
        <v>74</v>
      </c>
      <c r="Q599" s="1" t="s">
        <v>74</v>
      </c>
      <c r="R599" s="1" t="s">
        <v>74</v>
      </c>
      <c r="S599" s="1" t="s">
        <v>74</v>
      </c>
      <c r="T599" s="1" t="s">
        <v>74</v>
      </c>
      <c r="U599" s="1" t="s">
        <v>74</v>
      </c>
      <c r="V599" s="1" t="s">
        <v>74</v>
      </c>
      <c r="W599" s="1" t="s">
        <v>74</v>
      </c>
      <c r="X599" s="1" t="s">
        <v>74</v>
      </c>
      <c r="Y599" s="1" t="s">
        <v>74</v>
      </c>
      <c r="Z599" s="1" t="s">
        <v>74</v>
      </c>
      <c r="AA599" s="1" t="s">
        <v>5582</v>
      </c>
      <c r="AB599" s="1" t="s">
        <v>5583</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5584</v>
      </c>
      <c r="AP599" s="1" t="s">
        <v>74</v>
      </c>
      <c r="AQ599" s="1" t="s">
        <v>74</v>
      </c>
      <c r="AR599" s="1" t="s">
        <v>74</v>
      </c>
      <c r="AS599" s="1" t="s">
        <v>74</v>
      </c>
      <c r="AT599" s="1" t="s">
        <v>2405</v>
      </c>
      <c r="AU599" s="1">
        <v>1995.0</v>
      </c>
      <c r="AV599" s="1">
        <v>90.0</v>
      </c>
      <c r="AW599" s="1">
        <v>2.0</v>
      </c>
      <c r="AX599" s="1" t="s">
        <v>74</v>
      </c>
      <c r="AY599" s="1" t="s">
        <v>74</v>
      </c>
      <c r="AZ599" s="1" t="s">
        <v>74</v>
      </c>
      <c r="BA599" s="1" t="s">
        <v>74</v>
      </c>
      <c r="BB599" s="1">
        <v>438.0</v>
      </c>
      <c r="BC599" s="1">
        <v>444.0</v>
      </c>
      <c r="BD599" s="1" t="s">
        <v>74</v>
      </c>
      <c r="BE599" s="1" t="s">
        <v>5585</v>
      </c>
      <c r="BF599" s="2" t="str">
        <f>HYPERLINK("http://dx.doi.org/10.2113/gsecongeo.90.2.438","http://dx.doi.org/10.2113/gsecongeo.90.2.438")</f>
        <v>http://dx.doi.org/10.2113/gsecongeo.90.2.438</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5586</v>
      </c>
      <c r="BT599" s="1" t="str">
        <f>HYPERLINK("https%3A%2F%2Fwww.webofscience.com%2Fwos%2Fwoscc%2Ffull-record%2FWOS:A1995RD03400015","View Full Record in Web of Science")</f>
        <v>View Full Record in Web of Science</v>
      </c>
    </row>
    <row r="600" ht="12.75" customHeight="1">
      <c r="A600" s="1" t="s">
        <v>72</v>
      </c>
      <c r="B600" s="1" t="s">
        <v>5587</v>
      </c>
      <c r="C600" s="1" t="s">
        <v>74</v>
      </c>
      <c r="D600" s="1" t="s">
        <v>74</v>
      </c>
      <c r="E600" s="1" t="s">
        <v>74</v>
      </c>
      <c r="F600" s="1" t="s">
        <v>5587</v>
      </c>
      <c r="G600" s="1" t="s">
        <v>74</v>
      </c>
      <c r="H600" s="1" t="s">
        <v>74</v>
      </c>
      <c r="I600" s="1" t="s">
        <v>5588</v>
      </c>
      <c r="J600" s="1" t="s">
        <v>3845</v>
      </c>
      <c r="K600" s="1" t="s">
        <v>74</v>
      </c>
      <c r="L600" s="1" t="s">
        <v>74</v>
      </c>
      <c r="M600" s="1" t="s">
        <v>74</v>
      </c>
      <c r="N600" s="1" t="s">
        <v>74</v>
      </c>
      <c r="O600" s="1" t="s">
        <v>74</v>
      </c>
      <c r="P600" s="1" t="s">
        <v>74</v>
      </c>
      <c r="Q600" s="1" t="s">
        <v>74</v>
      </c>
      <c r="R600" s="1" t="s">
        <v>74</v>
      </c>
      <c r="S600" s="1" t="s">
        <v>74</v>
      </c>
      <c r="T600" s="1" t="s">
        <v>74</v>
      </c>
      <c r="U600" s="1" t="s">
        <v>74</v>
      </c>
      <c r="V600" s="1" t="s">
        <v>5589</v>
      </c>
      <c r="W600" s="1" t="s">
        <v>74</v>
      </c>
      <c r="X600" s="1" t="s">
        <v>74</v>
      </c>
      <c r="Y600" s="1" t="s">
        <v>74</v>
      </c>
      <c r="Z600" s="1" t="s">
        <v>74</v>
      </c>
      <c r="AA600" s="1" t="s">
        <v>5590</v>
      </c>
      <c r="AB600" s="1" t="s">
        <v>2061</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5591</v>
      </c>
      <c r="AP600" s="1" t="s">
        <v>74</v>
      </c>
      <c r="AQ600" s="1" t="s">
        <v>74</v>
      </c>
      <c r="AR600" s="1" t="s">
        <v>74</v>
      </c>
      <c r="AS600" s="1" t="s">
        <v>74</v>
      </c>
      <c r="AT600" s="1" t="s">
        <v>5592</v>
      </c>
      <c r="AU600" s="1">
        <v>1994.0</v>
      </c>
      <c r="AV600" s="1">
        <v>374.0</v>
      </c>
      <c r="AW600" s="1" t="s">
        <v>1569</v>
      </c>
      <c r="AX600" s="1" t="s">
        <v>74</v>
      </c>
      <c r="AY600" s="1" t="s">
        <v>74</v>
      </c>
      <c r="AZ600" s="1" t="s">
        <v>74</v>
      </c>
      <c r="BA600" s="1" t="s">
        <v>74</v>
      </c>
      <c r="BB600" s="1">
        <v>215.0</v>
      </c>
      <c r="BC600" s="1">
        <v>222.0</v>
      </c>
      <c r="BD600" s="1" t="s">
        <v>74</v>
      </c>
      <c r="BE600" s="1" t="s">
        <v>5593</v>
      </c>
      <c r="BF600" s="2" t="str">
        <f>HYPERLINK("http://dx.doi.org/10.1016/0022-0728(94)03365-X","http://dx.doi.org/10.1016/0022-0728(94)03365-X")</f>
        <v>http://dx.doi.org/10.1016/0022-0728(94)03365-X</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5594</v>
      </c>
      <c r="BT600" s="1" t="str">
        <f>HYPERLINK("https%3A%2F%2Fwww.webofscience.com%2Fwos%2Fwoscc%2Ffull-record%2FWOS:A1994PD15700025","View Full Record in Web of Science")</f>
        <v>View Full Record in Web of Science</v>
      </c>
    </row>
    <row r="601" ht="12.75" customHeight="1">
      <c r="A601" s="1" t="s">
        <v>72</v>
      </c>
      <c r="B601" s="1" t="s">
        <v>5595</v>
      </c>
      <c r="C601" s="1" t="s">
        <v>74</v>
      </c>
      <c r="D601" s="1" t="s">
        <v>74</v>
      </c>
      <c r="E601" s="1" t="s">
        <v>74</v>
      </c>
      <c r="F601" s="1" t="s">
        <v>5595</v>
      </c>
      <c r="G601" s="1" t="s">
        <v>74</v>
      </c>
      <c r="H601" s="1" t="s">
        <v>74</v>
      </c>
      <c r="I601" s="1" t="s">
        <v>5596</v>
      </c>
      <c r="J601" s="1" t="s">
        <v>2586</v>
      </c>
      <c r="K601" s="1" t="s">
        <v>74</v>
      </c>
      <c r="L601" s="1" t="s">
        <v>74</v>
      </c>
      <c r="M601" s="1" t="s">
        <v>74</v>
      </c>
      <c r="N601" s="1" t="s">
        <v>74</v>
      </c>
      <c r="O601" s="1" t="s">
        <v>74</v>
      </c>
      <c r="P601" s="1" t="s">
        <v>74</v>
      </c>
      <c r="Q601" s="1" t="s">
        <v>74</v>
      </c>
      <c r="R601" s="1" t="s">
        <v>74</v>
      </c>
      <c r="S601" s="1" t="s">
        <v>74</v>
      </c>
      <c r="T601" s="1" t="s">
        <v>74</v>
      </c>
      <c r="U601" s="1" t="s">
        <v>74</v>
      </c>
      <c r="V601" s="1" t="s">
        <v>74</v>
      </c>
      <c r="W601" s="1" t="s">
        <v>74</v>
      </c>
      <c r="X601" s="1" t="s">
        <v>74</v>
      </c>
      <c r="Y601" s="1" t="s">
        <v>74</v>
      </c>
      <c r="Z601" s="1" t="s">
        <v>74</v>
      </c>
      <c r="AA601" s="1" t="s">
        <v>74</v>
      </c>
      <c r="AB601" s="1" t="s">
        <v>2587</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2588</v>
      </c>
      <c r="AP601" s="1" t="s">
        <v>74</v>
      </c>
      <c r="AQ601" s="1" t="s">
        <v>74</v>
      </c>
      <c r="AR601" s="1" t="s">
        <v>74</v>
      </c>
      <c r="AS601" s="1" t="s">
        <v>74</v>
      </c>
      <c r="AT601" s="1" t="s">
        <v>2308</v>
      </c>
      <c r="AU601" s="1">
        <v>1993.0</v>
      </c>
      <c r="AV601" s="1">
        <v>21.0</v>
      </c>
      <c r="AW601" s="1" t="s">
        <v>5597</v>
      </c>
      <c r="AX601" s="1" t="s">
        <v>74</v>
      </c>
      <c r="AY601" s="1" t="s">
        <v>74</v>
      </c>
      <c r="AZ601" s="1" t="s">
        <v>74</v>
      </c>
      <c r="BA601" s="1" t="s">
        <v>74</v>
      </c>
      <c r="BB601" s="1">
        <v>744.0</v>
      </c>
      <c r="BC601" s="1">
        <v>744.0</v>
      </c>
      <c r="BD601" s="1" t="s">
        <v>74</v>
      </c>
      <c r="BE601" s="1" t="s">
        <v>5598</v>
      </c>
      <c r="BF601" s="2" t="str">
        <f>HYPERLINK("http://dx.doi.org/10.1016/0305-1978(93)90082-3","http://dx.doi.org/10.1016/0305-1978(93)90082-3")</f>
        <v>http://dx.doi.org/10.1016/0305-1978(93)90082-3</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5599</v>
      </c>
      <c r="BT601" s="1" t="str">
        <f>HYPERLINK("https%3A%2F%2Fwww.webofscience.com%2Fwos%2Fwoscc%2Ffull-record%2FWOS:A1993MG11300015","View Full Record in Web of Science")</f>
        <v>View Full Record in Web of Science</v>
      </c>
    </row>
    <row r="602" ht="12.75" customHeight="1">
      <c r="A602" s="1" t="s">
        <v>72</v>
      </c>
      <c r="B602" s="1" t="s">
        <v>5600</v>
      </c>
      <c r="C602" s="1" t="s">
        <v>74</v>
      </c>
      <c r="D602" s="1" t="s">
        <v>74</v>
      </c>
      <c r="E602" s="1" t="s">
        <v>74</v>
      </c>
      <c r="F602" s="1" t="s">
        <v>5600</v>
      </c>
      <c r="G602" s="1" t="s">
        <v>74</v>
      </c>
      <c r="H602" s="1" t="s">
        <v>74</v>
      </c>
      <c r="I602" s="1" t="s">
        <v>5601</v>
      </c>
      <c r="J602" s="1" t="s">
        <v>5602</v>
      </c>
      <c r="K602" s="1" t="s">
        <v>74</v>
      </c>
      <c r="L602" s="1" t="s">
        <v>74</v>
      </c>
      <c r="M602" s="1" t="s">
        <v>74</v>
      </c>
      <c r="N602" s="1" t="s">
        <v>74</v>
      </c>
      <c r="O602" s="1" t="s">
        <v>74</v>
      </c>
      <c r="P602" s="1" t="s">
        <v>74</v>
      </c>
      <c r="Q602" s="1" t="s">
        <v>74</v>
      </c>
      <c r="R602" s="1" t="s">
        <v>74</v>
      </c>
      <c r="S602" s="1" t="s">
        <v>74</v>
      </c>
      <c r="T602" s="1" t="s">
        <v>74</v>
      </c>
      <c r="U602" s="1" t="s">
        <v>74</v>
      </c>
      <c r="V602" s="1" t="s">
        <v>74</v>
      </c>
      <c r="W602" s="1" t="s">
        <v>74</v>
      </c>
      <c r="X602" s="1" t="s">
        <v>74</v>
      </c>
      <c r="Y602" s="1" t="s">
        <v>74</v>
      </c>
      <c r="Z602" s="1" t="s">
        <v>74</v>
      </c>
      <c r="AA602" s="1" t="s">
        <v>5603</v>
      </c>
      <c r="AB602" s="1" t="s">
        <v>5604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5605</v>
      </c>
      <c r="AP602" s="1" t="s">
        <v>74</v>
      </c>
      <c r="AQ602" s="1" t="s">
        <v>74</v>
      </c>
      <c r="AR602" s="1" t="s">
        <v>74</v>
      </c>
      <c r="AS602" s="1" t="s">
        <v>74</v>
      </c>
      <c r="AT602" s="1" t="s">
        <v>353</v>
      </c>
      <c r="AU602" s="1">
        <v>1989.0</v>
      </c>
      <c r="AV602" s="1">
        <v>315.0</v>
      </c>
      <c r="AW602" s="1">
        <v>2.0</v>
      </c>
      <c r="AX602" s="1" t="s">
        <v>74</v>
      </c>
      <c r="AY602" s="1" t="s">
        <v>74</v>
      </c>
      <c r="AZ602" s="1" t="s">
        <v>74</v>
      </c>
      <c r="BA602" s="1" t="s">
        <v>74</v>
      </c>
      <c r="BB602" s="1">
        <v>711.0</v>
      </c>
      <c r="BC602" s="1">
        <v>720.0</v>
      </c>
      <c r="BD602" s="1" t="s">
        <v>74</v>
      </c>
      <c r="BE602" s="1" t="s">
        <v>74</v>
      </c>
      <c r="BF602" s="1" t="s">
        <v>74</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5606</v>
      </c>
      <c r="BT602" s="1" t="str">
        <f>HYPERLINK("https%3A%2F%2Fwww.webofscience.com%2Fwos%2Fwoscc%2Ffull-record%2FWOS:A1989AW80600010","View Full Record in Web of Science")</f>
        <v>View Full Record in Web of Science</v>
      </c>
    </row>
    <row r="603" ht="12.75" customHeight="1">
      <c r="A603" s="1" t="s">
        <v>72</v>
      </c>
      <c r="B603" s="1" t="s">
        <v>5607</v>
      </c>
      <c r="C603" s="1" t="s">
        <v>74</v>
      </c>
      <c r="D603" s="1" t="s">
        <v>74</v>
      </c>
      <c r="E603" s="1" t="s">
        <v>74</v>
      </c>
      <c r="F603" s="1" t="s">
        <v>5607</v>
      </c>
      <c r="G603" s="1" t="s">
        <v>74</v>
      </c>
      <c r="H603" s="1" t="s">
        <v>74</v>
      </c>
      <c r="I603" s="1" t="s">
        <v>5608</v>
      </c>
      <c r="J603" s="1" t="s">
        <v>1891</v>
      </c>
      <c r="K603" s="1" t="s">
        <v>74</v>
      </c>
      <c r="L603" s="1" t="s">
        <v>74</v>
      </c>
      <c r="M603" s="1" t="s">
        <v>74</v>
      </c>
      <c r="N603" s="1" t="s">
        <v>74</v>
      </c>
      <c r="O603" s="1" t="s">
        <v>74</v>
      </c>
      <c r="P603" s="1" t="s">
        <v>74</v>
      </c>
      <c r="Q603" s="1" t="s">
        <v>74</v>
      </c>
      <c r="R603" s="1" t="s">
        <v>74</v>
      </c>
      <c r="S603" s="1" t="s">
        <v>74</v>
      </c>
      <c r="T603" s="1" t="s">
        <v>74</v>
      </c>
      <c r="U603" s="1" t="s">
        <v>74</v>
      </c>
      <c r="V603" s="1" t="s">
        <v>74</v>
      </c>
      <c r="W603" s="1" t="s">
        <v>74</v>
      </c>
      <c r="X603" s="1" t="s">
        <v>74</v>
      </c>
      <c r="Y603" s="1" t="s">
        <v>74</v>
      </c>
      <c r="Z603" s="1" t="s">
        <v>74</v>
      </c>
      <c r="AA603" s="1" t="s">
        <v>74</v>
      </c>
      <c r="AB603" s="1" t="s">
        <v>74</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1893</v>
      </c>
      <c r="AP603" s="1" t="s">
        <v>74</v>
      </c>
      <c r="AQ603" s="1" t="s">
        <v>74</v>
      </c>
      <c r="AR603" s="1" t="s">
        <v>74</v>
      </c>
      <c r="AS603" s="1" t="s">
        <v>74</v>
      </c>
      <c r="AT603" s="1" t="s">
        <v>74</v>
      </c>
      <c r="AU603" s="1">
        <v>1978.0</v>
      </c>
      <c r="AV603" s="1">
        <v>16.0</v>
      </c>
      <c r="AW603" s="1">
        <v>11.0</v>
      </c>
      <c r="AX603" s="1" t="s">
        <v>74</v>
      </c>
      <c r="AY603" s="1" t="s">
        <v>74</v>
      </c>
      <c r="AZ603" s="1" t="s">
        <v>74</v>
      </c>
      <c r="BA603" s="1" t="s">
        <v>74</v>
      </c>
      <c r="BB603" s="1">
        <v>3003.0</v>
      </c>
      <c r="BC603" s="1">
        <v>3006.0</v>
      </c>
      <c r="BD603" s="1" t="s">
        <v>74</v>
      </c>
      <c r="BE603" s="1" t="s">
        <v>5609</v>
      </c>
      <c r="BF603" s="2" t="str">
        <f>HYPERLINK("http://dx.doi.org/10.1002/pol.1978.170161127","http://dx.doi.org/10.1002/pol.1978.170161127")</f>
        <v>http://dx.doi.org/10.1002/pol.1978.170161127</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5610</v>
      </c>
      <c r="BT603" s="1" t="str">
        <f>HYPERLINK("https%3A%2F%2Fwww.webofscience.com%2Fwos%2Fwoscc%2Ffull-record%2FWOS:A1978FY56300027","View Full Record in Web of Science")</f>
        <v>View Full Record in Web of Science</v>
      </c>
    </row>
    <row r="604" ht="12.75" customHeight="1">
      <c r="A604" s="1" t="s">
        <v>72</v>
      </c>
      <c r="B604" s="1" t="s">
        <v>5611</v>
      </c>
      <c r="C604" s="1" t="s">
        <v>74</v>
      </c>
      <c r="D604" s="1" t="s">
        <v>74</v>
      </c>
      <c r="E604" s="1" t="s">
        <v>74</v>
      </c>
      <c r="F604" s="1" t="s">
        <v>5612</v>
      </c>
      <c r="G604" s="1" t="s">
        <v>74</v>
      </c>
      <c r="H604" s="1" t="s">
        <v>74</v>
      </c>
      <c r="I604" s="1" t="s">
        <v>5613</v>
      </c>
      <c r="J604" s="1" t="s">
        <v>5614</v>
      </c>
      <c r="K604" s="1" t="s">
        <v>74</v>
      </c>
      <c r="L604" s="1" t="s">
        <v>74</v>
      </c>
      <c r="M604" s="1" t="s">
        <v>74</v>
      </c>
      <c r="N604" s="1" t="s">
        <v>74</v>
      </c>
      <c r="O604" s="1" t="s">
        <v>74</v>
      </c>
      <c r="P604" s="1" t="s">
        <v>74</v>
      </c>
      <c r="Q604" s="1" t="s">
        <v>74</v>
      </c>
      <c r="R604" s="1" t="s">
        <v>74</v>
      </c>
      <c r="S604" s="1" t="s">
        <v>74</v>
      </c>
      <c r="T604" s="1" t="s">
        <v>74</v>
      </c>
      <c r="U604" s="1" t="s">
        <v>74</v>
      </c>
      <c r="V604" s="1" t="s">
        <v>5615</v>
      </c>
      <c r="W604" s="1" t="s">
        <v>74</v>
      </c>
      <c r="X604" s="1" t="s">
        <v>74</v>
      </c>
      <c r="Y604" s="1" t="s">
        <v>74</v>
      </c>
      <c r="Z604" s="1" t="s">
        <v>74</v>
      </c>
      <c r="AA604" s="1" t="s">
        <v>484</v>
      </c>
      <c r="AB604" s="1" t="s">
        <v>485</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5616</v>
      </c>
      <c r="AP604" s="1" t="s">
        <v>5617</v>
      </c>
      <c r="AQ604" s="1" t="s">
        <v>74</v>
      </c>
      <c r="AR604" s="1" t="s">
        <v>74</v>
      </c>
      <c r="AS604" s="1" t="s">
        <v>74</v>
      </c>
      <c r="AT604" s="1" t="s">
        <v>94</v>
      </c>
      <c r="AU604" s="1">
        <v>2025.0</v>
      </c>
      <c r="AV604" s="1">
        <v>70.0</v>
      </c>
      <c r="AW604" s="1">
        <v>1.0</v>
      </c>
      <c r="AX604" s="1" t="s">
        <v>74</v>
      </c>
      <c r="AY604" s="1" t="s">
        <v>74</v>
      </c>
      <c r="AZ604" s="1" t="s">
        <v>74</v>
      </c>
      <c r="BA604" s="1" t="s">
        <v>74</v>
      </c>
      <c r="BB604" s="1">
        <v>573.0</v>
      </c>
      <c r="BC604" s="1">
        <v>578.0</v>
      </c>
      <c r="BD604" s="1" t="s">
        <v>74</v>
      </c>
      <c r="BE604" s="1" t="s">
        <v>5618</v>
      </c>
      <c r="BF604" s="2" t="str">
        <f>HYPERLINK("http://dx.doi.org/10.1109/TAC.2024.3441325","http://dx.doi.org/10.1109/TAC.2024.3441325")</f>
        <v>http://dx.doi.org/10.1109/TAC.2024.3441325</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5619</v>
      </c>
      <c r="BT604" s="1" t="str">
        <f>HYPERLINK("https%3A%2F%2Fwww.webofscience.com%2Fwos%2Fwoscc%2Ffull-record%2FWOS:001387962800004","View Full Record in Web of Science")</f>
        <v>View Full Record in Web of Science</v>
      </c>
    </row>
    <row r="605" ht="12.75" customHeight="1">
      <c r="A605" s="1" t="s">
        <v>72</v>
      </c>
      <c r="B605" s="1" t="s">
        <v>5620</v>
      </c>
      <c r="C605" s="1" t="s">
        <v>74</v>
      </c>
      <c r="D605" s="1" t="s">
        <v>74</v>
      </c>
      <c r="E605" s="1" t="s">
        <v>74</v>
      </c>
      <c r="F605" s="1" t="s">
        <v>5621</v>
      </c>
      <c r="G605" s="1" t="s">
        <v>74</v>
      </c>
      <c r="H605" s="1" t="s">
        <v>74</v>
      </c>
      <c r="I605" s="1" t="s">
        <v>5622</v>
      </c>
      <c r="J605" s="1" t="s">
        <v>1620</v>
      </c>
      <c r="K605" s="1" t="s">
        <v>74</v>
      </c>
      <c r="L605" s="1" t="s">
        <v>74</v>
      </c>
      <c r="M605" s="1" t="s">
        <v>74</v>
      </c>
      <c r="N605" s="1" t="s">
        <v>74</v>
      </c>
      <c r="O605" s="1" t="s">
        <v>74</v>
      </c>
      <c r="P605" s="1" t="s">
        <v>74</v>
      </c>
      <c r="Q605" s="1" t="s">
        <v>74</v>
      </c>
      <c r="R605" s="1" t="s">
        <v>74</v>
      </c>
      <c r="S605" s="1" t="s">
        <v>74</v>
      </c>
      <c r="T605" s="1" t="s">
        <v>74</v>
      </c>
      <c r="U605" s="1" t="s">
        <v>74</v>
      </c>
      <c r="V605" s="1" t="s">
        <v>5623</v>
      </c>
      <c r="W605" s="1" t="s">
        <v>74</v>
      </c>
      <c r="X605" s="1" t="s">
        <v>74</v>
      </c>
      <c r="Y605" s="1" t="s">
        <v>74</v>
      </c>
      <c r="Z605" s="1" t="s">
        <v>74</v>
      </c>
      <c r="AA605" s="1" t="s">
        <v>74</v>
      </c>
      <c r="AB605" s="1" t="s">
        <v>5624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1622</v>
      </c>
      <c r="AP605" s="1" t="s">
        <v>1623</v>
      </c>
      <c r="AQ605" s="1" t="s">
        <v>74</v>
      </c>
      <c r="AR605" s="1" t="s">
        <v>74</v>
      </c>
      <c r="AS605" s="1" t="s">
        <v>74</v>
      </c>
      <c r="AT605" s="1" t="s">
        <v>160</v>
      </c>
      <c r="AU605" s="1">
        <v>2024.0</v>
      </c>
      <c r="AV605" s="1">
        <v>47.0</v>
      </c>
      <c r="AW605" s="1">
        <v>12.0</v>
      </c>
      <c r="AX605" s="1" t="s">
        <v>74</v>
      </c>
      <c r="AY605" s="1" t="s">
        <v>74</v>
      </c>
      <c r="AZ605" s="1" t="s">
        <v>74</v>
      </c>
      <c r="BA605" s="1" t="s">
        <v>74</v>
      </c>
      <c r="BB605" s="1" t="s">
        <v>74</v>
      </c>
      <c r="BC605" s="1" t="s">
        <v>74</v>
      </c>
      <c r="BD605" s="1" t="s">
        <v>5625</v>
      </c>
      <c r="BE605" s="1" t="s">
        <v>5626</v>
      </c>
      <c r="BF605" s="2" t="str">
        <f>HYPERLINK("http://dx.doi.org/10.1111/jfd.14014","http://dx.doi.org/10.1111/jfd.14014")</f>
        <v>http://dx.doi.org/10.1111/jfd.14014</v>
      </c>
      <c r="BG605" s="1" t="s">
        <v>74</v>
      </c>
      <c r="BH605" s="1" t="s">
        <v>1443</v>
      </c>
      <c r="BI605" s="1" t="s">
        <v>74</v>
      </c>
      <c r="BJ605" s="1" t="s">
        <v>74</v>
      </c>
      <c r="BK605" s="1" t="s">
        <v>74</v>
      </c>
      <c r="BL605" s="1" t="s">
        <v>74</v>
      </c>
      <c r="BM605" s="1" t="s">
        <v>74</v>
      </c>
      <c r="BN605" s="1">
        <v>3.9244704E7</v>
      </c>
      <c r="BO605" s="1" t="s">
        <v>74</v>
      </c>
      <c r="BP605" s="1" t="s">
        <v>74</v>
      </c>
      <c r="BQ605" s="1" t="s">
        <v>74</v>
      </c>
      <c r="BR605" s="1" t="s">
        <v>74</v>
      </c>
      <c r="BS605" s="1" t="s">
        <v>5627</v>
      </c>
      <c r="BT605" s="1" t="str">
        <f>HYPERLINK("https%3A%2F%2Fwww.webofscience.com%2Fwos%2Fwoscc%2Ffull-record%2FWOS:001308384900001","View Full Record in Web of Science")</f>
        <v>View Full Record in Web of Science</v>
      </c>
    </row>
    <row r="606" ht="12.75" customHeight="1">
      <c r="A606" s="1" t="s">
        <v>72</v>
      </c>
      <c r="B606" s="1" t="s">
        <v>5628</v>
      </c>
      <c r="C606" s="1" t="s">
        <v>74</v>
      </c>
      <c r="D606" s="1" t="s">
        <v>74</v>
      </c>
      <c r="E606" s="1" t="s">
        <v>74</v>
      </c>
      <c r="F606" s="1" t="s">
        <v>5629</v>
      </c>
      <c r="G606" s="1" t="s">
        <v>74</v>
      </c>
      <c r="H606" s="1" t="s">
        <v>74</v>
      </c>
      <c r="I606" s="1" t="s">
        <v>5630</v>
      </c>
      <c r="J606" s="1" t="s">
        <v>4164</v>
      </c>
      <c r="K606" s="1" t="s">
        <v>74</v>
      </c>
      <c r="L606" s="1" t="s">
        <v>74</v>
      </c>
      <c r="M606" s="1" t="s">
        <v>74</v>
      </c>
      <c r="N606" s="1" t="s">
        <v>74</v>
      </c>
      <c r="O606" s="1" t="s">
        <v>74</v>
      </c>
      <c r="P606" s="1" t="s">
        <v>74</v>
      </c>
      <c r="Q606" s="1" t="s">
        <v>74</v>
      </c>
      <c r="R606" s="1" t="s">
        <v>74</v>
      </c>
      <c r="S606" s="1" t="s">
        <v>74</v>
      </c>
      <c r="T606" s="1" t="s">
        <v>74</v>
      </c>
      <c r="U606" s="1" t="s">
        <v>74</v>
      </c>
      <c r="V606" s="1" t="s">
        <v>5631</v>
      </c>
      <c r="W606" s="1" t="s">
        <v>74</v>
      </c>
      <c r="X606" s="1" t="s">
        <v>74</v>
      </c>
      <c r="Y606" s="1" t="s">
        <v>74</v>
      </c>
      <c r="Z606" s="1" t="s">
        <v>74</v>
      </c>
      <c r="AA606" s="1" t="s">
        <v>5548</v>
      </c>
      <c r="AB606" s="1" t="s">
        <v>5549</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74</v>
      </c>
      <c r="AP606" s="1" t="s">
        <v>4168</v>
      </c>
      <c r="AQ606" s="1" t="s">
        <v>74</v>
      </c>
      <c r="AR606" s="1" t="s">
        <v>74</v>
      </c>
      <c r="AS606" s="1" t="s">
        <v>74</v>
      </c>
      <c r="AT606" s="1" t="s">
        <v>343</v>
      </c>
      <c r="AU606" s="1">
        <v>2024.0</v>
      </c>
      <c r="AV606" s="1">
        <v>13.0</v>
      </c>
      <c r="AW606" s="1">
        <v>8.0</v>
      </c>
      <c r="AX606" s="1" t="s">
        <v>74</v>
      </c>
      <c r="AY606" s="1" t="s">
        <v>74</v>
      </c>
      <c r="AZ606" s="1" t="s">
        <v>74</v>
      </c>
      <c r="BA606" s="1" t="s">
        <v>74</v>
      </c>
      <c r="BB606" s="1" t="s">
        <v>74</v>
      </c>
      <c r="BC606" s="1" t="s">
        <v>74</v>
      </c>
      <c r="BD606" s="1">
        <v>989.0</v>
      </c>
      <c r="BE606" s="1" t="s">
        <v>5632</v>
      </c>
      <c r="BF606" s="2" t="str">
        <f>HYPERLINK("http://dx.doi.org/10.3390/antiox13080989","http://dx.doi.org/10.3390/antiox13080989")</f>
        <v>http://dx.doi.org/10.3390/antiox13080989</v>
      </c>
      <c r="BG606" s="1" t="s">
        <v>74</v>
      </c>
      <c r="BH606" s="1" t="s">
        <v>74</v>
      </c>
      <c r="BI606" s="1" t="s">
        <v>74</v>
      </c>
      <c r="BJ606" s="1" t="s">
        <v>74</v>
      </c>
      <c r="BK606" s="1" t="s">
        <v>74</v>
      </c>
      <c r="BL606" s="1" t="s">
        <v>74</v>
      </c>
      <c r="BM606" s="1" t="s">
        <v>74</v>
      </c>
      <c r="BN606" s="1">
        <v>3.9199233E7</v>
      </c>
      <c r="BO606" s="1" t="s">
        <v>74</v>
      </c>
      <c r="BP606" s="1" t="s">
        <v>74</v>
      </c>
      <c r="BQ606" s="1" t="s">
        <v>74</v>
      </c>
      <c r="BR606" s="1" t="s">
        <v>74</v>
      </c>
      <c r="BS606" s="1" t="s">
        <v>5633</v>
      </c>
      <c r="BT606" s="1" t="str">
        <f>HYPERLINK("https%3A%2F%2Fwww.webofscience.com%2Fwos%2Fwoscc%2Ffull-record%2FWOS:001306882000001","View Full Record in Web of Science")</f>
        <v>View Full Record in Web of Science</v>
      </c>
    </row>
    <row r="607" ht="12.75" customHeight="1">
      <c r="A607" s="1" t="s">
        <v>72</v>
      </c>
      <c r="B607" s="1" t="s">
        <v>5634</v>
      </c>
      <c r="C607" s="1" t="s">
        <v>74</v>
      </c>
      <c r="D607" s="1" t="s">
        <v>74</v>
      </c>
      <c r="E607" s="1" t="s">
        <v>74</v>
      </c>
      <c r="F607" s="1" t="s">
        <v>5635</v>
      </c>
      <c r="G607" s="1" t="s">
        <v>74</v>
      </c>
      <c r="H607" s="1" t="s">
        <v>74</v>
      </c>
      <c r="I607" s="1" t="s">
        <v>5636</v>
      </c>
      <c r="J607" s="1" t="s">
        <v>5637</v>
      </c>
      <c r="K607" s="1" t="s">
        <v>74</v>
      </c>
      <c r="L607" s="1" t="s">
        <v>74</v>
      </c>
      <c r="M607" s="1" t="s">
        <v>74</v>
      </c>
      <c r="N607" s="1" t="s">
        <v>74</v>
      </c>
      <c r="O607" s="1" t="s">
        <v>74</v>
      </c>
      <c r="P607" s="1" t="s">
        <v>74</v>
      </c>
      <c r="Q607" s="1" t="s">
        <v>74</v>
      </c>
      <c r="R607" s="1" t="s">
        <v>74</v>
      </c>
      <c r="S607" s="1" t="s">
        <v>74</v>
      </c>
      <c r="T607" s="1" t="s">
        <v>74</v>
      </c>
      <c r="U607" s="1" t="s">
        <v>74</v>
      </c>
      <c r="V607" s="1" t="s">
        <v>5638</v>
      </c>
      <c r="W607" s="1" t="s">
        <v>74</v>
      </c>
      <c r="X607" s="1" t="s">
        <v>74</v>
      </c>
      <c r="Y607" s="1" t="s">
        <v>74</v>
      </c>
      <c r="Z607" s="1" t="s">
        <v>74</v>
      </c>
      <c r="AA607" s="1" t="s">
        <v>5639</v>
      </c>
      <c r="AB607" s="1" t="s">
        <v>5640</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74</v>
      </c>
      <c r="AP607" s="1" t="s">
        <v>5641</v>
      </c>
      <c r="AQ607" s="1" t="s">
        <v>74</v>
      </c>
      <c r="AR607" s="1" t="s">
        <v>74</v>
      </c>
      <c r="AS607" s="1" t="s">
        <v>74</v>
      </c>
      <c r="AT607" s="1" t="s">
        <v>116</v>
      </c>
      <c r="AU607" s="1">
        <v>2024.0</v>
      </c>
      <c r="AV607" s="1">
        <v>12.0</v>
      </c>
      <c r="AW607" s="1">
        <v>7.0</v>
      </c>
      <c r="AX607" s="1" t="s">
        <v>74</v>
      </c>
      <c r="AY607" s="1" t="s">
        <v>74</v>
      </c>
      <c r="AZ607" s="1" t="s">
        <v>74</v>
      </c>
      <c r="BA607" s="1" t="s">
        <v>74</v>
      </c>
      <c r="BB607" s="1" t="s">
        <v>74</v>
      </c>
      <c r="BC607" s="1" t="s">
        <v>74</v>
      </c>
      <c r="BD607" s="1">
        <v>1284.0</v>
      </c>
      <c r="BE607" s="1" t="s">
        <v>5642</v>
      </c>
      <c r="BF607" s="2" t="str">
        <f>HYPERLINK("http://dx.doi.org/10.3390/microorganisms12071284","http://dx.doi.org/10.3390/microorganisms12071284")</f>
        <v>http://dx.doi.org/10.3390/microorganisms12071284</v>
      </c>
      <c r="BG607" s="1" t="s">
        <v>74</v>
      </c>
      <c r="BH607" s="1" t="s">
        <v>74</v>
      </c>
      <c r="BI607" s="1" t="s">
        <v>74</v>
      </c>
      <c r="BJ607" s="1" t="s">
        <v>74</v>
      </c>
      <c r="BK607" s="1" t="s">
        <v>74</v>
      </c>
      <c r="BL607" s="1" t="s">
        <v>74</v>
      </c>
      <c r="BM607" s="1" t="s">
        <v>74</v>
      </c>
      <c r="BN607" s="1">
        <v>3.9065053E7</v>
      </c>
      <c r="BO607" s="1" t="s">
        <v>74</v>
      </c>
      <c r="BP607" s="1" t="s">
        <v>74</v>
      </c>
      <c r="BQ607" s="1" t="s">
        <v>74</v>
      </c>
      <c r="BR607" s="1" t="s">
        <v>74</v>
      </c>
      <c r="BS607" s="1" t="s">
        <v>5643</v>
      </c>
      <c r="BT607" s="1" t="str">
        <f>HYPERLINK("https%3A%2F%2Fwww.webofscience.com%2Fwos%2Fwoscc%2Ffull-record%2FWOS:001277245700001","View Full Record in Web of Science")</f>
        <v>View Full Record in Web of Science</v>
      </c>
    </row>
    <row r="608" ht="12.75" customHeight="1">
      <c r="A608" s="1" t="s">
        <v>72</v>
      </c>
      <c r="B608" s="1" t="s">
        <v>5644</v>
      </c>
      <c r="C608" s="1" t="s">
        <v>74</v>
      </c>
      <c r="D608" s="1" t="s">
        <v>74</v>
      </c>
      <c r="E608" s="1" t="s">
        <v>74</v>
      </c>
      <c r="F608" s="1" t="s">
        <v>5645</v>
      </c>
      <c r="G608" s="1" t="s">
        <v>74</v>
      </c>
      <c r="H608" s="1" t="s">
        <v>74</v>
      </c>
      <c r="I608" s="1" t="s">
        <v>5646</v>
      </c>
      <c r="J608" s="1" t="s">
        <v>2872</v>
      </c>
      <c r="K608" s="1" t="s">
        <v>74</v>
      </c>
      <c r="L608" s="1" t="s">
        <v>74</v>
      </c>
      <c r="M608" s="1" t="s">
        <v>74</v>
      </c>
      <c r="N608" s="1" t="s">
        <v>74</v>
      </c>
      <c r="O608" s="1" t="s">
        <v>74</v>
      </c>
      <c r="P608" s="1" t="s">
        <v>74</v>
      </c>
      <c r="Q608" s="1" t="s">
        <v>74</v>
      </c>
      <c r="R608" s="1" t="s">
        <v>74</v>
      </c>
      <c r="S608" s="1" t="s">
        <v>74</v>
      </c>
      <c r="T608" s="1" t="s">
        <v>74</v>
      </c>
      <c r="U608" s="1" t="s">
        <v>74</v>
      </c>
      <c r="V608" s="1" t="s">
        <v>5647</v>
      </c>
      <c r="W608" s="1" t="s">
        <v>74</v>
      </c>
      <c r="X608" s="1" t="s">
        <v>74</v>
      </c>
      <c r="Y608" s="1" t="s">
        <v>74</v>
      </c>
      <c r="Z608" s="1" t="s">
        <v>74</v>
      </c>
      <c r="AA608" s="1" t="s">
        <v>74</v>
      </c>
      <c r="AB608" s="1" t="s">
        <v>74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2876</v>
      </c>
      <c r="AP608" s="1" t="s">
        <v>2877</v>
      </c>
      <c r="AQ608" s="1" t="s">
        <v>74</v>
      </c>
      <c r="AR608" s="1" t="s">
        <v>74</v>
      </c>
      <c r="AS608" s="1" t="s">
        <v>74</v>
      </c>
      <c r="AT608" s="1" t="s">
        <v>174</v>
      </c>
      <c r="AU608" s="1">
        <v>2024.0</v>
      </c>
      <c r="AV608" s="1">
        <v>42.0</v>
      </c>
      <c r="AW608" s="1">
        <v>2.0</v>
      </c>
      <c r="AX608" s="1" t="s">
        <v>74</v>
      </c>
      <c r="AY608" s="1" t="s">
        <v>74</v>
      </c>
      <c r="AZ608" s="1" t="s">
        <v>74</v>
      </c>
      <c r="BA608" s="1" t="s">
        <v>74</v>
      </c>
      <c r="BB608" s="1">
        <v>491.0</v>
      </c>
      <c r="BC608" s="1">
        <v>496.0</v>
      </c>
      <c r="BD608" s="1" t="s">
        <v>74</v>
      </c>
      <c r="BE608" s="1" t="s">
        <v>74</v>
      </c>
      <c r="BF608" s="1" t="s">
        <v>74</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5648</v>
      </c>
      <c r="BT608" s="1" t="str">
        <f>HYPERLINK("https%3A%2F%2Fwww.webofscience.com%2Fwos%2Fwoscc%2Ffull-record%2FWOS:001208078600034","View Full Record in Web of Science")</f>
        <v>View Full Record in Web of Science</v>
      </c>
    </row>
    <row r="609" ht="12.75" customHeight="1">
      <c r="A609" s="1" t="s">
        <v>72</v>
      </c>
      <c r="B609" s="1" t="s">
        <v>5649</v>
      </c>
      <c r="C609" s="1" t="s">
        <v>74</v>
      </c>
      <c r="D609" s="1" t="s">
        <v>74</v>
      </c>
      <c r="E609" s="1" t="s">
        <v>74</v>
      </c>
      <c r="F609" s="1" t="s">
        <v>5650</v>
      </c>
      <c r="G609" s="1" t="s">
        <v>74</v>
      </c>
      <c r="H609" s="1" t="s">
        <v>74</v>
      </c>
      <c r="I609" s="1" t="s">
        <v>5651</v>
      </c>
      <c r="J609" s="1" t="s">
        <v>5652</v>
      </c>
      <c r="K609" s="1" t="s">
        <v>74</v>
      </c>
      <c r="L609" s="1" t="s">
        <v>74</v>
      </c>
      <c r="M609" s="1" t="s">
        <v>74</v>
      </c>
      <c r="N609" s="1" t="s">
        <v>74</v>
      </c>
      <c r="O609" s="1" t="s">
        <v>74</v>
      </c>
      <c r="P609" s="1" t="s">
        <v>74</v>
      </c>
      <c r="Q609" s="1" t="s">
        <v>74</v>
      </c>
      <c r="R609" s="1" t="s">
        <v>74</v>
      </c>
      <c r="S609" s="1" t="s">
        <v>74</v>
      </c>
      <c r="T609" s="1" t="s">
        <v>74</v>
      </c>
      <c r="U609" s="1" t="s">
        <v>74</v>
      </c>
      <c r="V609" s="1" t="s">
        <v>5653</v>
      </c>
      <c r="W609" s="1" t="s">
        <v>74</v>
      </c>
      <c r="X609" s="1" t="s">
        <v>74</v>
      </c>
      <c r="Y609" s="1" t="s">
        <v>74</v>
      </c>
      <c r="Z609" s="1" t="s">
        <v>74</v>
      </c>
      <c r="AA609" s="1" t="s">
        <v>5654</v>
      </c>
      <c r="AB609" s="1" t="s">
        <v>5655</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5656</v>
      </c>
      <c r="AP609" s="1" t="s">
        <v>5657</v>
      </c>
      <c r="AQ609" s="1" t="s">
        <v>74</v>
      </c>
      <c r="AR609" s="1" t="s">
        <v>74</v>
      </c>
      <c r="AS609" s="1" t="s">
        <v>74</v>
      </c>
      <c r="AT609" s="1" t="s">
        <v>501</v>
      </c>
      <c r="AU609" s="1">
        <v>2023.0</v>
      </c>
      <c r="AV609" s="1">
        <v>176.0</v>
      </c>
      <c r="AW609" s="1" t="s">
        <v>74</v>
      </c>
      <c r="AX609" s="1" t="s">
        <v>74</v>
      </c>
      <c r="AY609" s="1" t="s">
        <v>74</v>
      </c>
      <c r="AZ609" s="1" t="s">
        <v>74</v>
      </c>
      <c r="BA609" s="1" t="s">
        <v>74</v>
      </c>
      <c r="BB609" s="1" t="s">
        <v>74</v>
      </c>
      <c r="BC609" s="1" t="s">
        <v>74</v>
      </c>
      <c r="BD609" s="1">
        <v>114123.0</v>
      </c>
      <c r="BE609" s="1" t="s">
        <v>5658</v>
      </c>
      <c r="BF609" s="2" t="str">
        <f>HYPERLINK("http://dx.doi.org/10.1016/j.chaos.2023.114123","http://dx.doi.org/10.1016/j.chaos.2023.114123")</f>
        <v>http://dx.doi.org/10.1016/j.chaos.2023.114123</v>
      </c>
      <c r="BG609" s="1" t="s">
        <v>74</v>
      </c>
      <c r="BH609" s="1" t="s">
        <v>5659</v>
      </c>
      <c r="BI609" s="1" t="s">
        <v>74</v>
      </c>
      <c r="BJ609" s="1" t="s">
        <v>74</v>
      </c>
      <c r="BK609" s="1" t="s">
        <v>74</v>
      </c>
      <c r="BL609" s="1" t="s">
        <v>74</v>
      </c>
      <c r="BM609" s="1" t="s">
        <v>74</v>
      </c>
      <c r="BN609" s="1" t="s">
        <v>74</v>
      </c>
      <c r="BO609" s="1" t="s">
        <v>74</v>
      </c>
      <c r="BP609" s="1" t="s">
        <v>74</v>
      </c>
      <c r="BQ609" s="1" t="s">
        <v>74</v>
      </c>
      <c r="BR609" s="1" t="s">
        <v>74</v>
      </c>
      <c r="BS609" s="1" t="s">
        <v>5660</v>
      </c>
      <c r="BT609" s="1" t="str">
        <f>HYPERLINK("https%3A%2F%2Fwww.webofscience.com%2Fwos%2Fwoscc%2Ffull-record%2FWOS:001088549200001","View Full Record in Web of Science")</f>
        <v>View Full Record in Web of Science</v>
      </c>
    </row>
    <row r="610" ht="12.75" customHeight="1">
      <c r="A610" s="1" t="s">
        <v>72</v>
      </c>
      <c r="B610" s="1" t="s">
        <v>5661</v>
      </c>
      <c r="C610" s="1" t="s">
        <v>74</v>
      </c>
      <c r="D610" s="1" t="s">
        <v>74</v>
      </c>
      <c r="E610" s="1" t="s">
        <v>74</v>
      </c>
      <c r="F610" s="1" t="s">
        <v>5662</v>
      </c>
      <c r="G610" s="1" t="s">
        <v>74</v>
      </c>
      <c r="H610" s="1" t="s">
        <v>74</v>
      </c>
      <c r="I610" s="1" t="s">
        <v>5663</v>
      </c>
      <c r="J610" s="1" t="s">
        <v>4412</v>
      </c>
      <c r="K610" s="1" t="s">
        <v>74</v>
      </c>
      <c r="L610" s="1" t="s">
        <v>74</v>
      </c>
      <c r="M610" s="1" t="s">
        <v>74</v>
      </c>
      <c r="N610" s="1" t="s">
        <v>74</v>
      </c>
      <c r="O610" s="1" t="s">
        <v>74</v>
      </c>
      <c r="P610" s="1" t="s">
        <v>74</v>
      </c>
      <c r="Q610" s="1" t="s">
        <v>74</v>
      </c>
      <c r="R610" s="1" t="s">
        <v>74</v>
      </c>
      <c r="S610" s="1" t="s">
        <v>74</v>
      </c>
      <c r="T610" s="1" t="s">
        <v>74</v>
      </c>
      <c r="U610" s="1" t="s">
        <v>74</v>
      </c>
      <c r="V610" s="1" t="s">
        <v>5664</v>
      </c>
      <c r="W610" s="1" t="s">
        <v>74</v>
      </c>
      <c r="X610" s="1" t="s">
        <v>74</v>
      </c>
      <c r="Y610" s="1" t="s">
        <v>74</v>
      </c>
      <c r="Z610" s="1" t="s">
        <v>74</v>
      </c>
      <c r="AA610" s="1" t="s">
        <v>74</v>
      </c>
      <c r="AB610" s="1" t="s">
        <v>5665</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5666</v>
      </c>
      <c r="AP610" s="1" t="s">
        <v>4413</v>
      </c>
      <c r="AQ610" s="1" t="s">
        <v>74</v>
      </c>
      <c r="AR610" s="1" t="s">
        <v>74</v>
      </c>
      <c r="AS610" s="1" t="s">
        <v>74</v>
      </c>
      <c r="AT610" s="1" t="s">
        <v>2405</v>
      </c>
      <c r="AU610" s="1">
        <v>2023.0</v>
      </c>
      <c r="AV610" s="1">
        <v>94.0</v>
      </c>
      <c r="AW610" s="1">
        <v>2.0</v>
      </c>
      <c r="AX610" s="1" t="s">
        <v>74</v>
      </c>
      <c r="AY610" s="1" t="s">
        <v>74</v>
      </c>
      <c r="AZ610" s="1" t="s">
        <v>74</v>
      </c>
      <c r="BA610" s="1" t="s">
        <v>74</v>
      </c>
      <c r="BB610" s="1">
        <v>134.0</v>
      </c>
      <c r="BC610" s="1">
        <v>143.0</v>
      </c>
      <c r="BD610" s="1" t="s">
        <v>74</v>
      </c>
      <c r="BE610" s="1" t="s">
        <v>5667</v>
      </c>
      <c r="BF610" s="2" t="str">
        <f>HYPERLINK("http://dx.doi.org/10.32641/andespediatr.v94i2.4665","http://dx.doi.org/10.32641/andespediatr.v94i2.4665")</f>
        <v>http://dx.doi.org/10.32641/andespediatr.v94i2.4665</v>
      </c>
      <c r="BG610" s="1" t="s">
        <v>74</v>
      </c>
      <c r="BH610" s="1" t="s">
        <v>74</v>
      </c>
      <c r="BI610" s="1" t="s">
        <v>74</v>
      </c>
      <c r="BJ610" s="1" t="s">
        <v>74</v>
      </c>
      <c r="BK610" s="1" t="s">
        <v>74</v>
      </c>
      <c r="BL610" s="1" t="s">
        <v>74</v>
      </c>
      <c r="BM610" s="1" t="s">
        <v>74</v>
      </c>
      <c r="BN610" s="1">
        <v>3.7358106E7</v>
      </c>
      <c r="BO610" s="1" t="s">
        <v>74</v>
      </c>
      <c r="BP610" s="1" t="s">
        <v>74</v>
      </c>
      <c r="BQ610" s="1" t="s">
        <v>74</v>
      </c>
      <c r="BR610" s="1" t="s">
        <v>74</v>
      </c>
      <c r="BS610" s="1" t="s">
        <v>5668</v>
      </c>
      <c r="BT610" s="1" t="str">
        <f>HYPERLINK("https%3A%2F%2Fwww.webofscience.com%2Fwos%2Fwoscc%2Ffull-record%2FWOS:001001813600002","View Full Record in Web of Science")</f>
        <v>View Full Record in Web of Science</v>
      </c>
    </row>
    <row r="611" ht="12.75" customHeight="1">
      <c r="A611" s="1" t="s">
        <v>72</v>
      </c>
      <c r="B611" s="1" t="s">
        <v>5669</v>
      </c>
      <c r="C611" s="1" t="s">
        <v>74</v>
      </c>
      <c r="D611" s="1" t="s">
        <v>74</v>
      </c>
      <c r="E611" s="1" t="s">
        <v>74</v>
      </c>
      <c r="F611" s="1" t="s">
        <v>5670</v>
      </c>
      <c r="G611" s="1" t="s">
        <v>74</v>
      </c>
      <c r="H611" s="1" t="s">
        <v>74</v>
      </c>
      <c r="I611" s="1" t="s">
        <v>5671</v>
      </c>
      <c r="J611" s="1" t="s">
        <v>5672</v>
      </c>
      <c r="K611" s="1" t="s">
        <v>74</v>
      </c>
      <c r="L611" s="1" t="s">
        <v>74</v>
      </c>
      <c r="M611" s="1" t="s">
        <v>74</v>
      </c>
      <c r="N611" s="1" t="s">
        <v>74</v>
      </c>
      <c r="O611" s="1" t="s">
        <v>74</v>
      </c>
      <c r="P611" s="1" t="s">
        <v>74</v>
      </c>
      <c r="Q611" s="1" t="s">
        <v>74</v>
      </c>
      <c r="R611" s="1" t="s">
        <v>74</v>
      </c>
      <c r="S611" s="1" t="s">
        <v>74</v>
      </c>
      <c r="T611" s="1" t="s">
        <v>74</v>
      </c>
      <c r="U611" s="1" t="s">
        <v>74</v>
      </c>
      <c r="V611" s="1" t="s">
        <v>5673</v>
      </c>
      <c r="W611" s="1" t="s">
        <v>74</v>
      </c>
      <c r="X611" s="1" t="s">
        <v>74</v>
      </c>
      <c r="Y611" s="1" t="s">
        <v>74</v>
      </c>
      <c r="Z611" s="1" t="s">
        <v>74</v>
      </c>
      <c r="AA611" s="1" t="s">
        <v>5674</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5675</v>
      </c>
      <c r="AP611" s="1" t="s">
        <v>74</v>
      </c>
      <c r="AQ611" s="1" t="s">
        <v>74</v>
      </c>
      <c r="AR611" s="1" t="s">
        <v>74</v>
      </c>
      <c r="AS611" s="1" t="s">
        <v>74</v>
      </c>
      <c r="AT611" s="1" t="s">
        <v>174</v>
      </c>
      <c r="AU611" s="1">
        <v>2023.0</v>
      </c>
      <c r="AV611" s="1">
        <v>71.0</v>
      </c>
      <c r="AW611" s="1" t="s">
        <v>74</v>
      </c>
      <c r="AX611" s="1" t="s">
        <v>74</v>
      </c>
      <c r="AY611" s="1" t="s">
        <v>74</v>
      </c>
      <c r="AZ611" s="1" t="s">
        <v>74</v>
      </c>
      <c r="BA611" s="1" t="s">
        <v>74</v>
      </c>
      <c r="BB611" s="1" t="s">
        <v>74</v>
      </c>
      <c r="BC611" s="1" t="s">
        <v>74</v>
      </c>
      <c r="BD611" s="1">
        <v>103032.0</v>
      </c>
      <c r="BE611" s="1" t="s">
        <v>5676</v>
      </c>
      <c r="BF611" s="2" t="str">
        <f>HYPERLINK("http://dx.doi.org/10.1016/j.algal.2023.103032","http://dx.doi.org/10.1016/j.algal.2023.103032")</f>
        <v>http://dx.doi.org/10.1016/j.algal.2023.103032</v>
      </c>
      <c r="BG611" s="1" t="s">
        <v>74</v>
      </c>
      <c r="BH611" s="1" t="s">
        <v>5677</v>
      </c>
      <c r="BI611" s="1" t="s">
        <v>74</v>
      </c>
      <c r="BJ611" s="1" t="s">
        <v>74</v>
      </c>
      <c r="BK611" s="1" t="s">
        <v>74</v>
      </c>
      <c r="BL611" s="1" t="s">
        <v>74</v>
      </c>
      <c r="BM611" s="1" t="s">
        <v>74</v>
      </c>
      <c r="BN611" s="1" t="s">
        <v>74</v>
      </c>
      <c r="BO611" s="1" t="s">
        <v>74</v>
      </c>
      <c r="BP611" s="1" t="s">
        <v>74</v>
      </c>
      <c r="BQ611" s="1" t="s">
        <v>74</v>
      </c>
      <c r="BR611" s="1" t="s">
        <v>74</v>
      </c>
      <c r="BS611" s="1" t="s">
        <v>5678</v>
      </c>
      <c r="BT611" s="1" t="str">
        <f>HYPERLINK("https%3A%2F%2Fwww.webofscience.com%2Fwos%2Fwoscc%2Ffull-record%2FWOS:000952505700001","View Full Record in Web of Science")</f>
        <v>View Full Record in Web of Science</v>
      </c>
    </row>
    <row r="612" ht="12.75" customHeight="1">
      <c r="A612" s="1" t="s">
        <v>72</v>
      </c>
      <c r="B612" s="1" t="s">
        <v>5649</v>
      </c>
      <c r="C612" s="1" t="s">
        <v>74</v>
      </c>
      <c r="D612" s="1" t="s">
        <v>74</v>
      </c>
      <c r="E612" s="1" t="s">
        <v>74</v>
      </c>
      <c r="F612" s="1" t="s">
        <v>5650</v>
      </c>
      <c r="G612" s="1" t="s">
        <v>74</v>
      </c>
      <c r="H612" s="1" t="s">
        <v>74</v>
      </c>
      <c r="I612" s="1" t="s">
        <v>5679</v>
      </c>
      <c r="J612" s="1" t="s">
        <v>3453</v>
      </c>
      <c r="K612" s="1" t="s">
        <v>74</v>
      </c>
      <c r="L612" s="1" t="s">
        <v>74</v>
      </c>
      <c r="M612" s="1" t="s">
        <v>74</v>
      </c>
      <c r="N612" s="1" t="s">
        <v>74</v>
      </c>
      <c r="O612" s="1" t="s">
        <v>74</v>
      </c>
      <c r="P612" s="1" t="s">
        <v>74</v>
      </c>
      <c r="Q612" s="1" t="s">
        <v>74</v>
      </c>
      <c r="R612" s="1" t="s">
        <v>74</v>
      </c>
      <c r="S612" s="1" t="s">
        <v>74</v>
      </c>
      <c r="T612" s="1" t="s">
        <v>74</v>
      </c>
      <c r="U612" s="1" t="s">
        <v>74</v>
      </c>
      <c r="V612" s="1" t="s">
        <v>5680</v>
      </c>
      <c r="W612" s="1" t="s">
        <v>74</v>
      </c>
      <c r="X612" s="1" t="s">
        <v>74</v>
      </c>
      <c r="Y612" s="1" t="s">
        <v>74</v>
      </c>
      <c r="Z612" s="1" t="s">
        <v>74</v>
      </c>
      <c r="AA612" s="1" t="s">
        <v>5654</v>
      </c>
      <c r="AB612" s="1" t="s">
        <v>5681</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3456</v>
      </c>
      <c r="AP612" s="1" t="s">
        <v>3457</v>
      </c>
      <c r="AQ612" s="1" t="s">
        <v>74</v>
      </c>
      <c r="AR612" s="1" t="s">
        <v>74</v>
      </c>
      <c r="AS612" s="1" t="s">
        <v>74</v>
      </c>
      <c r="AT612" s="1" t="s">
        <v>2180</v>
      </c>
      <c r="AU612" s="1">
        <v>2023.0</v>
      </c>
      <c r="AV612" s="1">
        <v>522.0</v>
      </c>
      <c r="AW612" s="1">
        <v>1.0</v>
      </c>
      <c r="AX612" s="1" t="s">
        <v>74</v>
      </c>
      <c r="AY612" s="1" t="s">
        <v>74</v>
      </c>
      <c r="AZ612" s="1" t="s">
        <v>74</v>
      </c>
      <c r="BA612" s="1" t="s">
        <v>74</v>
      </c>
      <c r="BB612" s="1" t="s">
        <v>74</v>
      </c>
      <c r="BC612" s="1" t="s">
        <v>74</v>
      </c>
      <c r="BD612" s="1" t="s">
        <v>5682</v>
      </c>
      <c r="BE612" s="1" t="s">
        <v>5683</v>
      </c>
      <c r="BF612" s="2" t="str">
        <f>HYPERLINK("http://dx.doi.org/10.1016/j.jmaa.2022.126954","http://dx.doi.org/10.1016/j.jmaa.2022.126954")</f>
        <v>http://dx.doi.org/10.1016/j.jmaa.2022.126954</v>
      </c>
      <c r="BG612" s="1" t="s">
        <v>74</v>
      </c>
      <c r="BH612" s="1" t="s">
        <v>4376</v>
      </c>
      <c r="BI612" s="1" t="s">
        <v>74</v>
      </c>
      <c r="BJ612" s="1" t="s">
        <v>74</v>
      </c>
      <c r="BK612" s="1" t="s">
        <v>74</v>
      </c>
      <c r="BL612" s="1" t="s">
        <v>74</v>
      </c>
      <c r="BM612" s="1" t="s">
        <v>74</v>
      </c>
      <c r="BN612" s="1" t="s">
        <v>74</v>
      </c>
      <c r="BO612" s="1" t="s">
        <v>74</v>
      </c>
      <c r="BP612" s="1" t="s">
        <v>74</v>
      </c>
      <c r="BQ612" s="1" t="s">
        <v>74</v>
      </c>
      <c r="BR612" s="1" t="s">
        <v>74</v>
      </c>
      <c r="BS612" s="1" t="s">
        <v>5684</v>
      </c>
      <c r="BT612" s="1" t="str">
        <f>HYPERLINK("https%3A%2F%2Fwww.webofscience.com%2Fwos%2Fwoscc%2Ffull-record%2FWOS:001031926000001","View Full Record in Web of Science")</f>
        <v>View Full Record in Web of Science</v>
      </c>
    </row>
    <row r="613" ht="12.75" customHeight="1">
      <c r="A613" s="1" t="s">
        <v>72</v>
      </c>
      <c r="B613" s="1" t="s">
        <v>5685</v>
      </c>
      <c r="C613" s="1" t="s">
        <v>74</v>
      </c>
      <c r="D613" s="1" t="s">
        <v>74</v>
      </c>
      <c r="E613" s="1" t="s">
        <v>74</v>
      </c>
      <c r="F613" s="1" t="s">
        <v>5686</v>
      </c>
      <c r="G613" s="1" t="s">
        <v>74</v>
      </c>
      <c r="H613" s="1" t="s">
        <v>74</v>
      </c>
      <c r="I613" s="1" t="s">
        <v>5687</v>
      </c>
      <c r="J613" s="1" t="s">
        <v>5688</v>
      </c>
      <c r="K613" s="1" t="s">
        <v>74</v>
      </c>
      <c r="L613" s="1" t="s">
        <v>74</v>
      </c>
      <c r="M613" s="1" t="s">
        <v>74</v>
      </c>
      <c r="N613" s="1" t="s">
        <v>74</v>
      </c>
      <c r="O613" s="1" t="s">
        <v>74</v>
      </c>
      <c r="P613" s="1" t="s">
        <v>74</v>
      </c>
      <c r="Q613" s="1" t="s">
        <v>74</v>
      </c>
      <c r="R613" s="1" t="s">
        <v>74</v>
      </c>
      <c r="S613" s="1" t="s">
        <v>74</v>
      </c>
      <c r="T613" s="1" t="s">
        <v>74</v>
      </c>
      <c r="U613" s="1" t="s">
        <v>74</v>
      </c>
      <c r="V613" s="1" t="s">
        <v>5689</v>
      </c>
      <c r="W613" s="1" t="s">
        <v>74</v>
      </c>
      <c r="X613" s="1" t="s">
        <v>74</v>
      </c>
      <c r="Y613" s="1" t="s">
        <v>74</v>
      </c>
      <c r="Z613" s="1" t="s">
        <v>74</v>
      </c>
      <c r="AA613" s="1" t="s">
        <v>5690</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5691</v>
      </c>
      <c r="AP613" s="1" t="s">
        <v>5692</v>
      </c>
      <c r="AQ613" s="1" t="s">
        <v>74</v>
      </c>
      <c r="AR613" s="1" t="s">
        <v>74</v>
      </c>
      <c r="AS613" s="1" t="s">
        <v>74</v>
      </c>
      <c r="AT613" s="1" t="s">
        <v>501</v>
      </c>
      <c r="AU613" s="1">
        <v>2021.0</v>
      </c>
      <c r="AV613" s="1">
        <v>103.0</v>
      </c>
      <c r="AW613" s="1" t="s">
        <v>74</v>
      </c>
      <c r="AX613" s="1" t="s">
        <v>74</v>
      </c>
      <c r="AY613" s="1" t="s">
        <v>74</v>
      </c>
      <c r="AZ613" s="1" t="s">
        <v>74</v>
      </c>
      <c r="BA613" s="1" t="s">
        <v>74</v>
      </c>
      <c r="BB613" s="1">
        <v>279.0</v>
      </c>
      <c r="BC613" s="1">
        <v>314.0</v>
      </c>
      <c r="BD613" s="1" t="s">
        <v>74</v>
      </c>
      <c r="BE613" s="1" t="s">
        <v>5693</v>
      </c>
      <c r="BF613" s="2" t="str">
        <f>HYPERLINK("http://dx.doi.org/10.7203/CIRIEC-E.103.20933","http://dx.doi.org/10.7203/CIRIEC-E.103.20933")</f>
        <v>http://dx.doi.org/10.7203/CIRIEC-E.103.20933</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5694</v>
      </c>
      <c r="BT613" s="1" t="str">
        <f>HYPERLINK("https%3A%2F%2Fwww.webofscience.com%2Fwos%2Fwoscc%2Ffull-record%2FWOS:000729001600011","View Full Record in Web of Science")</f>
        <v>View Full Record in Web of Science</v>
      </c>
    </row>
    <row r="614" ht="12.75" customHeight="1">
      <c r="A614" s="1" t="s">
        <v>72</v>
      </c>
      <c r="B614" s="1" t="s">
        <v>5695</v>
      </c>
      <c r="C614" s="1" t="s">
        <v>74</v>
      </c>
      <c r="D614" s="1" t="s">
        <v>74</v>
      </c>
      <c r="E614" s="1" t="s">
        <v>74</v>
      </c>
      <c r="F614" s="1" t="s">
        <v>5696</v>
      </c>
      <c r="G614" s="1" t="s">
        <v>74</v>
      </c>
      <c r="H614" s="1" t="s">
        <v>74</v>
      </c>
      <c r="I614" s="1" t="s">
        <v>5697</v>
      </c>
      <c r="J614" s="1" t="s">
        <v>5698</v>
      </c>
      <c r="K614" s="1" t="s">
        <v>74</v>
      </c>
      <c r="L614" s="1" t="s">
        <v>74</v>
      </c>
      <c r="M614" s="1" t="s">
        <v>74</v>
      </c>
      <c r="N614" s="1" t="s">
        <v>74</v>
      </c>
      <c r="O614" s="1" t="s">
        <v>74</v>
      </c>
      <c r="P614" s="1" t="s">
        <v>74</v>
      </c>
      <c r="Q614" s="1" t="s">
        <v>74</v>
      </c>
      <c r="R614" s="1" t="s">
        <v>74</v>
      </c>
      <c r="S614" s="1" t="s">
        <v>74</v>
      </c>
      <c r="T614" s="1" t="s">
        <v>74</v>
      </c>
      <c r="U614" s="1" t="s">
        <v>74</v>
      </c>
      <c r="V614" s="1" t="s">
        <v>5699</v>
      </c>
      <c r="W614" s="1" t="s">
        <v>74</v>
      </c>
      <c r="X614" s="1" t="s">
        <v>74</v>
      </c>
      <c r="Y614" s="1" t="s">
        <v>74</v>
      </c>
      <c r="Z614" s="1" t="s">
        <v>74</v>
      </c>
      <c r="AA614" s="1" t="s">
        <v>5700</v>
      </c>
      <c r="AB614" s="1" t="s">
        <v>5701</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5702</v>
      </c>
      <c r="AP614" s="1" t="s">
        <v>5703</v>
      </c>
      <c r="AQ614" s="1" t="s">
        <v>74</v>
      </c>
      <c r="AR614" s="1" t="s">
        <v>74</v>
      </c>
      <c r="AS614" s="1" t="s">
        <v>74</v>
      </c>
      <c r="AT614" s="1" t="s">
        <v>353</v>
      </c>
      <c r="AU614" s="1">
        <v>2021.0</v>
      </c>
      <c r="AV614" s="1">
        <v>32.0</v>
      </c>
      <c r="AW614" s="1">
        <v>4.0</v>
      </c>
      <c r="AX614" s="1" t="s">
        <v>74</v>
      </c>
      <c r="AY614" s="1" t="s">
        <v>74</v>
      </c>
      <c r="AZ614" s="1" t="s">
        <v>74</v>
      </c>
      <c r="BA614" s="1" t="s">
        <v>74</v>
      </c>
      <c r="BB614" s="1">
        <v>489.0</v>
      </c>
      <c r="BC614" s="1">
        <v>506.0</v>
      </c>
      <c r="BD614" s="1" t="s">
        <v>74</v>
      </c>
      <c r="BE614" s="1" t="s">
        <v>5704</v>
      </c>
      <c r="BF614" s="2" t="str">
        <f>HYPERLINK("http://dx.doi.org/10.1007/s00163-021-00368-7","http://dx.doi.org/10.1007/s00163-021-00368-7")</f>
        <v>http://dx.doi.org/10.1007/s00163-021-00368-7</v>
      </c>
      <c r="BG614" s="1" t="s">
        <v>74</v>
      </c>
      <c r="BH614" s="1" t="s">
        <v>5705</v>
      </c>
      <c r="BI614" s="1" t="s">
        <v>74</v>
      </c>
      <c r="BJ614" s="1" t="s">
        <v>74</v>
      </c>
      <c r="BK614" s="1" t="s">
        <v>74</v>
      </c>
      <c r="BL614" s="1" t="s">
        <v>74</v>
      </c>
      <c r="BM614" s="1" t="s">
        <v>74</v>
      </c>
      <c r="BN614" s="1" t="s">
        <v>74</v>
      </c>
      <c r="BO614" s="1" t="s">
        <v>74</v>
      </c>
      <c r="BP614" s="1" t="s">
        <v>74</v>
      </c>
      <c r="BQ614" s="1" t="s">
        <v>74</v>
      </c>
      <c r="BR614" s="1" t="s">
        <v>74</v>
      </c>
      <c r="BS614" s="1" t="s">
        <v>5706</v>
      </c>
      <c r="BT614" s="1" t="str">
        <f>HYPERLINK("https%3A%2F%2Fwww.webofscience.com%2Fwos%2Fwoscc%2Ffull-record%2FWOS:000657436100001","View Full Record in Web of Science")</f>
        <v>View Full Record in Web of Science</v>
      </c>
    </row>
    <row r="615" ht="12.75" customHeight="1">
      <c r="A615" s="1" t="s">
        <v>72</v>
      </c>
      <c r="B615" s="1" t="s">
        <v>5707</v>
      </c>
      <c r="C615" s="1" t="s">
        <v>74</v>
      </c>
      <c r="D615" s="1" t="s">
        <v>74</v>
      </c>
      <c r="E615" s="1" t="s">
        <v>74</v>
      </c>
      <c r="F615" s="1" t="s">
        <v>5708</v>
      </c>
      <c r="G615" s="1" t="s">
        <v>74</v>
      </c>
      <c r="H615" s="1" t="s">
        <v>74</v>
      </c>
      <c r="I615" s="1" t="s">
        <v>5709</v>
      </c>
      <c r="J615" s="1" t="s">
        <v>5710</v>
      </c>
      <c r="K615" s="1" t="s">
        <v>74</v>
      </c>
      <c r="L615" s="1" t="s">
        <v>74</v>
      </c>
      <c r="M615" s="1" t="s">
        <v>74</v>
      </c>
      <c r="N615" s="1" t="s">
        <v>74</v>
      </c>
      <c r="O615" s="1" t="s">
        <v>74</v>
      </c>
      <c r="P615" s="1" t="s">
        <v>74</v>
      </c>
      <c r="Q615" s="1" t="s">
        <v>74</v>
      </c>
      <c r="R615" s="1" t="s">
        <v>74</v>
      </c>
      <c r="S615" s="1" t="s">
        <v>74</v>
      </c>
      <c r="T615" s="1" t="s">
        <v>74</v>
      </c>
      <c r="U615" s="1" t="s">
        <v>74</v>
      </c>
      <c r="V615" s="1" t="s">
        <v>5711</v>
      </c>
      <c r="W615" s="1" t="s">
        <v>74</v>
      </c>
      <c r="X615" s="1" t="s">
        <v>74</v>
      </c>
      <c r="Y615" s="1" t="s">
        <v>74</v>
      </c>
      <c r="Z615" s="1" t="s">
        <v>74</v>
      </c>
      <c r="AA615" s="1" t="s">
        <v>74</v>
      </c>
      <c r="AB615" s="1" t="s">
        <v>5712</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5713</v>
      </c>
      <c r="AP615" s="1" t="s">
        <v>5714</v>
      </c>
      <c r="AQ615" s="1" t="s">
        <v>74</v>
      </c>
      <c r="AR615" s="1" t="s">
        <v>74</v>
      </c>
      <c r="AS615" s="1" t="s">
        <v>74</v>
      </c>
      <c r="AT615" s="1" t="s">
        <v>160</v>
      </c>
      <c r="AU615" s="1">
        <v>2020.0</v>
      </c>
      <c r="AV615" s="1">
        <v>11.0</v>
      </c>
      <c r="AW615" s="1">
        <v>2.0</v>
      </c>
      <c r="AX615" s="1" t="s">
        <v>74</v>
      </c>
      <c r="AY615" s="1" t="s">
        <v>74</v>
      </c>
      <c r="AZ615" s="1" t="s">
        <v>74</v>
      </c>
      <c r="BA615" s="1" t="s">
        <v>74</v>
      </c>
      <c r="BB615" s="1">
        <v>212.0</v>
      </c>
      <c r="BC615" s="1">
        <v>228.0</v>
      </c>
      <c r="BD615" s="1" t="s">
        <v>74</v>
      </c>
      <c r="BE615" s="1" t="s">
        <v>5715</v>
      </c>
      <c r="BF615" s="2" t="str">
        <f>HYPERLINK("http://dx.doi.org/10.1111/lamp.12195","http://dx.doi.org/10.1111/lamp.12195")</f>
        <v>http://dx.doi.org/10.1111/lamp.12195</v>
      </c>
      <c r="BG615" s="1" t="s">
        <v>74</v>
      </c>
      <c r="BH615" s="1" t="s">
        <v>5716</v>
      </c>
      <c r="BI615" s="1" t="s">
        <v>74</v>
      </c>
      <c r="BJ615" s="1" t="s">
        <v>74</v>
      </c>
      <c r="BK615" s="1" t="s">
        <v>74</v>
      </c>
      <c r="BL615" s="1" t="s">
        <v>74</v>
      </c>
      <c r="BM615" s="1" t="s">
        <v>74</v>
      </c>
      <c r="BN615" s="1" t="s">
        <v>74</v>
      </c>
      <c r="BO615" s="1" t="s">
        <v>74</v>
      </c>
      <c r="BP615" s="1" t="s">
        <v>74</v>
      </c>
      <c r="BQ615" s="1" t="s">
        <v>74</v>
      </c>
      <c r="BR615" s="1" t="s">
        <v>74</v>
      </c>
      <c r="BS615" s="1" t="s">
        <v>5717</v>
      </c>
      <c r="BT615" s="1" t="str">
        <f>HYPERLINK("https%3A%2F%2Fwww.webofscience.com%2Fwos%2Fwoscc%2Ffull-record%2FWOS:000584631600001","View Full Record in Web of Science")</f>
        <v>View Full Record in Web of Science</v>
      </c>
    </row>
    <row r="616" ht="12.75" customHeight="1">
      <c r="A616" s="1" t="s">
        <v>72</v>
      </c>
      <c r="B616" s="1" t="s">
        <v>5718</v>
      </c>
      <c r="C616" s="1" t="s">
        <v>74</v>
      </c>
      <c r="D616" s="1" t="s">
        <v>74</v>
      </c>
      <c r="E616" s="1" t="s">
        <v>74</v>
      </c>
      <c r="F616" s="1" t="s">
        <v>5719</v>
      </c>
      <c r="G616" s="1" t="s">
        <v>74</v>
      </c>
      <c r="H616" s="1" t="s">
        <v>74</v>
      </c>
      <c r="I616" s="1" t="s">
        <v>5720</v>
      </c>
      <c r="J616" s="1" t="s">
        <v>5721</v>
      </c>
      <c r="K616" s="1" t="s">
        <v>74</v>
      </c>
      <c r="L616" s="1" t="s">
        <v>74</v>
      </c>
      <c r="M616" s="1" t="s">
        <v>74</v>
      </c>
      <c r="N616" s="1" t="s">
        <v>74</v>
      </c>
      <c r="O616" s="1" t="s">
        <v>74</v>
      </c>
      <c r="P616" s="1" t="s">
        <v>74</v>
      </c>
      <c r="Q616" s="1" t="s">
        <v>74</v>
      </c>
      <c r="R616" s="1" t="s">
        <v>74</v>
      </c>
      <c r="S616" s="1" t="s">
        <v>74</v>
      </c>
      <c r="T616" s="1" t="s">
        <v>74</v>
      </c>
      <c r="U616" s="1" t="s">
        <v>74</v>
      </c>
      <c r="V616" s="1" t="s">
        <v>5722</v>
      </c>
      <c r="W616" s="1" t="s">
        <v>74</v>
      </c>
      <c r="X616" s="1" t="s">
        <v>74</v>
      </c>
      <c r="Y616" s="1" t="s">
        <v>74</v>
      </c>
      <c r="Z616" s="1" t="s">
        <v>74</v>
      </c>
      <c r="AA616" s="1" t="s">
        <v>5723</v>
      </c>
      <c r="AB616" s="1" t="s">
        <v>5724</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5725</v>
      </c>
      <c r="AP616" s="1" t="s">
        <v>5726</v>
      </c>
      <c r="AQ616" s="1" t="s">
        <v>74</v>
      </c>
      <c r="AR616" s="1" t="s">
        <v>74</v>
      </c>
      <c r="AS616" s="1" t="s">
        <v>74</v>
      </c>
      <c r="AT616" s="1" t="s">
        <v>5727</v>
      </c>
      <c r="AU616" s="1">
        <v>2022.0</v>
      </c>
      <c r="AV616" s="1">
        <v>40.0</v>
      </c>
      <c r="AW616" s="1">
        <v>2.0</v>
      </c>
      <c r="AX616" s="1" t="s">
        <v>74</v>
      </c>
      <c r="AY616" s="1" t="s">
        <v>74</v>
      </c>
      <c r="AZ616" s="1" t="s">
        <v>74</v>
      </c>
      <c r="BA616" s="1" t="s">
        <v>74</v>
      </c>
      <c r="BB616" s="1">
        <v>273.0</v>
      </c>
      <c r="BC616" s="1">
        <v>283.0</v>
      </c>
      <c r="BD616" s="1" t="s">
        <v>74</v>
      </c>
      <c r="BE616" s="1" t="s">
        <v>5728</v>
      </c>
      <c r="BF616" s="2" t="str">
        <f>HYPERLINK("http://dx.doi.org/10.1080/07373937.2020.1786110","http://dx.doi.org/10.1080/07373937.2020.1786110")</f>
        <v>http://dx.doi.org/10.1080/07373937.2020.1786110</v>
      </c>
      <c r="BG616" s="1" t="s">
        <v>74</v>
      </c>
      <c r="BH616" s="1" t="s">
        <v>5729</v>
      </c>
      <c r="BI616" s="1" t="s">
        <v>74</v>
      </c>
      <c r="BJ616" s="1" t="s">
        <v>74</v>
      </c>
      <c r="BK616" s="1" t="s">
        <v>74</v>
      </c>
      <c r="BL616" s="1" t="s">
        <v>74</v>
      </c>
      <c r="BM616" s="1" t="s">
        <v>74</v>
      </c>
      <c r="BN616" s="1" t="s">
        <v>74</v>
      </c>
      <c r="BO616" s="1" t="s">
        <v>74</v>
      </c>
      <c r="BP616" s="1" t="s">
        <v>74</v>
      </c>
      <c r="BQ616" s="1" t="s">
        <v>74</v>
      </c>
      <c r="BR616" s="1" t="s">
        <v>74</v>
      </c>
      <c r="BS616" s="1" t="s">
        <v>5730</v>
      </c>
      <c r="BT616" s="1" t="str">
        <f>HYPERLINK("https%3A%2F%2Fwww.webofscience.com%2Fwos%2Fwoscc%2Ffull-record%2FWOS:000546307000001","View Full Record in Web of Science")</f>
        <v>View Full Record in Web of Science</v>
      </c>
    </row>
    <row r="617" ht="12.75" customHeight="1">
      <c r="A617" s="1" t="s">
        <v>72</v>
      </c>
      <c r="B617" s="1" t="s">
        <v>5731</v>
      </c>
      <c r="C617" s="1" t="s">
        <v>74</v>
      </c>
      <c r="D617" s="1" t="s">
        <v>74</v>
      </c>
      <c r="E617" s="1" t="s">
        <v>74</v>
      </c>
      <c r="F617" s="1" t="s">
        <v>5732</v>
      </c>
      <c r="G617" s="1" t="s">
        <v>74</v>
      </c>
      <c r="H617" s="1" t="s">
        <v>74</v>
      </c>
      <c r="I617" s="1" t="s">
        <v>5733</v>
      </c>
      <c r="J617" s="1" t="s">
        <v>3988</v>
      </c>
      <c r="K617" s="1" t="s">
        <v>74</v>
      </c>
      <c r="L617" s="1" t="s">
        <v>74</v>
      </c>
      <c r="M617" s="1" t="s">
        <v>74</v>
      </c>
      <c r="N617" s="1" t="s">
        <v>74</v>
      </c>
      <c r="O617" s="1" t="s">
        <v>74</v>
      </c>
      <c r="P617" s="1" t="s">
        <v>74</v>
      </c>
      <c r="Q617" s="1" t="s">
        <v>74</v>
      </c>
      <c r="R617" s="1" t="s">
        <v>74</v>
      </c>
      <c r="S617" s="1" t="s">
        <v>74</v>
      </c>
      <c r="T617" s="1" t="s">
        <v>74</v>
      </c>
      <c r="U617" s="1" t="s">
        <v>74</v>
      </c>
      <c r="V617" s="1" t="s">
        <v>5734</v>
      </c>
      <c r="W617" s="1" t="s">
        <v>74</v>
      </c>
      <c r="X617" s="1" t="s">
        <v>74</v>
      </c>
      <c r="Y617" s="1" t="s">
        <v>74</v>
      </c>
      <c r="Z617" s="1" t="s">
        <v>74</v>
      </c>
      <c r="AA617" s="1" t="s">
        <v>5019</v>
      </c>
      <c r="AB617" s="1" t="s">
        <v>5735</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3990</v>
      </c>
      <c r="AP617" s="1" t="s">
        <v>74</v>
      </c>
      <c r="AQ617" s="1" t="s">
        <v>74</v>
      </c>
      <c r="AR617" s="1" t="s">
        <v>74</v>
      </c>
      <c r="AS617" s="1" t="s">
        <v>74</v>
      </c>
      <c r="AT617" s="1" t="s">
        <v>5736</v>
      </c>
      <c r="AU617" s="1">
        <v>2020.0</v>
      </c>
      <c r="AV617" s="1">
        <v>8.0</v>
      </c>
      <c r="AW617" s="1" t="s">
        <v>74</v>
      </c>
      <c r="AX617" s="1" t="s">
        <v>74</v>
      </c>
      <c r="AY617" s="1" t="s">
        <v>74</v>
      </c>
      <c r="AZ617" s="1" t="s">
        <v>74</v>
      </c>
      <c r="BA617" s="1" t="s">
        <v>74</v>
      </c>
      <c r="BB617" s="1" t="s">
        <v>74</v>
      </c>
      <c r="BC617" s="1" t="s">
        <v>74</v>
      </c>
      <c r="BD617" s="1">
        <v>699.0</v>
      </c>
      <c r="BE617" s="1" t="s">
        <v>5737</v>
      </c>
      <c r="BF617" s="2" t="str">
        <f>HYPERLINK("http://dx.doi.org/10.3389/fbioe.2020.00699","http://dx.doi.org/10.3389/fbioe.2020.00699")</f>
        <v>http://dx.doi.org/10.3389/fbioe.2020.00699</v>
      </c>
      <c r="BG617" s="1" t="s">
        <v>74</v>
      </c>
      <c r="BH617" s="1" t="s">
        <v>74</v>
      </c>
      <c r="BI617" s="1" t="s">
        <v>74</v>
      </c>
      <c r="BJ617" s="1" t="s">
        <v>74</v>
      </c>
      <c r="BK617" s="1" t="s">
        <v>74</v>
      </c>
      <c r="BL617" s="1" t="s">
        <v>74</v>
      </c>
      <c r="BM617" s="1" t="s">
        <v>74</v>
      </c>
      <c r="BN617" s="1">
        <v>3.2695768E7</v>
      </c>
      <c r="BO617" s="1" t="s">
        <v>74</v>
      </c>
      <c r="BP617" s="1" t="s">
        <v>74</v>
      </c>
      <c r="BQ617" s="1" t="s">
        <v>74</v>
      </c>
      <c r="BR617" s="1" t="s">
        <v>74</v>
      </c>
      <c r="BS617" s="1" t="s">
        <v>5738</v>
      </c>
      <c r="BT617" s="1" t="str">
        <f>HYPERLINK("https%3A%2F%2Fwww.webofscience.com%2Fwos%2Fwoscc%2Ffull-record%2FWOS:001050652400001","View Full Record in Web of Science")</f>
        <v>View Full Record in Web of Science</v>
      </c>
    </row>
    <row r="618" ht="12.75" customHeight="1">
      <c r="A618" s="1" t="s">
        <v>72</v>
      </c>
      <c r="B618" s="1" t="s">
        <v>5739</v>
      </c>
      <c r="C618" s="1" t="s">
        <v>74</v>
      </c>
      <c r="D618" s="1" t="s">
        <v>74</v>
      </c>
      <c r="E618" s="1" t="s">
        <v>74</v>
      </c>
      <c r="F618" s="1" t="s">
        <v>5740</v>
      </c>
      <c r="G618" s="1" t="s">
        <v>74</v>
      </c>
      <c r="H618" s="1" t="s">
        <v>74</v>
      </c>
      <c r="I618" s="1" t="s">
        <v>5741</v>
      </c>
      <c r="J618" s="1" t="s">
        <v>5742</v>
      </c>
      <c r="K618" s="1" t="s">
        <v>74</v>
      </c>
      <c r="L618" s="1" t="s">
        <v>74</v>
      </c>
      <c r="M618" s="1" t="s">
        <v>74</v>
      </c>
      <c r="N618" s="1" t="s">
        <v>74</v>
      </c>
      <c r="O618" s="1" t="s">
        <v>74</v>
      </c>
      <c r="P618" s="1" t="s">
        <v>74</v>
      </c>
      <c r="Q618" s="1" t="s">
        <v>74</v>
      </c>
      <c r="R618" s="1" t="s">
        <v>74</v>
      </c>
      <c r="S618" s="1" t="s">
        <v>74</v>
      </c>
      <c r="T618" s="1" t="s">
        <v>74</v>
      </c>
      <c r="U618" s="1" t="s">
        <v>74</v>
      </c>
      <c r="V618" s="1" t="s">
        <v>5743</v>
      </c>
      <c r="W618" s="1" t="s">
        <v>74</v>
      </c>
      <c r="X618" s="1" t="s">
        <v>74</v>
      </c>
      <c r="Y618" s="1" t="s">
        <v>74</v>
      </c>
      <c r="Z618" s="1" t="s">
        <v>74</v>
      </c>
      <c r="AA618" s="1" t="s">
        <v>74</v>
      </c>
      <c r="AB618" s="1" t="s">
        <v>5744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74</v>
      </c>
      <c r="AP618" s="1" t="s">
        <v>5745</v>
      </c>
      <c r="AQ618" s="1" t="s">
        <v>74</v>
      </c>
      <c r="AR618" s="1" t="s">
        <v>74</v>
      </c>
      <c r="AS618" s="1" t="s">
        <v>74</v>
      </c>
      <c r="AT618" s="1" t="s">
        <v>74</v>
      </c>
      <c r="AU618" s="1">
        <v>2020.0</v>
      </c>
      <c r="AV618" s="1" t="s">
        <v>74</v>
      </c>
      <c r="AW618" s="1">
        <v>31.0</v>
      </c>
      <c r="AX618" s="1" t="s">
        <v>74</v>
      </c>
      <c r="AY618" s="1" t="s">
        <v>74</v>
      </c>
      <c r="AZ618" s="1" t="s">
        <v>74</v>
      </c>
      <c r="BA618" s="1" t="s">
        <v>74</v>
      </c>
      <c r="BB618" s="1">
        <v>123.0</v>
      </c>
      <c r="BC618" s="1">
        <v>153.0</v>
      </c>
      <c r="BD618" s="1" t="s">
        <v>74</v>
      </c>
      <c r="BE618" s="1" t="s">
        <v>5746</v>
      </c>
      <c r="BF618" s="2" t="str">
        <f>HYPERLINK("http://dx.doi.org/10.3917/jie.031.0123","http://dx.doi.org/10.3917/jie.031.0123")</f>
        <v>http://dx.doi.org/10.3917/jie.031.0123</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5747</v>
      </c>
      <c r="BT618" s="1" t="str">
        <f>HYPERLINK("https%3A%2F%2Fwww.webofscience.com%2Fwos%2Fwoscc%2Ffull-record%2FWOS:000509345800006","View Full Record in Web of Science")</f>
        <v>View Full Record in Web of Science</v>
      </c>
    </row>
    <row r="619" ht="12.75" customHeight="1">
      <c r="A619" s="1" t="s">
        <v>241</v>
      </c>
      <c r="B619" s="1" t="s">
        <v>5748</v>
      </c>
      <c r="C619" s="1" t="s">
        <v>74</v>
      </c>
      <c r="D619" s="1" t="s">
        <v>74</v>
      </c>
      <c r="E619" s="1" t="s">
        <v>427</v>
      </c>
      <c r="F619" s="1" t="s">
        <v>5749</v>
      </c>
      <c r="G619" s="1" t="s">
        <v>74</v>
      </c>
      <c r="H619" s="1" t="s">
        <v>74</v>
      </c>
      <c r="I619" s="1" t="s">
        <v>5750</v>
      </c>
      <c r="J619" s="1" t="s">
        <v>5751</v>
      </c>
      <c r="K619" s="1" t="s">
        <v>5752</v>
      </c>
      <c r="L619" s="1" t="s">
        <v>74</v>
      </c>
      <c r="M619" s="1" t="s">
        <v>74</v>
      </c>
      <c r="N619" s="1" t="s">
        <v>74</v>
      </c>
      <c r="O619" s="1" t="s">
        <v>5753</v>
      </c>
      <c r="P619" s="1" t="s">
        <v>5754</v>
      </c>
      <c r="Q619" s="1" t="s">
        <v>1506</v>
      </c>
      <c r="R619" s="1" t="s">
        <v>5755</v>
      </c>
      <c r="S619" s="1" t="s">
        <v>74</v>
      </c>
      <c r="T619" s="1" t="s">
        <v>74</v>
      </c>
      <c r="U619" s="1" t="s">
        <v>74</v>
      </c>
      <c r="V619" s="1" t="s">
        <v>5756</v>
      </c>
      <c r="W619" s="1" t="s">
        <v>74</v>
      </c>
      <c r="X619" s="1" t="s">
        <v>74</v>
      </c>
      <c r="Y619" s="1" t="s">
        <v>74</v>
      </c>
      <c r="Z619" s="1" t="s">
        <v>74</v>
      </c>
      <c r="AA619" s="1" t="s">
        <v>5757</v>
      </c>
      <c r="AB619" s="1" t="s">
        <v>5758</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5759</v>
      </c>
      <c r="AP619" s="1" t="s">
        <v>74</v>
      </c>
      <c r="AQ619" s="1" t="s">
        <v>5760</v>
      </c>
      <c r="AR619" s="1" t="s">
        <v>74</v>
      </c>
      <c r="AS619" s="1" t="s">
        <v>74</v>
      </c>
      <c r="AT619" s="1" t="s">
        <v>74</v>
      </c>
      <c r="AU619" s="1">
        <v>2020.0</v>
      </c>
      <c r="AV619" s="1" t="s">
        <v>74</v>
      </c>
      <c r="AW619" s="1" t="s">
        <v>74</v>
      </c>
      <c r="AX619" s="1" t="s">
        <v>74</v>
      </c>
      <c r="AY619" s="1" t="s">
        <v>74</v>
      </c>
      <c r="AZ619" s="1" t="s">
        <v>74</v>
      </c>
      <c r="BA619" s="1" t="s">
        <v>74</v>
      </c>
      <c r="BB619" s="1">
        <v>447.0</v>
      </c>
      <c r="BC619" s="1">
        <v>454.0</v>
      </c>
      <c r="BD619" s="1" t="s">
        <v>74</v>
      </c>
      <c r="BE619" s="1" t="s">
        <v>5761</v>
      </c>
      <c r="BF619" s="2" t="str">
        <f>HYPERLINK("http://dx.doi.org/10.1109/pedg48541.2020.9244315","http://dx.doi.org/10.1109/pedg48541.2020.9244315")</f>
        <v>http://dx.doi.org/10.1109/pedg48541.2020.9244315</v>
      </c>
      <c r="BG619" s="1" t="s">
        <v>74</v>
      </c>
      <c r="BH619" s="1" t="s">
        <v>74</v>
      </c>
      <c r="BI619" s="1" t="s">
        <v>74</v>
      </c>
      <c r="BJ619" s="1" t="s">
        <v>74</v>
      </c>
      <c r="BK619" s="1" t="s">
        <v>74</v>
      </c>
      <c r="BL619" s="1" t="s">
        <v>74</v>
      </c>
      <c r="BM619" s="1" t="s">
        <v>74</v>
      </c>
      <c r="BN619" s="1" t="s">
        <v>74</v>
      </c>
      <c r="BO619" s="1" t="s">
        <v>74</v>
      </c>
      <c r="BP619" s="1" t="s">
        <v>74</v>
      </c>
      <c r="BQ619" s="1" t="s">
        <v>74</v>
      </c>
      <c r="BR619" s="1" t="s">
        <v>74</v>
      </c>
      <c r="BS619" s="1" t="s">
        <v>5762</v>
      </c>
      <c r="BT619" s="1" t="str">
        <f>HYPERLINK("https%3A%2F%2Fwww.webofscience.com%2Fwos%2Fwoscc%2Ffull-record%2FWOS:000851397200076","View Full Record in Web of Science")</f>
        <v>View Full Record in Web of Science</v>
      </c>
    </row>
    <row r="620" ht="12.75" customHeight="1">
      <c r="A620" s="1" t="s">
        <v>72</v>
      </c>
      <c r="B620" s="1" t="s">
        <v>5763</v>
      </c>
      <c r="C620" s="1" t="s">
        <v>74</v>
      </c>
      <c r="D620" s="1" t="s">
        <v>74</v>
      </c>
      <c r="E620" s="1" t="s">
        <v>74</v>
      </c>
      <c r="F620" s="1" t="s">
        <v>5764</v>
      </c>
      <c r="G620" s="1" t="s">
        <v>74</v>
      </c>
      <c r="H620" s="1" t="s">
        <v>74</v>
      </c>
      <c r="I620" s="1" t="s">
        <v>5765</v>
      </c>
      <c r="J620" s="1" t="s">
        <v>5766</v>
      </c>
      <c r="K620" s="1" t="s">
        <v>74</v>
      </c>
      <c r="L620" s="1" t="s">
        <v>74</v>
      </c>
      <c r="M620" s="1" t="s">
        <v>74</v>
      </c>
      <c r="N620" s="1" t="s">
        <v>74</v>
      </c>
      <c r="O620" s="1" t="s">
        <v>74</v>
      </c>
      <c r="P620" s="1" t="s">
        <v>74</v>
      </c>
      <c r="Q620" s="1" t="s">
        <v>74</v>
      </c>
      <c r="R620" s="1" t="s">
        <v>74</v>
      </c>
      <c r="S620" s="1" t="s">
        <v>74</v>
      </c>
      <c r="T620" s="1" t="s">
        <v>74</v>
      </c>
      <c r="U620" s="1" t="s">
        <v>74</v>
      </c>
      <c r="V620" s="1" t="s">
        <v>5767</v>
      </c>
      <c r="W620" s="1" t="s">
        <v>74</v>
      </c>
      <c r="X620" s="1" t="s">
        <v>74</v>
      </c>
      <c r="Y620" s="1" t="s">
        <v>74</v>
      </c>
      <c r="Z620" s="1" t="s">
        <v>74</v>
      </c>
      <c r="AA620" s="1" t="s">
        <v>74</v>
      </c>
      <c r="AB620" s="1" t="s">
        <v>5768</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5769</v>
      </c>
      <c r="AP620" s="1" t="s">
        <v>5770</v>
      </c>
      <c r="AQ620" s="1" t="s">
        <v>74</v>
      </c>
      <c r="AR620" s="1" t="s">
        <v>74</v>
      </c>
      <c r="AS620" s="1" t="s">
        <v>74</v>
      </c>
      <c r="AT620" s="1" t="s">
        <v>160</v>
      </c>
      <c r="AU620" s="1">
        <v>2019.0</v>
      </c>
      <c r="AV620" s="1">
        <v>151.0</v>
      </c>
      <c r="AW620" s="1" t="s">
        <v>74</v>
      </c>
      <c r="AX620" s="1" t="s">
        <v>74</v>
      </c>
      <c r="AY620" s="1" t="s">
        <v>74</v>
      </c>
      <c r="AZ620" s="1" t="s">
        <v>74</v>
      </c>
      <c r="BA620" s="1" t="s">
        <v>74</v>
      </c>
      <c r="BB620" s="1" t="s">
        <v>74</v>
      </c>
      <c r="BC620" s="1" t="s">
        <v>74</v>
      </c>
      <c r="BD620" s="1">
        <v>104208.0</v>
      </c>
      <c r="BE620" s="1" t="s">
        <v>5771</v>
      </c>
      <c r="BF620" s="2" t="str">
        <f>HYPERLINK("http://dx.doi.org/10.1016/j.microc.2019.104208","http://dx.doi.org/10.1016/j.microc.2019.104208")</f>
        <v>http://dx.doi.org/10.1016/j.microc.2019.104208</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5772</v>
      </c>
      <c r="BT620" s="1" t="str">
        <f>HYPERLINK("https%3A%2F%2Fwww.webofscience.com%2Fwos%2Fwoscc%2Ffull-record%2FWOS:000497250700002","View Full Record in Web of Science")</f>
        <v>View Full Record in Web of Science</v>
      </c>
    </row>
    <row r="621" ht="12.75" customHeight="1">
      <c r="A621" s="1" t="s">
        <v>72</v>
      </c>
      <c r="B621" s="1" t="s">
        <v>5773</v>
      </c>
      <c r="C621" s="1" t="s">
        <v>74</v>
      </c>
      <c r="D621" s="1" t="s">
        <v>74</v>
      </c>
      <c r="E621" s="1" t="s">
        <v>74</v>
      </c>
      <c r="F621" s="1" t="s">
        <v>5774</v>
      </c>
      <c r="G621" s="1" t="s">
        <v>74</v>
      </c>
      <c r="H621" s="1" t="s">
        <v>74</v>
      </c>
      <c r="I621" s="1" t="s">
        <v>5775</v>
      </c>
      <c r="J621" s="1" t="s">
        <v>5776</v>
      </c>
      <c r="K621" s="1" t="s">
        <v>74</v>
      </c>
      <c r="L621" s="1" t="s">
        <v>74</v>
      </c>
      <c r="M621" s="1" t="s">
        <v>74</v>
      </c>
      <c r="N621" s="1" t="s">
        <v>74</v>
      </c>
      <c r="O621" s="1" t="s">
        <v>74</v>
      </c>
      <c r="P621" s="1" t="s">
        <v>74</v>
      </c>
      <c r="Q621" s="1" t="s">
        <v>74</v>
      </c>
      <c r="R621" s="1" t="s">
        <v>74</v>
      </c>
      <c r="S621" s="1" t="s">
        <v>74</v>
      </c>
      <c r="T621" s="1" t="s">
        <v>74</v>
      </c>
      <c r="U621" s="1" t="s">
        <v>74</v>
      </c>
      <c r="V621" s="1" t="s">
        <v>5777</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5778</v>
      </c>
      <c r="AP621" s="1" t="s">
        <v>5779</v>
      </c>
      <c r="AQ621" s="1" t="s">
        <v>74</v>
      </c>
      <c r="AR621" s="1" t="s">
        <v>74</v>
      </c>
      <c r="AS621" s="1" t="s">
        <v>74</v>
      </c>
      <c r="AT621" s="1" t="s">
        <v>160</v>
      </c>
      <c r="AU621" s="1">
        <v>2019.0</v>
      </c>
      <c r="AV621" s="1">
        <v>57.0</v>
      </c>
      <c r="AW621" s="1">
        <v>6.0</v>
      </c>
      <c r="AX621" s="1" t="s">
        <v>74</v>
      </c>
      <c r="AY621" s="1" t="s">
        <v>74</v>
      </c>
      <c r="AZ621" s="1" t="s">
        <v>74</v>
      </c>
      <c r="BA621" s="1" t="s">
        <v>74</v>
      </c>
      <c r="BB621" s="1">
        <v>1997.0</v>
      </c>
      <c r="BC621" s="1">
        <v>2012.0</v>
      </c>
      <c r="BD621" s="1" t="s">
        <v>74</v>
      </c>
      <c r="BE621" s="1" t="s">
        <v>5780</v>
      </c>
      <c r="BF621" s="2" t="str">
        <f>HYPERLINK("http://dx.doi.org/10.1007/s00181-018-1537-1","http://dx.doi.org/10.1007/s00181-018-1537-1")</f>
        <v>http://dx.doi.org/10.1007/s00181-018-1537-1</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5781</v>
      </c>
      <c r="BT621" s="1" t="str">
        <f>HYPERLINK("https%3A%2F%2Fwww.webofscience.com%2Fwos%2Fwoscc%2Ffull-record%2FWOS:000494824300009","View Full Record in Web of Science")</f>
        <v>View Full Record in Web of Science</v>
      </c>
    </row>
    <row r="622" ht="12.75" customHeight="1">
      <c r="A622" s="1" t="s">
        <v>72</v>
      </c>
      <c r="B622" s="1" t="s">
        <v>5782</v>
      </c>
      <c r="C622" s="1" t="s">
        <v>74</v>
      </c>
      <c r="D622" s="1" t="s">
        <v>74</v>
      </c>
      <c r="E622" s="1" t="s">
        <v>74</v>
      </c>
      <c r="F622" s="1" t="s">
        <v>5783</v>
      </c>
      <c r="G622" s="1" t="s">
        <v>74</v>
      </c>
      <c r="H622" s="1" t="s">
        <v>74</v>
      </c>
      <c r="I622" s="1" t="s">
        <v>5784</v>
      </c>
      <c r="J622" s="1" t="s">
        <v>280</v>
      </c>
      <c r="K622" s="1" t="s">
        <v>74</v>
      </c>
      <c r="L622" s="1" t="s">
        <v>74</v>
      </c>
      <c r="M622" s="1" t="s">
        <v>74</v>
      </c>
      <c r="N622" s="1" t="s">
        <v>74</v>
      </c>
      <c r="O622" s="1" t="s">
        <v>74</v>
      </c>
      <c r="P622" s="1" t="s">
        <v>74</v>
      </c>
      <c r="Q622" s="1" t="s">
        <v>74</v>
      </c>
      <c r="R622" s="1" t="s">
        <v>74</v>
      </c>
      <c r="S622" s="1" t="s">
        <v>74</v>
      </c>
      <c r="T622" s="1" t="s">
        <v>74</v>
      </c>
      <c r="U622" s="1" t="s">
        <v>74</v>
      </c>
      <c r="V622" s="1" t="s">
        <v>5785</v>
      </c>
      <c r="W622" s="1" t="s">
        <v>74</v>
      </c>
      <c r="X622" s="1" t="s">
        <v>74</v>
      </c>
      <c r="Y622" s="1" t="s">
        <v>74</v>
      </c>
      <c r="Z622" s="1" t="s">
        <v>74</v>
      </c>
      <c r="AA622" s="1" t="s">
        <v>4461</v>
      </c>
      <c r="AB622" s="1" t="s">
        <v>4462</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283</v>
      </c>
      <c r="AP622" s="1" t="s">
        <v>74</v>
      </c>
      <c r="AQ622" s="1" t="s">
        <v>74</v>
      </c>
      <c r="AR622" s="1" t="s">
        <v>74</v>
      </c>
      <c r="AS622" s="1" t="s">
        <v>74</v>
      </c>
      <c r="AT622" s="1" t="s">
        <v>160</v>
      </c>
      <c r="AU622" s="1">
        <v>2019.0</v>
      </c>
      <c r="AV622" s="1">
        <v>64.0</v>
      </c>
      <c r="AW622" s="1">
        <v>4.0</v>
      </c>
      <c r="AX622" s="1" t="s">
        <v>74</v>
      </c>
      <c r="AY622" s="1" t="s">
        <v>74</v>
      </c>
      <c r="AZ622" s="1" t="s">
        <v>74</v>
      </c>
      <c r="BA622" s="1" t="s">
        <v>74</v>
      </c>
      <c r="BB622" s="1">
        <v>4597.0</v>
      </c>
      <c r="BC622" s="1">
        <v>4606.0</v>
      </c>
      <c r="BD622" s="1" t="s">
        <v>74</v>
      </c>
      <c r="BE622" s="1" t="s">
        <v>74</v>
      </c>
      <c r="BF622" s="1" t="s">
        <v>74</v>
      </c>
      <c r="BG622" s="1" t="s">
        <v>74</v>
      </c>
      <c r="BH622" s="1" t="s">
        <v>74</v>
      </c>
      <c r="BI622" s="1" t="s">
        <v>74</v>
      </c>
      <c r="BJ622" s="1" t="s">
        <v>74</v>
      </c>
      <c r="BK622" s="1" t="s">
        <v>74</v>
      </c>
      <c r="BL622" s="1" t="s">
        <v>74</v>
      </c>
      <c r="BM622" s="1" t="s">
        <v>74</v>
      </c>
      <c r="BN622" s="1" t="s">
        <v>74</v>
      </c>
      <c r="BO622" s="1" t="s">
        <v>74</v>
      </c>
      <c r="BP622" s="1" t="s">
        <v>74</v>
      </c>
      <c r="BQ622" s="1" t="s">
        <v>74</v>
      </c>
      <c r="BR622" s="1" t="s">
        <v>74</v>
      </c>
      <c r="BS622" s="1" t="s">
        <v>5786</v>
      </c>
      <c r="BT622" s="1" t="str">
        <f>HYPERLINK("https%3A%2F%2Fwww.webofscience.com%2Fwos%2Fwoscc%2Ffull-record%2FWOS:000509863600004","View Full Record in Web of Science")</f>
        <v>View Full Record in Web of Science</v>
      </c>
    </row>
    <row r="623" ht="12.75" customHeight="1">
      <c r="A623" s="1" t="s">
        <v>72</v>
      </c>
      <c r="B623" s="1" t="s">
        <v>5787</v>
      </c>
      <c r="C623" s="1" t="s">
        <v>74</v>
      </c>
      <c r="D623" s="1" t="s">
        <v>74</v>
      </c>
      <c r="E623" s="1" t="s">
        <v>74</v>
      </c>
      <c r="F623" s="1" t="s">
        <v>5788</v>
      </c>
      <c r="G623" s="1" t="s">
        <v>74</v>
      </c>
      <c r="H623" s="1" t="s">
        <v>74</v>
      </c>
      <c r="I623" s="1" t="s">
        <v>5789</v>
      </c>
      <c r="J623" s="1" t="s">
        <v>5790</v>
      </c>
      <c r="K623" s="1" t="s">
        <v>74</v>
      </c>
      <c r="L623" s="1" t="s">
        <v>74</v>
      </c>
      <c r="M623" s="1" t="s">
        <v>74</v>
      </c>
      <c r="N623" s="1" t="s">
        <v>74</v>
      </c>
      <c r="O623" s="1" t="s">
        <v>74</v>
      </c>
      <c r="P623" s="1" t="s">
        <v>74</v>
      </c>
      <c r="Q623" s="1" t="s">
        <v>74</v>
      </c>
      <c r="R623" s="1" t="s">
        <v>74</v>
      </c>
      <c r="S623" s="1" t="s">
        <v>74</v>
      </c>
      <c r="T623" s="1" t="s">
        <v>74</v>
      </c>
      <c r="U623" s="1" t="s">
        <v>74</v>
      </c>
      <c r="V623" s="1" t="s">
        <v>5791</v>
      </c>
      <c r="W623" s="1" t="s">
        <v>74</v>
      </c>
      <c r="X623" s="1" t="s">
        <v>74</v>
      </c>
      <c r="Y623" s="1" t="s">
        <v>74</v>
      </c>
      <c r="Z623" s="1" t="s">
        <v>74</v>
      </c>
      <c r="AA623" s="1" t="s">
        <v>5792</v>
      </c>
      <c r="AB623" s="1" t="s">
        <v>5793</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74</v>
      </c>
      <c r="AP623" s="1" t="s">
        <v>5794</v>
      </c>
      <c r="AQ623" s="1" t="s">
        <v>74</v>
      </c>
      <c r="AR623" s="1" t="s">
        <v>74</v>
      </c>
      <c r="AS623" s="1" t="s">
        <v>74</v>
      </c>
      <c r="AT623" s="1" t="s">
        <v>116</v>
      </c>
      <c r="AU623" s="1">
        <v>2019.0</v>
      </c>
      <c r="AV623" s="1">
        <v>11.0</v>
      </c>
      <c r="AW623" s="1">
        <v>7.0</v>
      </c>
      <c r="AX623" s="1" t="s">
        <v>74</v>
      </c>
      <c r="AY623" s="1" t="s">
        <v>74</v>
      </c>
      <c r="AZ623" s="1" t="s">
        <v>74</v>
      </c>
      <c r="BA623" s="1" t="s">
        <v>74</v>
      </c>
      <c r="BB623" s="1" t="s">
        <v>74</v>
      </c>
      <c r="BC623" s="1" t="s">
        <v>74</v>
      </c>
      <c r="BD623" s="1">
        <v>400.0</v>
      </c>
      <c r="BE623" s="1" t="s">
        <v>5795</v>
      </c>
      <c r="BF623" s="2" t="str">
        <f>HYPERLINK("http://dx.doi.org/10.3390/toxins11070400","http://dx.doi.org/10.3390/toxins11070400")</f>
        <v>http://dx.doi.org/10.3390/toxins11070400</v>
      </c>
      <c r="BG623" s="1" t="s">
        <v>74</v>
      </c>
      <c r="BH623" s="1" t="s">
        <v>74</v>
      </c>
      <c r="BI623" s="1" t="s">
        <v>74</v>
      </c>
      <c r="BJ623" s="1" t="s">
        <v>74</v>
      </c>
      <c r="BK623" s="1" t="s">
        <v>74</v>
      </c>
      <c r="BL623" s="1" t="s">
        <v>74</v>
      </c>
      <c r="BM623" s="1" t="s">
        <v>74</v>
      </c>
      <c r="BN623" s="1">
        <v>3.1295862E7</v>
      </c>
      <c r="BO623" s="1" t="s">
        <v>74</v>
      </c>
      <c r="BP623" s="1" t="s">
        <v>74</v>
      </c>
      <c r="BQ623" s="1" t="s">
        <v>74</v>
      </c>
      <c r="BR623" s="1" t="s">
        <v>74</v>
      </c>
      <c r="BS623" s="1" t="s">
        <v>5796</v>
      </c>
      <c r="BT623" s="1" t="str">
        <f>HYPERLINK("https%3A%2F%2Fwww.webofscience.com%2Fwos%2Fwoscc%2Ffull-record%2FWOS:000482110000038","View Full Record in Web of Science")</f>
        <v>View Full Record in Web of Science</v>
      </c>
    </row>
    <row r="624" ht="12.75" customHeight="1">
      <c r="A624" s="1" t="s">
        <v>72</v>
      </c>
      <c r="B624" s="1" t="s">
        <v>5797</v>
      </c>
      <c r="C624" s="1" t="s">
        <v>74</v>
      </c>
      <c r="D624" s="1" t="s">
        <v>74</v>
      </c>
      <c r="E624" s="1" t="s">
        <v>74</v>
      </c>
      <c r="F624" s="1" t="s">
        <v>5798</v>
      </c>
      <c r="G624" s="1" t="s">
        <v>74</v>
      </c>
      <c r="H624" s="1" t="s">
        <v>74</v>
      </c>
      <c r="I624" s="1" t="s">
        <v>5799</v>
      </c>
      <c r="J624" s="1" t="s">
        <v>5800</v>
      </c>
      <c r="K624" s="1" t="s">
        <v>74</v>
      </c>
      <c r="L624" s="1" t="s">
        <v>74</v>
      </c>
      <c r="M624" s="1" t="s">
        <v>74</v>
      </c>
      <c r="N624" s="1" t="s">
        <v>74</v>
      </c>
      <c r="O624" s="1" t="s">
        <v>74</v>
      </c>
      <c r="P624" s="1" t="s">
        <v>74</v>
      </c>
      <c r="Q624" s="1" t="s">
        <v>74</v>
      </c>
      <c r="R624" s="1" t="s">
        <v>74</v>
      </c>
      <c r="S624" s="1" t="s">
        <v>74</v>
      </c>
      <c r="T624" s="1" t="s">
        <v>74</v>
      </c>
      <c r="U624" s="1" t="s">
        <v>74</v>
      </c>
      <c r="V624" s="1" t="s">
        <v>5801</v>
      </c>
      <c r="W624" s="1" t="s">
        <v>74</v>
      </c>
      <c r="X624" s="1" t="s">
        <v>74</v>
      </c>
      <c r="Y624" s="1" t="s">
        <v>74</v>
      </c>
      <c r="Z624" s="1" t="s">
        <v>74</v>
      </c>
      <c r="AA624" s="1" t="s">
        <v>5802</v>
      </c>
      <c r="AB624" s="1" t="s">
        <v>5803</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5804</v>
      </c>
      <c r="AP624" s="1" t="s">
        <v>5805</v>
      </c>
      <c r="AQ624" s="1" t="s">
        <v>74</v>
      </c>
      <c r="AR624" s="1" t="s">
        <v>74</v>
      </c>
      <c r="AS624" s="1" t="s">
        <v>74</v>
      </c>
      <c r="AT624" s="1" t="s">
        <v>74</v>
      </c>
      <c r="AU624" s="1">
        <v>2019.0</v>
      </c>
      <c r="AV624" s="1">
        <v>23.0</v>
      </c>
      <c r="AW624" s="1">
        <v>7.0</v>
      </c>
      <c r="AX624" s="1" t="s">
        <v>74</v>
      </c>
      <c r="AY624" s="1" t="s">
        <v>74</v>
      </c>
      <c r="AZ624" s="1" t="s">
        <v>74</v>
      </c>
      <c r="BA624" s="1" t="s">
        <v>74</v>
      </c>
      <c r="BB624" s="1">
        <v>1771.0</v>
      </c>
      <c r="BC624" s="1">
        <v>1804.0</v>
      </c>
      <c r="BD624" s="1" t="s">
        <v>74</v>
      </c>
      <c r="BE624" s="1" t="s">
        <v>74</v>
      </c>
      <c r="BF624" s="1" t="s">
        <v>74</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5806</v>
      </c>
      <c r="BT624" s="1" t="str">
        <f>HYPERLINK("https%3A%2F%2Fwww.webofscience.com%2Fwos%2Fwoscc%2Ffull-record%2FWOS:000551075000002","View Full Record in Web of Science")</f>
        <v>View Full Record in Web of Science</v>
      </c>
    </row>
    <row r="625" ht="12.75" customHeight="1">
      <c r="A625" s="1" t="s">
        <v>241</v>
      </c>
      <c r="B625" s="1" t="s">
        <v>5807</v>
      </c>
      <c r="C625" s="1" t="s">
        <v>74</v>
      </c>
      <c r="D625" s="1" t="s">
        <v>74</v>
      </c>
      <c r="E625" s="1" t="s">
        <v>427</v>
      </c>
      <c r="F625" s="1" t="s">
        <v>5808</v>
      </c>
      <c r="G625" s="1" t="s">
        <v>74</v>
      </c>
      <c r="H625" s="1" t="s">
        <v>74</v>
      </c>
      <c r="I625" s="1" t="s">
        <v>5809</v>
      </c>
      <c r="J625" s="1" t="s">
        <v>782</v>
      </c>
      <c r="K625" s="1" t="s">
        <v>74</v>
      </c>
      <c r="L625" s="1" t="s">
        <v>74</v>
      </c>
      <c r="M625" s="1" t="s">
        <v>74</v>
      </c>
      <c r="N625" s="1" t="s">
        <v>74</v>
      </c>
      <c r="O625" s="1" t="s">
        <v>783</v>
      </c>
      <c r="P625" s="1" t="s">
        <v>784</v>
      </c>
      <c r="Q625" s="1" t="s">
        <v>785</v>
      </c>
      <c r="R625" s="1" t="s">
        <v>786</v>
      </c>
      <c r="S625" s="1" t="s">
        <v>74</v>
      </c>
      <c r="T625" s="1" t="s">
        <v>74</v>
      </c>
      <c r="U625" s="1" t="s">
        <v>74</v>
      </c>
      <c r="V625" s="1" t="s">
        <v>5810</v>
      </c>
      <c r="W625" s="1" t="s">
        <v>74</v>
      </c>
      <c r="X625" s="1" t="s">
        <v>74</v>
      </c>
      <c r="Y625" s="1" t="s">
        <v>74</v>
      </c>
      <c r="Z625" s="1" t="s">
        <v>74</v>
      </c>
      <c r="AA625" s="1" t="s">
        <v>5811</v>
      </c>
      <c r="AB625" s="1" t="s">
        <v>5812</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74</v>
      </c>
      <c r="AP625" s="1" t="s">
        <v>74</v>
      </c>
      <c r="AQ625" s="1" t="s">
        <v>789</v>
      </c>
      <c r="AR625" s="1" t="s">
        <v>74</v>
      </c>
      <c r="AS625" s="1" t="s">
        <v>74</v>
      </c>
      <c r="AT625" s="1" t="s">
        <v>74</v>
      </c>
      <c r="AU625" s="1">
        <v>2019.0</v>
      </c>
      <c r="AV625" s="1" t="s">
        <v>74</v>
      </c>
      <c r="AW625" s="1" t="s">
        <v>74</v>
      </c>
      <c r="AX625" s="1" t="s">
        <v>74</v>
      </c>
      <c r="AY625" s="1" t="s">
        <v>74</v>
      </c>
      <c r="AZ625" s="1" t="s">
        <v>74</v>
      </c>
      <c r="BA625" s="1" t="s">
        <v>74</v>
      </c>
      <c r="BB625" s="1" t="s">
        <v>74</v>
      </c>
      <c r="BC625" s="1" t="s">
        <v>74</v>
      </c>
      <c r="BD625" s="1" t="s">
        <v>74</v>
      </c>
      <c r="BE625" s="1" t="s">
        <v>5813</v>
      </c>
      <c r="BF625" s="2" t="str">
        <f>HYPERLINK("http://dx.doi.org/10.1109/chilecon47746.2019.8987522","http://dx.doi.org/10.1109/chilecon47746.2019.8987522")</f>
        <v>http://dx.doi.org/10.1109/chilecon47746.2019.8987522</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5814</v>
      </c>
      <c r="BT625" s="1" t="str">
        <f>HYPERLINK("https%3A%2F%2Fwww.webofscience.com%2Fwos%2Fwoscc%2Ffull-record%2FWOS:000542919100026","View Full Record in Web of Science")</f>
        <v>View Full Record in Web of Science</v>
      </c>
    </row>
    <row r="626" ht="12.75" customHeight="1">
      <c r="A626" s="1" t="s">
        <v>72</v>
      </c>
      <c r="B626" s="1" t="s">
        <v>5815</v>
      </c>
      <c r="C626" s="1" t="s">
        <v>74</v>
      </c>
      <c r="D626" s="1" t="s">
        <v>74</v>
      </c>
      <c r="E626" s="1" t="s">
        <v>74</v>
      </c>
      <c r="F626" s="1" t="s">
        <v>5816</v>
      </c>
      <c r="G626" s="1" t="s">
        <v>74</v>
      </c>
      <c r="H626" s="1" t="s">
        <v>74</v>
      </c>
      <c r="I626" s="1" t="s">
        <v>5817</v>
      </c>
      <c r="J626" s="1" t="s">
        <v>5818</v>
      </c>
      <c r="K626" s="1" t="s">
        <v>74</v>
      </c>
      <c r="L626" s="1" t="s">
        <v>74</v>
      </c>
      <c r="M626" s="1" t="s">
        <v>74</v>
      </c>
      <c r="N626" s="1" t="s">
        <v>74</v>
      </c>
      <c r="O626" s="1" t="s">
        <v>74</v>
      </c>
      <c r="P626" s="1" t="s">
        <v>74</v>
      </c>
      <c r="Q626" s="1" t="s">
        <v>74</v>
      </c>
      <c r="R626" s="1" t="s">
        <v>74</v>
      </c>
      <c r="S626" s="1" t="s">
        <v>74</v>
      </c>
      <c r="T626" s="1" t="s">
        <v>74</v>
      </c>
      <c r="U626" s="1" t="s">
        <v>74</v>
      </c>
      <c r="V626" s="1" t="s">
        <v>5819</v>
      </c>
      <c r="W626" s="1" t="s">
        <v>74</v>
      </c>
      <c r="X626" s="1" t="s">
        <v>74</v>
      </c>
      <c r="Y626" s="1" t="s">
        <v>74</v>
      </c>
      <c r="Z626" s="1" t="s">
        <v>74</v>
      </c>
      <c r="AA626" s="1" t="s">
        <v>5820</v>
      </c>
      <c r="AB626" s="1" t="s">
        <v>5821</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5822</v>
      </c>
      <c r="AP626" s="1" t="s">
        <v>5823</v>
      </c>
      <c r="AQ626" s="1" t="s">
        <v>74</v>
      </c>
      <c r="AR626" s="1" t="s">
        <v>74</v>
      </c>
      <c r="AS626" s="1" t="s">
        <v>74</v>
      </c>
      <c r="AT626" s="1" t="s">
        <v>106</v>
      </c>
      <c r="AU626" s="1">
        <v>2018.0</v>
      </c>
      <c r="AV626" s="1">
        <v>180.0</v>
      </c>
      <c r="AW626" s="1" t="s">
        <v>74</v>
      </c>
      <c r="AX626" s="1" t="s">
        <v>74</v>
      </c>
      <c r="AY626" s="1" t="s">
        <v>74</v>
      </c>
      <c r="AZ626" s="1" t="s">
        <v>74</v>
      </c>
      <c r="BA626" s="1" t="s">
        <v>74</v>
      </c>
      <c r="BB626" s="1">
        <v>88.0</v>
      </c>
      <c r="BC626" s="1">
        <v>95.0</v>
      </c>
      <c r="BD626" s="1" t="s">
        <v>74</v>
      </c>
      <c r="BE626" s="1" t="s">
        <v>5824</v>
      </c>
      <c r="BF626" s="2" t="str">
        <f>HYPERLINK("http://dx.doi.org/10.1016/j.hydromet.2018.07.009","http://dx.doi.org/10.1016/j.hydromet.2018.07.009")</f>
        <v>http://dx.doi.org/10.1016/j.hydromet.2018.07.009</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5825</v>
      </c>
      <c r="BT626" s="1" t="str">
        <f>HYPERLINK("https%3A%2F%2Fwww.webofscience.com%2Fwos%2Fwoscc%2Ffull-record%2FWOS:000446144500011","View Full Record in Web of Science")</f>
        <v>View Full Record in Web of Science</v>
      </c>
    </row>
    <row r="627" ht="12.75" customHeight="1">
      <c r="A627" s="1" t="s">
        <v>72</v>
      </c>
      <c r="B627" s="1" t="s">
        <v>5826</v>
      </c>
      <c r="C627" s="1" t="s">
        <v>74</v>
      </c>
      <c r="D627" s="1" t="s">
        <v>74</v>
      </c>
      <c r="E627" s="1" t="s">
        <v>74</v>
      </c>
      <c r="F627" s="1" t="s">
        <v>5827</v>
      </c>
      <c r="G627" s="1" t="s">
        <v>74</v>
      </c>
      <c r="H627" s="1" t="s">
        <v>74</v>
      </c>
      <c r="I627" s="1" t="s">
        <v>5828</v>
      </c>
      <c r="J627" s="1" t="s">
        <v>1535</v>
      </c>
      <c r="K627" s="1" t="s">
        <v>74</v>
      </c>
      <c r="L627" s="1" t="s">
        <v>74</v>
      </c>
      <c r="M627" s="1" t="s">
        <v>74</v>
      </c>
      <c r="N627" s="1" t="s">
        <v>74</v>
      </c>
      <c r="O627" s="1" t="s">
        <v>74</v>
      </c>
      <c r="P627" s="1" t="s">
        <v>74</v>
      </c>
      <c r="Q627" s="1" t="s">
        <v>74</v>
      </c>
      <c r="R627" s="1" t="s">
        <v>74</v>
      </c>
      <c r="S627" s="1" t="s">
        <v>74</v>
      </c>
      <c r="T627" s="1" t="s">
        <v>74</v>
      </c>
      <c r="U627" s="1" t="s">
        <v>74</v>
      </c>
      <c r="V627" s="1" t="s">
        <v>5829</v>
      </c>
      <c r="W627" s="1" t="s">
        <v>74</v>
      </c>
      <c r="X627" s="1" t="s">
        <v>74</v>
      </c>
      <c r="Y627" s="1" t="s">
        <v>74</v>
      </c>
      <c r="Z627" s="1" t="s">
        <v>74</v>
      </c>
      <c r="AA627" s="1" t="s">
        <v>5830</v>
      </c>
      <c r="AB627" s="1" t="s">
        <v>5831</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1539</v>
      </c>
      <c r="AP627" s="1" t="s">
        <v>1540</v>
      </c>
      <c r="AQ627" s="1" t="s">
        <v>74</v>
      </c>
      <c r="AR627" s="1" t="s">
        <v>74</v>
      </c>
      <c r="AS627" s="1" t="s">
        <v>74</v>
      </c>
      <c r="AT627" s="1" t="s">
        <v>343</v>
      </c>
      <c r="AU627" s="1">
        <v>2018.0</v>
      </c>
      <c r="AV627" s="1">
        <v>30.0</v>
      </c>
      <c r="AW627" s="1">
        <v>8.0</v>
      </c>
      <c r="AX627" s="1" t="s">
        <v>74</v>
      </c>
      <c r="AY627" s="1" t="s">
        <v>74</v>
      </c>
      <c r="AZ627" s="1" t="s">
        <v>74</v>
      </c>
      <c r="BA627" s="1" t="s">
        <v>74</v>
      </c>
      <c r="BB627" s="1" t="s">
        <v>74</v>
      </c>
      <c r="BC627" s="1" t="s">
        <v>74</v>
      </c>
      <c r="BD627" s="1">
        <v>82112.0</v>
      </c>
      <c r="BE627" s="1" t="s">
        <v>5832</v>
      </c>
      <c r="BF627" s="2" t="str">
        <f>HYPERLINK("http://dx.doi.org/10.1063/1.5043366","http://dx.doi.org/10.1063/1.5043366")</f>
        <v>http://dx.doi.org/10.1063/1.5043366</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5833</v>
      </c>
      <c r="BT627" s="1" t="str">
        <f>HYPERLINK("https%3A%2F%2Fwww.webofscience.com%2Fwos%2Fwoscc%2Ffull-record%2FWOS:000443892400024","View Full Record in Web of Science")</f>
        <v>View Full Record in Web of Science</v>
      </c>
    </row>
    <row r="628" ht="12.75" customHeight="1">
      <c r="A628" s="1" t="s">
        <v>72</v>
      </c>
      <c r="B628" s="1" t="s">
        <v>5834</v>
      </c>
      <c r="C628" s="1" t="s">
        <v>74</v>
      </c>
      <c r="D628" s="1" t="s">
        <v>74</v>
      </c>
      <c r="E628" s="1" t="s">
        <v>74</v>
      </c>
      <c r="F628" s="1" t="s">
        <v>5835</v>
      </c>
      <c r="G628" s="1" t="s">
        <v>74</v>
      </c>
      <c r="H628" s="1" t="s">
        <v>74</v>
      </c>
      <c r="I628" s="1" t="s">
        <v>5836</v>
      </c>
      <c r="J628" s="1" t="s">
        <v>5837</v>
      </c>
      <c r="K628" s="1" t="s">
        <v>74</v>
      </c>
      <c r="L628" s="1" t="s">
        <v>74</v>
      </c>
      <c r="M628" s="1" t="s">
        <v>74</v>
      </c>
      <c r="N628" s="1" t="s">
        <v>74</v>
      </c>
      <c r="O628" s="1" t="s">
        <v>74</v>
      </c>
      <c r="P628" s="1" t="s">
        <v>74</v>
      </c>
      <c r="Q628" s="1" t="s">
        <v>74</v>
      </c>
      <c r="R628" s="1" t="s">
        <v>74</v>
      </c>
      <c r="S628" s="1" t="s">
        <v>74</v>
      </c>
      <c r="T628" s="1" t="s">
        <v>74</v>
      </c>
      <c r="U628" s="1" t="s">
        <v>74</v>
      </c>
      <c r="V628" s="1" t="s">
        <v>5838</v>
      </c>
      <c r="W628" s="1" t="s">
        <v>74</v>
      </c>
      <c r="X628" s="1" t="s">
        <v>74</v>
      </c>
      <c r="Y628" s="1" t="s">
        <v>74</v>
      </c>
      <c r="Z628" s="1" t="s">
        <v>74</v>
      </c>
      <c r="AA628" s="1" t="s">
        <v>5839</v>
      </c>
      <c r="AB628" s="1" t="s">
        <v>5840</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5841</v>
      </c>
      <c r="AP628" s="1" t="s">
        <v>74</v>
      </c>
      <c r="AQ628" s="1" t="s">
        <v>74</v>
      </c>
      <c r="AR628" s="1" t="s">
        <v>74</v>
      </c>
      <c r="AS628" s="1" t="s">
        <v>74</v>
      </c>
      <c r="AT628" s="1" t="s">
        <v>5842</v>
      </c>
      <c r="AU628" s="1">
        <v>2018.0</v>
      </c>
      <c r="AV628" s="1">
        <v>6.0</v>
      </c>
      <c r="AW628" s="1" t="s">
        <v>74</v>
      </c>
      <c r="AX628" s="1" t="s">
        <v>74</v>
      </c>
      <c r="AY628" s="1" t="s">
        <v>74</v>
      </c>
      <c r="AZ628" s="1" t="s">
        <v>74</v>
      </c>
      <c r="BA628" s="1" t="s">
        <v>74</v>
      </c>
      <c r="BB628" s="1" t="s">
        <v>74</v>
      </c>
      <c r="BC628" s="1" t="s">
        <v>74</v>
      </c>
      <c r="BD628" s="1">
        <v>320.0</v>
      </c>
      <c r="BE628" s="1" t="s">
        <v>5843</v>
      </c>
      <c r="BF628" s="2" t="str">
        <f>HYPERLINK("http://dx.doi.org/10.3389/fchem.2018.00320","http://dx.doi.org/10.3389/fchem.2018.00320")</f>
        <v>http://dx.doi.org/10.3389/fchem.2018.00320</v>
      </c>
      <c r="BG628" s="1" t="s">
        <v>74</v>
      </c>
      <c r="BH628" s="1" t="s">
        <v>74</v>
      </c>
      <c r="BI628" s="1" t="s">
        <v>74</v>
      </c>
      <c r="BJ628" s="1" t="s">
        <v>74</v>
      </c>
      <c r="BK628" s="1" t="s">
        <v>74</v>
      </c>
      <c r="BL628" s="1" t="s">
        <v>74</v>
      </c>
      <c r="BM628" s="1" t="s">
        <v>74</v>
      </c>
      <c r="BN628" s="1">
        <v>3.0109224E7</v>
      </c>
      <c r="BO628" s="1" t="s">
        <v>74</v>
      </c>
      <c r="BP628" s="1" t="s">
        <v>74</v>
      </c>
      <c r="BQ628" s="1" t="s">
        <v>74</v>
      </c>
      <c r="BR628" s="1" t="s">
        <v>74</v>
      </c>
      <c r="BS628" s="1" t="s">
        <v>5844</v>
      </c>
      <c r="BT628" s="1" t="str">
        <f>HYPERLINK("https%3A%2F%2Fwww.webofscience.com%2Fwos%2Fwoscc%2Ffull-record%2FWOS:000440281900001","View Full Record in Web of Science")</f>
        <v>View Full Record in Web of Science</v>
      </c>
    </row>
    <row r="629" ht="12.75" customHeight="1">
      <c r="A629" s="1" t="s">
        <v>72</v>
      </c>
      <c r="B629" s="1" t="s">
        <v>5845</v>
      </c>
      <c r="C629" s="1" t="s">
        <v>74</v>
      </c>
      <c r="D629" s="1" t="s">
        <v>74</v>
      </c>
      <c r="E629" s="1" t="s">
        <v>74</v>
      </c>
      <c r="F629" s="1" t="s">
        <v>5846</v>
      </c>
      <c r="G629" s="1" t="s">
        <v>74</v>
      </c>
      <c r="H629" s="1" t="s">
        <v>74</v>
      </c>
      <c r="I629" s="1" t="s">
        <v>5847</v>
      </c>
      <c r="J629" s="1" t="s">
        <v>1535</v>
      </c>
      <c r="K629" s="1" t="s">
        <v>74</v>
      </c>
      <c r="L629" s="1" t="s">
        <v>74</v>
      </c>
      <c r="M629" s="1" t="s">
        <v>74</v>
      </c>
      <c r="N629" s="1" t="s">
        <v>74</v>
      </c>
      <c r="O629" s="1" t="s">
        <v>74</v>
      </c>
      <c r="P629" s="1" t="s">
        <v>74</v>
      </c>
      <c r="Q629" s="1" t="s">
        <v>74</v>
      </c>
      <c r="R629" s="1" t="s">
        <v>74</v>
      </c>
      <c r="S629" s="1" t="s">
        <v>74</v>
      </c>
      <c r="T629" s="1" t="s">
        <v>74</v>
      </c>
      <c r="U629" s="1" t="s">
        <v>74</v>
      </c>
      <c r="V629" s="1" t="s">
        <v>5848</v>
      </c>
      <c r="W629" s="1" t="s">
        <v>74</v>
      </c>
      <c r="X629" s="1" t="s">
        <v>74</v>
      </c>
      <c r="Y629" s="1" t="s">
        <v>74</v>
      </c>
      <c r="Z629" s="1" t="s">
        <v>74</v>
      </c>
      <c r="AA629" s="1" t="s">
        <v>5849</v>
      </c>
      <c r="AB629" s="1" t="s">
        <v>5850</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1539</v>
      </c>
      <c r="AP629" s="1" t="s">
        <v>1540</v>
      </c>
      <c r="AQ629" s="1" t="s">
        <v>74</v>
      </c>
      <c r="AR629" s="1" t="s">
        <v>74</v>
      </c>
      <c r="AS629" s="1" t="s">
        <v>74</v>
      </c>
      <c r="AT629" s="1" t="s">
        <v>501</v>
      </c>
      <c r="AU629" s="1">
        <v>2017.0</v>
      </c>
      <c r="AV629" s="1">
        <v>29.0</v>
      </c>
      <c r="AW629" s="1">
        <v>11.0</v>
      </c>
      <c r="AX629" s="1" t="s">
        <v>74</v>
      </c>
      <c r="AY629" s="1" t="s">
        <v>74</v>
      </c>
      <c r="AZ629" s="1" t="s">
        <v>74</v>
      </c>
      <c r="BA629" s="1" t="s">
        <v>74</v>
      </c>
      <c r="BB629" s="1" t="s">
        <v>74</v>
      </c>
      <c r="BC629" s="1" t="s">
        <v>74</v>
      </c>
      <c r="BD629" s="1">
        <v>113601.0</v>
      </c>
      <c r="BE629" s="1" t="s">
        <v>5851</v>
      </c>
      <c r="BF629" s="2" t="str">
        <f>HYPERLINK("http://dx.doi.org/10.1063/1.4996868","http://dx.doi.org/10.1063/1.4996868")</f>
        <v>http://dx.doi.org/10.1063/1.4996868</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5852</v>
      </c>
      <c r="BT629" s="1" t="str">
        <f>HYPERLINK("https%3A%2F%2Fwww.webofscience.com%2Fwos%2Fwoscc%2Ffull-record%2FWOS:000416067400030","View Full Record in Web of Science")</f>
        <v>View Full Record in Web of Science</v>
      </c>
    </row>
    <row r="630" ht="12.75" customHeight="1">
      <c r="A630" s="1" t="s">
        <v>72</v>
      </c>
      <c r="B630" s="1" t="s">
        <v>5853</v>
      </c>
      <c r="C630" s="1" t="s">
        <v>74</v>
      </c>
      <c r="D630" s="1" t="s">
        <v>74</v>
      </c>
      <c r="E630" s="1" t="s">
        <v>74</v>
      </c>
      <c r="F630" s="1" t="s">
        <v>5854</v>
      </c>
      <c r="G630" s="1" t="s">
        <v>74</v>
      </c>
      <c r="H630" s="1" t="s">
        <v>74</v>
      </c>
      <c r="I630" s="1" t="s">
        <v>5855</v>
      </c>
      <c r="J630" s="1" t="s">
        <v>5856</v>
      </c>
      <c r="K630" s="1" t="s">
        <v>74</v>
      </c>
      <c r="L630" s="1" t="s">
        <v>74</v>
      </c>
      <c r="M630" s="1" t="s">
        <v>74</v>
      </c>
      <c r="N630" s="1" t="s">
        <v>74</v>
      </c>
      <c r="O630" s="1" t="s">
        <v>74</v>
      </c>
      <c r="P630" s="1" t="s">
        <v>74</v>
      </c>
      <c r="Q630" s="1" t="s">
        <v>74</v>
      </c>
      <c r="R630" s="1" t="s">
        <v>74</v>
      </c>
      <c r="S630" s="1" t="s">
        <v>74</v>
      </c>
      <c r="T630" s="1" t="s">
        <v>74</v>
      </c>
      <c r="U630" s="1" t="s">
        <v>74</v>
      </c>
      <c r="V630" s="1" t="s">
        <v>5857</v>
      </c>
      <c r="W630" s="1" t="s">
        <v>74</v>
      </c>
      <c r="X630" s="1" t="s">
        <v>74</v>
      </c>
      <c r="Y630" s="1" t="s">
        <v>74</v>
      </c>
      <c r="Z630" s="1" t="s">
        <v>74</v>
      </c>
      <c r="AA630" s="1" t="s">
        <v>5858</v>
      </c>
      <c r="AB630" s="1" t="s">
        <v>5859</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5860</v>
      </c>
      <c r="AP630" s="1" t="s">
        <v>5861</v>
      </c>
      <c r="AQ630" s="1" t="s">
        <v>74</v>
      </c>
      <c r="AR630" s="1" t="s">
        <v>74</v>
      </c>
      <c r="AS630" s="1" t="s">
        <v>74</v>
      </c>
      <c r="AT630" s="1" t="s">
        <v>353</v>
      </c>
      <c r="AU630" s="1">
        <v>2017.0</v>
      </c>
      <c r="AV630" s="1">
        <v>27.0</v>
      </c>
      <c r="AW630" s="1">
        <v>5.0</v>
      </c>
      <c r="AX630" s="1" t="s">
        <v>74</v>
      </c>
      <c r="AY630" s="1" t="s">
        <v>74</v>
      </c>
      <c r="AZ630" s="1" t="s">
        <v>74</v>
      </c>
      <c r="BA630" s="1" t="s">
        <v>74</v>
      </c>
      <c r="BB630" s="1">
        <v>467.0</v>
      </c>
      <c r="BC630" s="1">
        <v>474.0</v>
      </c>
      <c r="BD630" s="1" t="s">
        <v>74</v>
      </c>
      <c r="BE630" s="1" t="s">
        <v>5862</v>
      </c>
      <c r="BF630" s="2" t="str">
        <f>HYPERLINK("http://dx.doi.org/10.1123/ijsnem.2016-0122","http://dx.doi.org/10.1123/ijsnem.2016-0122")</f>
        <v>http://dx.doi.org/10.1123/ijsnem.2016-0122</v>
      </c>
      <c r="BG630" s="1" t="s">
        <v>74</v>
      </c>
      <c r="BH630" s="1" t="s">
        <v>74</v>
      </c>
      <c r="BI630" s="1" t="s">
        <v>74</v>
      </c>
      <c r="BJ630" s="1" t="s">
        <v>74</v>
      </c>
      <c r="BK630" s="1" t="s">
        <v>74</v>
      </c>
      <c r="BL630" s="1" t="s">
        <v>74</v>
      </c>
      <c r="BM630" s="1" t="s">
        <v>74</v>
      </c>
      <c r="BN630" s="1">
        <v>2.8387566E7</v>
      </c>
      <c r="BO630" s="1" t="s">
        <v>74</v>
      </c>
      <c r="BP630" s="1" t="s">
        <v>74</v>
      </c>
      <c r="BQ630" s="1" t="s">
        <v>74</v>
      </c>
      <c r="BR630" s="1" t="s">
        <v>74</v>
      </c>
      <c r="BS630" s="1" t="s">
        <v>5863</v>
      </c>
      <c r="BT630" s="1" t="str">
        <f>HYPERLINK("https%3A%2F%2Fwww.webofscience.com%2Fwos%2Fwoscc%2Ffull-record%2FWOS:000415961100009","View Full Record in Web of Science")</f>
        <v>View Full Record in Web of Science</v>
      </c>
    </row>
    <row r="631" ht="12.75" customHeight="1">
      <c r="A631" s="1" t="s">
        <v>72</v>
      </c>
      <c r="B631" s="1" t="s">
        <v>5864</v>
      </c>
      <c r="C631" s="1" t="s">
        <v>74</v>
      </c>
      <c r="D631" s="1" t="s">
        <v>74</v>
      </c>
      <c r="E631" s="1" t="s">
        <v>74</v>
      </c>
      <c r="F631" s="1" t="s">
        <v>5865</v>
      </c>
      <c r="G631" s="1" t="s">
        <v>74</v>
      </c>
      <c r="H631" s="1" t="s">
        <v>74</v>
      </c>
      <c r="I631" s="1" t="s">
        <v>5866</v>
      </c>
      <c r="J631" s="1" t="s">
        <v>5867</v>
      </c>
      <c r="K631" s="1" t="s">
        <v>74</v>
      </c>
      <c r="L631" s="1" t="s">
        <v>74</v>
      </c>
      <c r="M631" s="1" t="s">
        <v>74</v>
      </c>
      <c r="N631" s="1" t="s">
        <v>74</v>
      </c>
      <c r="O631" s="1" t="s">
        <v>74</v>
      </c>
      <c r="P631" s="1" t="s">
        <v>74</v>
      </c>
      <c r="Q631" s="1" t="s">
        <v>74</v>
      </c>
      <c r="R631" s="1" t="s">
        <v>74</v>
      </c>
      <c r="S631" s="1" t="s">
        <v>74</v>
      </c>
      <c r="T631" s="1" t="s">
        <v>74</v>
      </c>
      <c r="U631" s="1" t="s">
        <v>74</v>
      </c>
      <c r="V631" s="1" t="s">
        <v>5868</v>
      </c>
      <c r="W631" s="1" t="s">
        <v>74</v>
      </c>
      <c r="X631" s="1" t="s">
        <v>74</v>
      </c>
      <c r="Y631" s="1" t="s">
        <v>74</v>
      </c>
      <c r="Z631" s="1" t="s">
        <v>74</v>
      </c>
      <c r="AA631" s="1" t="s">
        <v>5869</v>
      </c>
      <c r="AB631" s="1" t="s">
        <v>5870</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5871</v>
      </c>
      <c r="AP631" s="1" t="s">
        <v>74</v>
      </c>
      <c r="AQ631" s="1" t="s">
        <v>74</v>
      </c>
      <c r="AR631" s="1" t="s">
        <v>74</v>
      </c>
      <c r="AS631" s="1" t="s">
        <v>74</v>
      </c>
      <c r="AT631" s="1" t="s">
        <v>2836</v>
      </c>
      <c r="AU631" s="1">
        <v>2017.0</v>
      </c>
      <c r="AV631" s="1">
        <v>112.0</v>
      </c>
      <c r="AW631" s="1" t="s">
        <v>74</v>
      </c>
      <c r="AX631" s="1" t="s">
        <v>74</v>
      </c>
      <c r="AY631" s="1" t="s">
        <v>74</v>
      </c>
      <c r="AZ631" s="1" t="s">
        <v>74</v>
      </c>
      <c r="BA631" s="1" t="s">
        <v>74</v>
      </c>
      <c r="BB631" s="1">
        <v>771.0</v>
      </c>
      <c r="BC631" s="1">
        <v>783.0</v>
      </c>
      <c r="BD631" s="1" t="s">
        <v>74</v>
      </c>
      <c r="BE631" s="1" t="s">
        <v>5872</v>
      </c>
      <c r="BF631" s="2" t="str">
        <f>HYPERLINK("http://dx.doi.org/10.1016/j.applthermaleng.2016.10.130","http://dx.doi.org/10.1016/j.applthermaleng.2016.10.130")</f>
        <v>http://dx.doi.org/10.1016/j.applthermaleng.2016.10.130</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5873</v>
      </c>
      <c r="BT631" s="1" t="str">
        <f>HYPERLINK("https%3A%2F%2Fwww.webofscience.com%2Fwos%2Fwoscc%2Ffull-record%2FWOS:000394831500073","View Full Record in Web of Science")</f>
        <v>View Full Record in Web of Science</v>
      </c>
    </row>
    <row r="632" ht="12.75" customHeight="1">
      <c r="A632" s="1" t="s">
        <v>241</v>
      </c>
      <c r="B632" s="1" t="s">
        <v>5874</v>
      </c>
      <c r="C632" s="1" t="s">
        <v>74</v>
      </c>
      <c r="D632" s="1" t="s">
        <v>74</v>
      </c>
      <c r="E632" s="1" t="s">
        <v>427</v>
      </c>
      <c r="F632" s="1" t="s">
        <v>5875</v>
      </c>
      <c r="G632" s="1" t="s">
        <v>74</v>
      </c>
      <c r="H632" s="1" t="s">
        <v>74</v>
      </c>
      <c r="I632" s="1" t="s">
        <v>5876</v>
      </c>
      <c r="J632" s="1" t="s">
        <v>1183</v>
      </c>
      <c r="K632" s="1" t="s">
        <v>74</v>
      </c>
      <c r="L632" s="1" t="s">
        <v>74</v>
      </c>
      <c r="M632" s="1" t="s">
        <v>74</v>
      </c>
      <c r="N632" s="1" t="s">
        <v>74</v>
      </c>
      <c r="O632" s="1" t="s">
        <v>479</v>
      </c>
      <c r="P632" s="1" t="s">
        <v>1184</v>
      </c>
      <c r="Q632" s="1" t="s">
        <v>1185</v>
      </c>
      <c r="R632" s="1" t="s">
        <v>1186</v>
      </c>
      <c r="S632" s="1" t="s">
        <v>74</v>
      </c>
      <c r="T632" s="1" t="s">
        <v>74</v>
      </c>
      <c r="U632" s="1" t="s">
        <v>74</v>
      </c>
      <c r="V632" s="1" t="s">
        <v>5877</v>
      </c>
      <c r="W632" s="1" t="s">
        <v>74</v>
      </c>
      <c r="X632" s="1" t="s">
        <v>74</v>
      </c>
      <c r="Y632" s="1" t="s">
        <v>74</v>
      </c>
      <c r="Z632" s="1" t="s">
        <v>74</v>
      </c>
      <c r="AA632" s="1" t="s">
        <v>5878</v>
      </c>
      <c r="AB632" s="1" t="s">
        <v>5879</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74</v>
      </c>
      <c r="AQ632" s="1" t="s">
        <v>1188</v>
      </c>
      <c r="AR632" s="1" t="s">
        <v>74</v>
      </c>
      <c r="AS632" s="1" t="s">
        <v>74</v>
      </c>
      <c r="AT632" s="1" t="s">
        <v>74</v>
      </c>
      <c r="AU632" s="1">
        <v>2017.0</v>
      </c>
      <c r="AV632" s="1" t="s">
        <v>74</v>
      </c>
      <c r="AW632" s="1" t="s">
        <v>74</v>
      </c>
      <c r="AX632" s="1" t="s">
        <v>74</v>
      </c>
      <c r="AY632" s="1" t="s">
        <v>74</v>
      </c>
      <c r="AZ632" s="1" t="s">
        <v>74</v>
      </c>
      <c r="BA632" s="1" t="s">
        <v>74</v>
      </c>
      <c r="BB632" s="1" t="s">
        <v>74</v>
      </c>
      <c r="BC632" s="1" t="s">
        <v>74</v>
      </c>
      <c r="BD632" s="1" t="s">
        <v>74</v>
      </c>
      <c r="BE632" s="1" t="s">
        <v>74</v>
      </c>
      <c r="BF632" s="1" t="s">
        <v>74</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5880</v>
      </c>
      <c r="BT632" s="1" t="str">
        <f>HYPERLINK("https%3A%2F%2Fwww.webofscience.com%2Fwos%2Fwoscc%2Ffull-record%2FWOS:000425925000066","View Full Record in Web of Science")</f>
        <v>View Full Record in Web of Science</v>
      </c>
    </row>
    <row r="633" ht="12.75" customHeight="1">
      <c r="A633" s="1" t="s">
        <v>442</v>
      </c>
      <c r="B633" s="1" t="s">
        <v>5881</v>
      </c>
      <c r="C633" s="1" t="s">
        <v>74</v>
      </c>
      <c r="D633" s="1" t="s">
        <v>5882</v>
      </c>
      <c r="E633" s="1" t="s">
        <v>74</v>
      </c>
      <c r="F633" s="1" t="s">
        <v>5883</v>
      </c>
      <c r="G633" s="1" t="s">
        <v>74</v>
      </c>
      <c r="H633" s="1" t="s">
        <v>74</v>
      </c>
      <c r="I633" s="1" t="s">
        <v>5884</v>
      </c>
      <c r="J633" s="1" t="s">
        <v>5885</v>
      </c>
      <c r="K633" s="1" t="s">
        <v>5886</v>
      </c>
      <c r="L633" s="1" t="s">
        <v>74</v>
      </c>
      <c r="M633" s="1" t="s">
        <v>74</v>
      </c>
      <c r="N633" s="1" t="s">
        <v>74</v>
      </c>
      <c r="O633" s="1" t="s">
        <v>74</v>
      </c>
      <c r="P633" s="1" t="s">
        <v>74</v>
      </c>
      <c r="Q633" s="1" t="s">
        <v>74</v>
      </c>
      <c r="R633" s="1" t="s">
        <v>74</v>
      </c>
      <c r="S633" s="1" t="s">
        <v>74</v>
      </c>
      <c r="T633" s="1" t="s">
        <v>74</v>
      </c>
      <c r="U633" s="1" t="s">
        <v>74</v>
      </c>
      <c r="V633" s="1" t="s">
        <v>74</v>
      </c>
      <c r="W633" s="1" t="s">
        <v>74</v>
      </c>
      <c r="X633" s="1" t="s">
        <v>74</v>
      </c>
      <c r="Y633" s="1" t="s">
        <v>74</v>
      </c>
      <c r="Z633" s="1" t="s">
        <v>74</v>
      </c>
      <c r="AA633" s="1" t="s">
        <v>74</v>
      </c>
      <c r="AB633" s="1" t="s">
        <v>74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74</v>
      </c>
      <c r="AP633" s="1" t="s">
        <v>74</v>
      </c>
      <c r="AQ633" s="1" t="s">
        <v>5887</v>
      </c>
      <c r="AR633" s="1" t="s">
        <v>74</v>
      </c>
      <c r="AS633" s="1" t="s">
        <v>74</v>
      </c>
      <c r="AT633" s="1" t="s">
        <v>74</v>
      </c>
      <c r="AU633" s="1">
        <v>2017.0</v>
      </c>
      <c r="AV633" s="1">
        <v>12.0</v>
      </c>
      <c r="AW633" s="1" t="s">
        <v>74</v>
      </c>
      <c r="AX633" s="1" t="s">
        <v>74</v>
      </c>
      <c r="AY633" s="1" t="s">
        <v>74</v>
      </c>
      <c r="AZ633" s="1" t="s">
        <v>74</v>
      </c>
      <c r="BA633" s="1" t="s">
        <v>74</v>
      </c>
      <c r="BB633" s="1">
        <v>85.0</v>
      </c>
      <c r="BC633" s="1">
        <v>103.0</v>
      </c>
      <c r="BD633" s="1" t="s">
        <v>74</v>
      </c>
      <c r="BE633" s="1" t="s">
        <v>74</v>
      </c>
      <c r="BF633" s="1" t="s">
        <v>74</v>
      </c>
      <c r="BG633" s="1" t="s">
        <v>5888</v>
      </c>
      <c r="BH633" s="1" t="s">
        <v>74</v>
      </c>
      <c r="BI633" s="1" t="s">
        <v>74</v>
      </c>
      <c r="BJ633" s="1" t="s">
        <v>74</v>
      </c>
      <c r="BK633" s="1" t="s">
        <v>74</v>
      </c>
      <c r="BL633" s="1" t="s">
        <v>74</v>
      </c>
      <c r="BM633" s="1" t="s">
        <v>74</v>
      </c>
      <c r="BN633" s="1" t="s">
        <v>74</v>
      </c>
      <c r="BO633" s="1" t="s">
        <v>74</v>
      </c>
      <c r="BP633" s="1" t="s">
        <v>74</v>
      </c>
      <c r="BQ633" s="1" t="s">
        <v>74</v>
      </c>
      <c r="BR633" s="1" t="s">
        <v>74</v>
      </c>
      <c r="BS633" s="1" t="s">
        <v>5889</v>
      </c>
      <c r="BT633" s="1" t="str">
        <f>HYPERLINK("https%3A%2F%2Fwww.webofscience.com%2Fwos%2Fwoscc%2Ffull-record%2FWOS:000440133300006","View Full Record in Web of Science")</f>
        <v>View Full Record in Web of Science</v>
      </c>
    </row>
    <row r="634" ht="12.75" customHeight="1">
      <c r="A634" s="1" t="s">
        <v>72</v>
      </c>
      <c r="B634" s="1" t="s">
        <v>5890</v>
      </c>
      <c r="C634" s="1" t="s">
        <v>74</v>
      </c>
      <c r="D634" s="1" t="s">
        <v>74</v>
      </c>
      <c r="E634" s="1" t="s">
        <v>74</v>
      </c>
      <c r="F634" s="1" t="s">
        <v>5891</v>
      </c>
      <c r="G634" s="1" t="s">
        <v>74</v>
      </c>
      <c r="H634" s="1" t="s">
        <v>74</v>
      </c>
      <c r="I634" s="1" t="s">
        <v>5892</v>
      </c>
      <c r="J634" s="1" t="s">
        <v>1546</v>
      </c>
      <c r="K634" s="1" t="s">
        <v>74</v>
      </c>
      <c r="L634" s="1" t="s">
        <v>74</v>
      </c>
      <c r="M634" s="1" t="s">
        <v>74</v>
      </c>
      <c r="N634" s="1" t="s">
        <v>74</v>
      </c>
      <c r="O634" s="1" t="s">
        <v>74</v>
      </c>
      <c r="P634" s="1" t="s">
        <v>74</v>
      </c>
      <c r="Q634" s="1" t="s">
        <v>74</v>
      </c>
      <c r="R634" s="1" t="s">
        <v>74</v>
      </c>
      <c r="S634" s="1" t="s">
        <v>74</v>
      </c>
      <c r="T634" s="1" t="s">
        <v>74</v>
      </c>
      <c r="U634" s="1" t="s">
        <v>74</v>
      </c>
      <c r="V634" s="1" t="s">
        <v>5893</v>
      </c>
      <c r="W634" s="1" t="s">
        <v>74</v>
      </c>
      <c r="X634" s="1" t="s">
        <v>74</v>
      </c>
      <c r="Y634" s="1" t="s">
        <v>74</v>
      </c>
      <c r="Z634" s="1" t="s">
        <v>74</v>
      </c>
      <c r="AA634" s="1" t="s">
        <v>74</v>
      </c>
      <c r="AB634" s="1" t="s">
        <v>74</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4178</v>
      </c>
      <c r="AP634" s="1" t="s">
        <v>74</v>
      </c>
      <c r="AQ634" s="1" t="s">
        <v>74</v>
      </c>
      <c r="AR634" s="1" t="s">
        <v>74</v>
      </c>
      <c r="AS634" s="1" t="s">
        <v>74</v>
      </c>
      <c r="AT634" s="1" t="s">
        <v>680</v>
      </c>
      <c r="AU634" s="1">
        <v>2017.0</v>
      </c>
      <c r="AV634" s="1">
        <v>50.0</v>
      </c>
      <c r="AW634" s="1">
        <v>1.0</v>
      </c>
      <c r="AX634" s="1" t="s">
        <v>74</v>
      </c>
      <c r="AY634" s="1" t="s">
        <v>74</v>
      </c>
      <c r="AZ634" s="1" t="s">
        <v>74</v>
      </c>
      <c r="BA634" s="1" t="s">
        <v>74</v>
      </c>
      <c r="BB634" s="1">
        <v>273.0</v>
      </c>
      <c r="BC634" s="1">
        <v>302.0</v>
      </c>
      <c r="BD634" s="1" t="s">
        <v>74</v>
      </c>
      <c r="BE634" s="1" t="s">
        <v>74</v>
      </c>
      <c r="BF634" s="1" t="s">
        <v>74</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5894</v>
      </c>
      <c r="BT634" s="1" t="str">
        <f>HYPERLINK("https%3A%2F%2Fwww.webofscience.com%2Fwos%2Fwoscc%2Ffull-record%2FWOS:000418182300010","View Full Record in Web of Science")</f>
        <v>View Full Record in Web of Science</v>
      </c>
    </row>
    <row r="635" ht="12.75" customHeight="1">
      <c r="A635" s="1" t="s">
        <v>72</v>
      </c>
      <c r="B635" s="1" t="s">
        <v>5895</v>
      </c>
      <c r="C635" s="1" t="s">
        <v>74</v>
      </c>
      <c r="D635" s="1" t="s">
        <v>74</v>
      </c>
      <c r="E635" s="1" t="s">
        <v>74</v>
      </c>
      <c r="F635" s="1" t="s">
        <v>5896</v>
      </c>
      <c r="G635" s="1" t="s">
        <v>74</v>
      </c>
      <c r="H635" s="1" t="s">
        <v>74</v>
      </c>
      <c r="I635" s="1" t="s">
        <v>5897</v>
      </c>
      <c r="J635" s="1" t="s">
        <v>337</v>
      </c>
      <c r="K635" s="1" t="s">
        <v>74</v>
      </c>
      <c r="L635" s="1" t="s">
        <v>74</v>
      </c>
      <c r="M635" s="1" t="s">
        <v>74</v>
      </c>
      <c r="N635" s="1" t="s">
        <v>74</v>
      </c>
      <c r="O635" s="1" t="s">
        <v>74</v>
      </c>
      <c r="P635" s="1" t="s">
        <v>74</v>
      </c>
      <c r="Q635" s="1" t="s">
        <v>74</v>
      </c>
      <c r="R635" s="1" t="s">
        <v>74</v>
      </c>
      <c r="S635" s="1" t="s">
        <v>74</v>
      </c>
      <c r="T635" s="1" t="s">
        <v>74</v>
      </c>
      <c r="U635" s="1" t="s">
        <v>74</v>
      </c>
      <c r="V635" s="1" t="s">
        <v>5898</v>
      </c>
      <c r="W635" s="1" t="s">
        <v>74</v>
      </c>
      <c r="X635" s="1" t="s">
        <v>74</v>
      </c>
      <c r="Y635" s="1" t="s">
        <v>74</v>
      </c>
      <c r="Z635" s="1" t="s">
        <v>74</v>
      </c>
      <c r="AA635" s="1" t="s">
        <v>5291</v>
      </c>
      <c r="AB635" s="1" t="s">
        <v>5899</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5259</v>
      </c>
      <c r="AP635" s="1" t="s">
        <v>5260</v>
      </c>
      <c r="AQ635" s="1" t="s">
        <v>74</v>
      </c>
      <c r="AR635" s="1" t="s">
        <v>74</v>
      </c>
      <c r="AS635" s="1" t="s">
        <v>74</v>
      </c>
      <c r="AT635" s="1" t="s">
        <v>5900</v>
      </c>
      <c r="AU635" s="1">
        <v>2016.0</v>
      </c>
      <c r="AV635" s="1">
        <v>93.0</v>
      </c>
      <c r="AW635" s="1">
        <v>5.0</v>
      </c>
      <c r="AX635" s="1" t="s">
        <v>74</v>
      </c>
      <c r="AY635" s="1" t="s">
        <v>74</v>
      </c>
      <c r="AZ635" s="1" t="s">
        <v>74</v>
      </c>
      <c r="BA635" s="1" t="s">
        <v>74</v>
      </c>
      <c r="BB635" s="1" t="s">
        <v>74</v>
      </c>
      <c r="BC635" s="1" t="s">
        <v>74</v>
      </c>
      <c r="BD635" s="1">
        <v>53117.0</v>
      </c>
      <c r="BE635" s="1" t="s">
        <v>5901</v>
      </c>
      <c r="BF635" s="2" t="str">
        <f>HYPERLINK("http://dx.doi.org/10.1103/PhysRevE.93.053117","http://dx.doi.org/10.1103/PhysRevE.93.053117")</f>
        <v>http://dx.doi.org/10.1103/PhysRevE.93.053117</v>
      </c>
      <c r="BG635" s="1" t="s">
        <v>74</v>
      </c>
      <c r="BH635" s="1" t="s">
        <v>74</v>
      </c>
      <c r="BI635" s="1" t="s">
        <v>74</v>
      </c>
      <c r="BJ635" s="1" t="s">
        <v>74</v>
      </c>
      <c r="BK635" s="1" t="s">
        <v>74</v>
      </c>
      <c r="BL635" s="1" t="s">
        <v>74</v>
      </c>
      <c r="BM635" s="1" t="s">
        <v>74</v>
      </c>
      <c r="BN635" s="1">
        <v>2.7300988E7</v>
      </c>
      <c r="BO635" s="1" t="s">
        <v>74</v>
      </c>
      <c r="BP635" s="1" t="s">
        <v>74</v>
      </c>
      <c r="BQ635" s="1" t="s">
        <v>74</v>
      </c>
      <c r="BR635" s="1" t="s">
        <v>74</v>
      </c>
      <c r="BS635" s="1" t="s">
        <v>5902</v>
      </c>
      <c r="BT635" s="1" t="str">
        <f>HYPERLINK("https%3A%2F%2Fwww.webofscience.com%2Fwos%2Fwoscc%2Ffull-record%2FWOS:000376924100013","View Full Record in Web of Science")</f>
        <v>View Full Record in Web of Science</v>
      </c>
    </row>
    <row r="636" ht="12.75" customHeight="1">
      <c r="A636" s="1" t="s">
        <v>72</v>
      </c>
      <c r="B636" s="1" t="s">
        <v>5903</v>
      </c>
      <c r="C636" s="1" t="s">
        <v>74</v>
      </c>
      <c r="D636" s="1" t="s">
        <v>74</v>
      </c>
      <c r="E636" s="1" t="s">
        <v>74</v>
      </c>
      <c r="F636" s="1" t="s">
        <v>5904</v>
      </c>
      <c r="G636" s="1" t="s">
        <v>74</v>
      </c>
      <c r="H636" s="1" t="s">
        <v>74</v>
      </c>
      <c r="I636" s="1" t="s">
        <v>5905</v>
      </c>
      <c r="J636" s="1" t="s">
        <v>5906</v>
      </c>
      <c r="K636" s="1" t="s">
        <v>74</v>
      </c>
      <c r="L636" s="1" t="s">
        <v>74</v>
      </c>
      <c r="M636" s="1" t="s">
        <v>74</v>
      </c>
      <c r="N636" s="1" t="s">
        <v>74</v>
      </c>
      <c r="O636" s="1" t="s">
        <v>74</v>
      </c>
      <c r="P636" s="1" t="s">
        <v>74</v>
      </c>
      <c r="Q636" s="1" t="s">
        <v>74</v>
      </c>
      <c r="R636" s="1" t="s">
        <v>74</v>
      </c>
      <c r="S636" s="1" t="s">
        <v>74</v>
      </c>
      <c r="T636" s="1" t="s">
        <v>74</v>
      </c>
      <c r="U636" s="1" t="s">
        <v>74</v>
      </c>
      <c r="V636" s="1" t="s">
        <v>5907</v>
      </c>
      <c r="W636" s="1" t="s">
        <v>74</v>
      </c>
      <c r="X636" s="1" t="s">
        <v>74</v>
      </c>
      <c r="Y636" s="1" t="s">
        <v>74</v>
      </c>
      <c r="Z636" s="1" t="s">
        <v>74</v>
      </c>
      <c r="AA636" s="1" t="s">
        <v>5908</v>
      </c>
      <c r="AB636" s="1" t="s">
        <v>5909</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5910</v>
      </c>
      <c r="AP636" s="1" t="s">
        <v>5911</v>
      </c>
      <c r="AQ636" s="1" t="s">
        <v>74</v>
      </c>
      <c r="AR636" s="1" t="s">
        <v>74</v>
      </c>
      <c r="AS636" s="1" t="s">
        <v>74</v>
      </c>
      <c r="AT636" s="1" t="s">
        <v>5912</v>
      </c>
      <c r="AU636" s="1">
        <v>2015.0</v>
      </c>
      <c r="AV636" s="1">
        <v>91.0</v>
      </c>
      <c r="AW636" s="1">
        <v>4.0</v>
      </c>
      <c r="AX636" s="1" t="s">
        <v>74</v>
      </c>
      <c r="AY636" s="1" t="s">
        <v>74</v>
      </c>
      <c r="AZ636" s="1" t="s">
        <v>74</v>
      </c>
      <c r="BA636" s="1" t="s">
        <v>74</v>
      </c>
      <c r="BB636" s="1">
        <v>339.0</v>
      </c>
      <c r="BC636" s="1">
        <v>345.0</v>
      </c>
      <c r="BD636" s="1" t="s">
        <v>74</v>
      </c>
      <c r="BE636" s="1" t="s">
        <v>5913</v>
      </c>
      <c r="BF636" s="2" t="str">
        <f>HYPERLINK("http://dx.doi.org/10.1016/j.jpedp.2015.04.005","http://dx.doi.org/10.1016/j.jpedp.2015.04.005")</f>
        <v>http://dx.doi.org/10.1016/j.jpedp.2015.04.005</v>
      </c>
      <c r="BG636" s="1" t="s">
        <v>74</v>
      </c>
      <c r="BH636" s="1" t="s">
        <v>74</v>
      </c>
      <c r="BI636" s="1" t="s">
        <v>74</v>
      </c>
      <c r="BJ636" s="1" t="s">
        <v>74</v>
      </c>
      <c r="BK636" s="1" t="s">
        <v>74</v>
      </c>
      <c r="BL636" s="1" t="s">
        <v>74</v>
      </c>
      <c r="BM636" s="1" t="s">
        <v>74</v>
      </c>
      <c r="BN636" s="1">
        <v>2.5645029E7</v>
      </c>
      <c r="BO636" s="1" t="s">
        <v>74</v>
      </c>
      <c r="BP636" s="1" t="s">
        <v>74</v>
      </c>
      <c r="BQ636" s="1" t="s">
        <v>74</v>
      </c>
      <c r="BR636" s="1" t="s">
        <v>74</v>
      </c>
      <c r="BS636" s="1" t="s">
        <v>5914</v>
      </c>
      <c r="BT636" s="1" t="str">
        <f>HYPERLINK("https%3A%2F%2Fwww.webofscience.com%2Fwos%2Fwoscc%2Ffull-record%2FWOS:000359958400006","View Full Record in Web of Science")</f>
        <v>View Full Record in Web of Science</v>
      </c>
    </row>
    <row r="637" ht="12.75" customHeight="1">
      <c r="A637" s="1" t="s">
        <v>72</v>
      </c>
      <c r="B637" s="1" t="s">
        <v>5915</v>
      </c>
      <c r="C637" s="1" t="s">
        <v>74</v>
      </c>
      <c r="D637" s="1" t="s">
        <v>74</v>
      </c>
      <c r="E637" s="1" t="s">
        <v>74</v>
      </c>
      <c r="F637" s="1" t="s">
        <v>5916</v>
      </c>
      <c r="G637" s="1" t="s">
        <v>74</v>
      </c>
      <c r="H637" s="1" t="s">
        <v>74</v>
      </c>
      <c r="I637" s="1" t="s">
        <v>5917</v>
      </c>
      <c r="J637" s="1" t="s">
        <v>280</v>
      </c>
      <c r="K637" s="1" t="s">
        <v>74</v>
      </c>
      <c r="L637" s="1" t="s">
        <v>74</v>
      </c>
      <c r="M637" s="1" t="s">
        <v>74</v>
      </c>
      <c r="N637" s="1" t="s">
        <v>74</v>
      </c>
      <c r="O637" s="1" t="s">
        <v>74</v>
      </c>
      <c r="P637" s="1" t="s">
        <v>74</v>
      </c>
      <c r="Q637" s="1" t="s">
        <v>74</v>
      </c>
      <c r="R637" s="1" t="s">
        <v>74</v>
      </c>
      <c r="S637" s="1" t="s">
        <v>74</v>
      </c>
      <c r="T637" s="1" t="s">
        <v>74</v>
      </c>
      <c r="U637" s="1" t="s">
        <v>74</v>
      </c>
      <c r="V637" s="1" t="s">
        <v>5918</v>
      </c>
      <c r="W637" s="1" t="s">
        <v>74</v>
      </c>
      <c r="X637" s="1" t="s">
        <v>74</v>
      </c>
      <c r="Y637" s="1" t="s">
        <v>74</v>
      </c>
      <c r="Z637" s="1" t="s">
        <v>74</v>
      </c>
      <c r="AA637" s="1" t="s">
        <v>5919</v>
      </c>
      <c r="AB637" s="1" t="s">
        <v>5920</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283</v>
      </c>
      <c r="AP637" s="1" t="s">
        <v>74</v>
      </c>
      <c r="AQ637" s="1" t="s">
        <v>74</v>
      </c>
      <c r="AR637" s="1" t="s">
        <v>74</v>
      </c>
      <c r="AS637" s="1" t="s">
        <v>74</v>
      </c>
      <c r="AT637" s="1" t="s">
        <v>82</v>
      </c>
      <c r="AU637" s="1">
        <v>2015.0</v>
      </c>
      <c r="AV637" s="1">
        <v>60.0</v>
      </c>
      <c r="AW637" s="1">
        <v>2.0</v>
      </c>
      <c r="AX637" s="1" t="s">
        <v>74</v>
      </c>
      <c r="AY637" s="1" t="s">
        <v>74</v>
      </c>
      <c r="AZ637" s="1" t="s">
        <v>74</v>
      </c>
      <c r="BA637" s="1" t="s">
        <v>74</v>
      </c>
      <c r="BB637" s="1">
        <v>2931.0</v>
      </c>
      <c r="BC637" s="1">
        <v>2934.0</v>
      </c>
      <c r="BD637" s="1" t="s">
        <v>74</v>
      </c>
      <c r="BE637" s="1" t="s">
        <v>5921</v>
      </c>
      <c r="BF637" s="2" t="str">
        <f>HYPERLINK("http://dx.doi.org/10.4067/S0717-97072015000200015","http://dx.doi.org/10.4067/S0717-97072015000200015")</f>
        <v>http://dx.doi.org/10.4067/S0717-97072015000200015</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5922</v>
      </c>
      <c r="BT637" s="1" t="str">
        <f>HYPERLINK("https%3A%2F%2Fwww.webofscience.com%2Fwos%2Fwoscc%2Ffull-record%2FWOS:000361545700015","View Full Record in Web of Science")</f>
        <v>View Full Record in Web of Science</v>
      </c>
    </row>
    <row r="638" ht="12.75" customHeight="1">
      <c r="A638" s="1" t="s">
        <v>72</v>
      </c>
      <c r="B638" s="1" t="s">
        <v>5923</v>
      </c>
      <c r="C638" s="1" t="s">
        <v>74</v>
      </c>
      <c r="D638" s="1" t="s">
        <v>74</v>
      </c>
      <c r="E638" s="1" t="s">
        <v>74</v>
      </c>
      <c r="F638" s="1" t="s">
        <v>5924</v>
      </c>
      <c r="G638" s="1" t="s">
        <v>74</v>
      </c>
      <c r="H638" s="1" t="s">
        <v>74</v>
      </c>
      <c r="I638" s="1" t="s">
        <v>5925</v>
      </c>
      <c r="J638" s="1" t="s">
        <v>5926</v>
      </c>
      <c r="K638" s="1" t="s">
        <v>74</v>
      </c>
      <c r="L638" s="1" t="s">
        <v>74</v>
      </c>
      <c r="M638" s="1" t="s">
        <v>74</v>
      </c>
      <c r="N638" s="1" t="s">
        <v>74</v>
      </c>
      <c r="O638" s="1" t="s">
        <v>74</v>
      </c>
      <c r="P638" s="1" t="s">
        <v>74</v>
      </c>
      <c r="Q638" s="1" t="s">
        <v>74</v>
      </c>
      <c r="R638" s="1" t="s">
        <v>74</v>
      </c>
      <c r="S638" s="1" t="s">
        <v>74</v>
      </c>
      <c r="T638" s="1" t="s">
        <v>74</v>
      </c>
      <c r="U638" s="1" t="s">
        <v>74</v>
      </c>
      <c r="V638" s="1" t="s">
        <v>5927</v>
      </c>
      <c r="W638" s="1" t="s">
        <v>74</v>
      </c>
      <c r="X638" s="1" t="s">
        <v>74</v>
      </c>
      <c r="Y638" s="1" t="s">
        <v>74</v>
      </c>
      <c r="Z638" s="1" t="s">
        <v>74</v>
      </c>
      <c r="AA638" s="1" t="s">
        <v>74</v>
      </c>
      <c r="AB638" s="1" t="s">
        <v>74</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5928</v>
      </c>
      <c r="AP638" s="1" t="s">
        <v>5929</v>
      </c>
      <c r="AQ638" s="1" t="s">
        <v>74</v>
      </c>
      <c r="AR638" s="1" t="s">
        <v>74</v>
      </c>
      <c r="AS638" s="1" t="s">
        <v>74</v>
      </c>
      <c r="AT638" s="1" t="s">
        <v>82</v>
      </c>
      <c r="AU638" s="1">
        <v>2015.0</v>
      </c>
      <c r="AV638" s="1">
        <v>78.0</v>
      </c>
      <c r="AW638" s="1">
        <v>6.0</v>
      </c>
      <c r="AX638" s="1" t="s">
        <v>74</v>
      </c>
      <c r="AY638" s="1" t="s">
        <v>74</v>
      </c>
      <c r="AZ638" s="1" t="s">
        <v>74</v>
      </c>
      <c r="BA638" s="1" t="s">
        <v>74</v>
      </c>
      <c r="BB638" s="1">
        <v>500.0</v>
      </c>
      <c r="BC638" s="1">
        <v>507.0</v>
      </c>
      <c r="BD638" s="1" t="s">
        <v>74</v>
      </c>
      <c r="BE638" s="1" t="s">
        <v>5930</v>
      </c>
      <c r="BF638" s="2" t="str">
        <f>HYPERLINK("http://dx.doi.org/10.1002/jemt.22501","http://dx.doi.org/10.1002/jemt.22501")</f>
        <v>http://dx.doi.org/10.1002/jemt.22501</v>
      </c>
      <c r="BG638" s="1" t="s">
        <v>74</v>
      </c>
      <c r="BH638" s="1" t="s">
        <v>74</v>
      </c>
      <c r="BI638" s="1" t="s">
        <v>74</v>
      </c>
      <c r="BJ638" s="1" t="s">
        <v>74</v>
      </c>
      <c r="BK638" s="1" t="s">
        <v>74</v>
      </c>
      <c r="BL638" s="1" t="s">
        <v>74</v>
      </c>
      <c r="BM638" s="1" t="s">
        <v>74</v>
      </c>
      <c r="BN638" s="1">
        <v>2.5808242E7</v>
      </c>
      <c r="BO638" s="1" t="s">
        <v>74</v>
      </c>
      <c r="BP638" s="1" t="s">
        <v>74</v>
      </c>
      <c r="BQ638" s="1" t="s">
        <v>74</v>
      </c>
      <c r="BR638" s="1" t="s">
        <v>74</v>
      </c>
      <c r="BS638" s="1" t="s">
        <v>5931</v>
      </c>
      <c r="BT638" s="1" t="str">
        <f>HYPERLINK("https%3A%2F%2Fwww.webofscience.com%2Fwos%2Fwoscc%2Ffull-record%2FWOS:000355232000010","View Full Record in Web of Science")</f>
        <v>View Full Record in Web of Science</v>
      </c>
    </row>
    <row r="639" ht="12.75" customHeight="1">
      <c r="A639" s="1" t="s">
        <v>72</v>
      </c>
      <c r="B639" s="1" t="s">
        <v>5932</v>
      </c>
      <c r="C639" s="1" t="s">
        <v>74</v>
      </c>
      <c r="D639" s="1" t="s">
        <v>74</v>
      </c>
      <c r="E639" s="1" t="s">
        <v>74</v>
      </c>
      <c r="F639" s="1" t="s">
        <v>5933</v>
      </c>
      <c r="G639" s="1" t="s">
        <v>74</v>
      </c>
      <c r="H639" s="1" t="s">
        <v>74</v>
      </c>
      <c r="I639" s="1" t="s">
        <v>5934</v>
      </c>
      <c r="J639" s="1" t="s">
        <v>5935</v>
      </c>
      <c r="K639" s="1" t="s">
        <v>74</v>
      </c>
      <c r="L639" s="1" t="s">
        <v>74</v>
      </c>
      <c r="M639" s="1" t="s">
        <v>74</v>
      </c>
      <c r="N639" s="1" t="s">
        <v>74</v>
      </c>
      <c r="O639" s="1" t="s">
        <v>74</v>
      </c>
      <c r="P639" s="1" t="s">
        <v>74</v>
      </c>
      <c r="Q639" s="1" t="s">
        <v>74</v>
      </c>
      <c r="R639" s="1" t="s">
        <v>74</v>
      </c>
      <c r="S639" s="1" t="s">
        <v>74</v>
      </c>
      <c r="T639" s="1" t="s">
        <v>74</v>
      </c>
      <c r="U639" s="1" t="s">
        <v>74</v>
      </c>
      <c r="V639" s="1" t="s">
        <v>5936</v>
      </c>
      <c r="W639" s="1" t="s">
        <v>74</v>
      </c>
      <c r="X639" s="1" t="s">
        <v>74</v>
      </c>
      <c r="Y639" s="1" t="s">
        <v>74</v>
      </c>
      <c r="Z639" s="1" t="s">
        <v>74</v>
      </c>
      <c r="AA639" s="1" t="s">
        <v>5937</v>
      </c>
      <c r="AB639" s="1" t="s">
        <v>5938</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5939</v>
      </c>
      <c r="AP639" s="1" t="s">
        <v>5940</v>
      </c>
      <c r="AQ639" s="1" t="s">
        <v>74</v>
      </c>
      <c r="AR639" s="1" t="s">
        <v>74</v>
      </c>
      <c r="AS639" s="1" t="s">
        <v>74</v>
      </c>
      <c r="AT639" s="1" t="s">
        <v>74</v>
      </c>
      <c r="AU639" s="1">
        <v>2015.0</v>
      </c>
      <c r="AV639" s="1">
        <v>72.0</v>
      </c>
      <c r="AW639" s="1">
        <v>2.0</v>
      </c>
      <c r="AX639" s="1" t="s">
        <v>74</v>
      </c>
      <c r="AY639" s="1" t="s">
        <v>74</v>
      </c>
      <c r="AZ639" s="1" t="s">
        <v>74</v>
      </c>
      <c r="BA639" s="1" t="s">
        <v>74</v>
      </c>
      <c r="BB639" s="1">
        <v>230.0</v>
      </c>
      <c r="BC639" s="1">
        <v>237.0</v>
      </c>
      <c r="BD639" s="1" t="s">
        <v>74</v>
      </c>
      <c r="BE639" s="1" t="s">
        <v>5941</v>
      </c>
      <c r="BF639" s="2" t="str">
        <f>HYPERLINK("http://dx.doi.org/10.2166/wst.2015.210","http://dx.doi.org/10.2166/wst.2015.210")</f>
        <v>http://dx.doi.org/10.2166/wst.2015.210</v>
      </c>
      <c r="BG639" s="1" t="s">
        <v>74</v>
      </c>
      <c r="BH639" s="1" t="s">
        <v>74</v>
      </c>
      <c r="BI639" s="1" t="s">
        <v>74</v>
      </c>
      <c r="BJ639" s="1" t="s">
        <v>74</v>
      </c>
      <c r="BK639" s="1" t="s">
        <v>74</v>
      </c>
      <c r="BL639" s="1" t="s">
        <v>74</v>
      </c>
      <c r="BM639" s="1" t="s">
        <v>74</v>
      </c>
      <c r="BN639" s="1">
        <v>2.6177405E7</v>
      </c>
      <c r="BO639" s="1" t="s">
        <v>74</v>
      </c>
      <c r="BP639" s="1" t="s">
        <v>74</v>
      </c>
      <c r="BQ639" s="1" t="s">
        <v>74</v>
      </c>
      <c r="BR639" s="1" t="s">
        <v>74</v>
      </c>
      <c r="BS639" s="1" t="s">
        <v>5942</v>
      </c>
      <c r="BT639" s="1" t="str">
        <f>HYPERLINK("https%3A%2F%2Fwww.webofscience.com%2Fwos%2Fwoscc%2Ffull-record%2FWOS:000358048500008","View Full Record in Web of Science")</f>
        <v>View Full Record in Web of Science</v>
      </c>
    </row>
    <row r="640" ht="12.75" customHeight="1">
      <c r="A640" s="1" t="s">
        <v>72</v>
      </c>
      <c r="B640" s="1" t="s">
        <v>5943</v>
      </c>
      <c r="C640" s="1" t="s">
        <v>74</v>
      </c>
      <c r="D640" s="1" t="s">
        <v>74</v>
      </c>
      <c r="E640" s="1" t="s">
        <v>74</v>
      </c>
      <c r="F640" s="1" t="s">
        <v>5944</v>
      </c>
      <c r="G640" s="1" t="s">
        <v>74</v>
      </c>
      <c r="H640" s="1" t="s">
        <v>74</v>
      </c>
      <c r="I640" s="1" t="s">
        <v>5945</v>
      </c>
      <c r="J640" s="1" t="s">
        <v>5946</v>
      </c>
      <c r="K640" s="1" t="s">
        <v>74</v>
      </c>
      <c r="L640" s="1" t="s">
        <v>74</v>
      </c>
      <c r="M640" s="1" t="s">
        <v>74</v>
      </c>
      <c r="N640" s="1" t="s">
        <v>74</v>
      </c>
      <c r="O640" s="1" t="s">
        <v>74</v>
      </c>
      <c r="P640" s="1" t="s">
        <v>74</v>
      </c>
      <c r="Q640" s="1" t="s">
        <v>74</v>
      </c>
      <c r="R640" s="1" t="s">
        <v>74</v>
      </c>
      <c r="S640" s="1" t="s">
        <v>74</v>
      </c>
      <c r="T640" s="1" t="s">
        <v>74</v>
      </c>
      <c r="U640" s="1" t="s">
        <v>74</v>
      </c>
      <c r="V640" s="1" t="s">
        <v>5947</v>
      </c>
      <c r="W640" s="1" t="s">
        <v>74</v>
      </c>
      <c r="X640" s="1" t="s">
        <v>74</v>
      </c>
      <c r="Y640" s="1" t="s">
        <v>74</v>
      </c>
      <c r="Z640" s="1" t="s">
        <v>74</v>
      </c>
      <c r="AA640" s="1" t="s">
        <v>5948</v>
      </c>
      <c r="AB640" s="1" t="s">
        <v>5949</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5950</v>
      </c>
      <c r="AP640" s="1" t="s">
        <v>74</v>
      </c>
      <c r="AQ640" s="1" t="s">
        <v>74</v>
      </c>
      <c r="AR640" s="1" t="s">
        <v>74</v>
      </c>
      <c r="AS640" s="1" t="s">
        <v>74</v>
      </c>
      <c r="AT640" s="1" t="s">
        <v>501</v>
      </c>
      <c r="AU640" s="1">
        <v>2014.0</v>
      </c>
      <c r="AV640" s="1">
        <v>28.0</v>
      </c>
      <c r="AW640" s="1">
        <v>4.0</v>
      </c>
      <c r="AX640" s="1" t="s">
        <v>74</v>
      </c>
      <c r="AY640" s="1" t="s">
        <v>74</v>
      </c>
      <c r="AZ640" s="1" t="s">
        <v>74</v>
      </c>
      <c r="BA640" s="1" t="s">
        <v>74</v>
      </c>
      <c r="BB640" s="1">
        <v>467.0</v>
      </c>
      <c r="BC640" s="1">
        <v>482.0</v>
      </c>
      <c r="BD640" s="1" t="s">
        <v>74</v>
      </c>
      <c r="BE640" s="1" t="s">
        <v>5951</v>
      </c>
      <c r="BF640" s="2" t="str">
        <f>HYPERLINK("http://dx.doi.org/10.1214/13-BJPS218","http://dx.doi.org/10.1214/13-BJPS218")</f>
        <v>http://dx.doi.org/10.1214/13-BJPS218</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5952</v>
      </c>
      <c r="BT640" s="1" t="str">
        <f>HYPERLINK("https%3A%2F%2Fwww.webofscience.com%2Fwos%2Fwoscc%2Ffull-record%2FWOS:000340320000002","View Full Record in Web of Science")</f>
        <v>View Full Record in Web of Science</v>
      </c>
    </row>
    <row r="641" ht="12.75" customHeight="1">
      <c r="A641" s="1" t="s">
        <v>72</v>
      </c>
      <c r="B641" s="1" t="s">
        <v>5953</v>
      </c>
      <c r="C641" s="1" t="s">
        <v>74</v>
      </c>
      <c r="D641" s="1" t="s">
        <v>74</v>
      </c>
      <c r="E641" s="1" t="s">
        <v>74</v>
      </c>
      <c r="F641" s="1" t="s">
        <v>5954</v>
      </c>
      <c r="G641" s="1" t="s">
        <v>74</v>
      </c>
      <c r="H641" s="1" t="s">
        <v>74</v>
      </c>
      <c r="I641" s="1" t="s">
        <v>5955</v>
      </c>
      <c r="J641" s="1" t="s">
        <v>5956</v>
      </c>
      <c r="K641" s="1" t="s">
        <v>74</v>
      </c>
      <c r="L641" s="1" t="s">
        <v>74</v>
      </c>
      <c r="M641" s="1" t="s">
        <v>74</v>
      </c>
      <c r="N641" s="1" t="s">
        <v>74</v>
      </c>
      <c r="O641" s="1" t="s">
        <v>74</v>
      </c>
      <c r="P641" s="1" t="s">
        <v>74</v>
      </c>
      <c r="Q641" s="1" t="s">
        <v>74</v>
      </c>
      <c r="R641" s="1" t="s">
        <v>74</v>
      </c>
      <c r="S641" s="1" t="s">
        <v>74</v>
      </c>
      <c r="T641" s="1" t="s">
        <v>74</v>
      </c>
      <c r="U641" s="1" t="s">
        <v>74</v>
      </c>
      <c r="V641" s="1" t="s">
        <v>5957</v>
      </c>
      <c r="W641" s="1" t="s">
        <v>74</v>
      </c>
      <c r="X641" s="1" t="s">
        <v>74</v>
      </c>
      <c r="Y641" s="1" t="s">
        <v>74</v>
      </c>
      <c r="Z641" s="1" t="s">
        <v>74</v>
      </c>
      <c r="AA641" s="1" t="s">
        <v>5958</v>
      </c>
      <c r="AB641" s="1" t="s">
        <v>5959</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5960</v>
      </c>
      <c r="AP641" s="1" t="s">
        <v>5961</v>
      </c>
      <c r="AQ641" s="1" t="s">
        <v>74</v>
      </c>
      <c r="AR641" s="1" t="s">
        <v>74</v>
      </c>
      <c r="AS641" s="1" t="s">
        <v>74</v>
      </c>
      <c r="AT641" s="1" t="s">
        <v>160</v>
      </c>
      <c r="AU641" s="1">
        <v>2013.0</v>
      </c>
      <c r="AV641" s="1">
        <v>6.0</v>
      </c>
      <c r="AW641" s="1">
        <v>12.0</v>
      </c>
      <c r="AX641" s="1" t="s">
        <v>74</v>
      </c>
      <c r="AY641" s="1" t="s">
        <v>74</v>
      </c>
      <c r="AZ641" s="1" t="s">
        <v>74</v>
      </c>
      <c r="BA641" s="1" t="s">
        <v>74</v>
      </c>
      <c r="BB641" s="1">
        <v>3345.0</v>
      </c>
      <c r="BC641" s="1">
        <v>3352.0</v>
      </c>
      <c r="BD641" s="1" t="s">
        <v>74</v>
      </c>
      <c r="BE641" s="1" t="s">
        <v>5962</v>
      </c>
      <c r="BF641" s="2" t="str">
        <f>HYPERLINK("http://dx.doi.org/10.1007/s11947-012-0998-z","http://dx.doi.org/10.1007/s11947-012-0998-z")</f>
        <v>http://dx.doi.org/10.1007/s11947-012-0998-z</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5963</v>
      </c>
      <c r="BT641" s="1" t="str">
        <f>HYPERLINK("https%3A%2F%2Fwww.webofscience.com%2Fwos%2Fwoscc%2Ffull-record%2FWOS:000325869900006","View Full Record in Web of Science")</f>
        <v>View Full Record in Web of Science</v>
      </c>
    </row>
    <row r="642" ht="12.75" customHeight="1">
      <c r="A642" s="1" t="s">
        <v>72</v>
      </c>
      <c r="B642" s="1" t="s">
        <v>5964</v>
      </c>
      <c r="C642" s="1" t="s">
        <v>74</v>
      </c>
      <c r="D642" s="1" t="s">
        <v>74</v>
      </c>
      <c r="E642" s="1" t="s">
        <v>74</v>
      </c>
      <c r="F642" s="1" t="s">
        <v>5965</v>
      </c>
      <c r="G642" s="1" t="s">
        <v>74</v>
      </c>
      <c r="H642" s="1" t="s">
        <v>74</v>
      </c>
      <c r="I642" s="1" t="s">
        <v>5966</v>
      </c>
      <c r="J642" s="1" t="s">
        <v>2967</v>
      </c>
      <c r="K642" s="1" t="s">
        <v>74</v>
      </c>
      <c r="L642" s="1" t="s">
        <v>74</v>
      </c>
      <c r="M642" s="1" t="s">
        <v>74</v>
      </c>
      <c r="N642" s="1" t="s">
        <v>74</v>
      </c>
      <c r="O642" s="1" t="s">
        <v>74</v>
      </c>
      <c r="P642" s="1" t="s">
        <v>74</v>
      </c>
      <c r="Q642" s="1" t="s">
        <v>74</v>
      </c>
      <c r="R642" s="1" t="s">
        <v>74</v>
      </c>
      <c r="S642" s="1" t="s">
        <v>74</v>
      </c>
      <c r="T642" s="1" t="s">
        <v>74</v>
      </c>
      <c r="U642" s="1" t="s">
        <v>74</v>
      </c>
      <c r="V642" s="1" t="s">
        <v>5967</v>
      </c>
      <c r="W642" s="1" t="s">
        <v>74</v>
      </c>
      <c r="X642" s="1" t="s">
        <v>74</v>
      </c>
      <c r="Y642" s="1" t="s">
        <v>74</v>
      </c>
      <c r="Z642" s="1" t="s">
        <v>74</v>
      </c>
      <c r="AA642" s="1" t="s">
        <v>5968</v>
      </c>
      <c r="AB642" s="1" t="s">
        <v>5969</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2970</v>
      </c>
      <c r="AP642" s="1" t="s">
        <v>2971</v>
      </c>
      <c r="AQ642" s="1" t="s">
        <v>74</v>
      </c>
      <c r="AR642" s="1" t="s">
        <v>74</v>
      </c>
      <c r="AS642" s="1" t="s">
        <v>74</v>
      </c>
      <c r="AT642" s="1" t="s">
        <v>174</v>
      </c>
      <c r="AU642" s="1">
        <v>2010.0</v>
      </c>
      <c r="AV642" s="1">
        <v>22.0</v>
      </c>
      <c r="AW642" s="1">
        <v>2.0</v>
      </c>
      <c r="AX642" s="1" t="s">
        <v>74</v>
      </c>
      <c r="AY642" s="1" t="s">
        <v>74</v>
      </c>
      <c r="AZ642" s="1" t="s">
        <v>74</v>
      </c>
      <c r="BA642" s="1" t="s">
        <v>74</v>
      </c>
      <c r="BB642" s="1">
        <v>163.0</v>
      </c>
      <c r="BC642" s="1">
        <v>169.0</v>
      </c>
      <c r="BD642" s="1" t="s">
        <v>74</v>
      </c>
      <c r="BE642" s="1" t="s">
        <v>5970</v>
      </c>
      <c r="BF642" s="2" t="str">
        <f>HYPERLINK("http://dx.doi.org/10.1017/S0954102009990733","http://dx.doi.org/10.1017/S0954102009990733")</f>
        <v>http://dx.doi.org/10.1017/S0954102009990733</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5971</v>
      </c>
      <c r="BT642" s="1" t="str">
        <f>HYPERLINK("https%3A%2F%2Fwww.webofscience.com%2Fwos%2Fwoscc%2Ffull-record%2FWOS:000276869200008","View Full Record in Web of Science")</f>
        <v>View Full Record in Web of Science</v>
      </c>
    </row>
    <row r="643" ht="12.75" customHeight="1">
      <c r="A643" s="1" t="s">
        <v>72</v>
      </c>
      <c r="B643" s="1" t="s">
        <v>5972</v>
      </c>
      <c r="C643" s="1" t="s">
        <v>74</v>
      </c>
      <c r="D643" s="1" t="s">
        <v>74</v>
      </c>
      <c r="E643" s="1" t="s">
        <v>74</v>
      </c>
      <c r="F643" s="1" t="s">
        <v>5973</v>
      </c>
      <c r="G643" s="1" t="s">
        <v>74</v>
      </c>
      <c r="H643" s="1" t="s">
        <v>74</v>
      </c>
      <c r="I643" s="1" t="s">
        <v>5974</v>
      </c>
      <c r="J643" s="1" t="s">
        <v>2194</v>
      </c>
      <c r="K643" s="1" t="s">
        <v>74</v>
      </c>
      <c r="L643" s="1" t="s">
        <v>74</v>
      </c>
      <c r="M643" s="1" t="s">
        <v>74</v>
      </c>
      <c r="N643" s="1" t="s">
        <v>74</v>
      </c>
      <c r="O643" s="1" t="s">
        <v>74</v>
      </c>
      <c r="P643" s="1" t="s">
        <v>74</v>
      </c>
      <c r="Q643" s="1" t="s">
        <v>74</v>
      </c>
      <c r="R643" s="1" t="s">
        <v>74</v>
      </c>
      <c r="S643" s="1" t="s">
        <v>74</v>
      </c>
      <c r="T643" s="1" t="s">
        <v>74</v>
      </c>
      <c r="U643" s="1" t="s">
        <v>74</v>
      </c>
      <c r="V643" s="1" t="s">
        <v>5975</v>
      </c>
      <c r="W643" s="1" t="s">
        <v>74</v>
      </c>
      <c r="X643" s="1" t="s">
        <v>74</v>
      </c>
      <c r="Y643" s="1" t="s">
        <v>74</v>
      </c>
      <c r="Z643" s="1" t="s">
        <v>74</v>
      </c>
      <c r="AA643" s="1" t="s">
        <v>5976</v>
      </c>
      <c r="AB643" s="1" t="s">
        <v>5977</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2198</v>
      </c>
      <c r="AP643" s="1" t="s">
        <v>2199</v>
      </c>
      <c r="AQ643" s="1" t="s">
        <v>74</v>
      </c>
      <c r="AR643" s="1" t="s">
        <v>74</v>
      </c>
      <c r="AS643" s="1" t="s">
        <v>74</v>
      </c>
      <c r="AT643" s="1" t="s">
        <v>319</v>
      </c>
      <c r="AU643" s="1">
        <v>2010.0</v>
      </c>
      <c r="AV643" s="1">
        <v>43.0</v>
      </c>
      <c r="AW643" s="1">
        <v>2.0</v>
      </c>
      <c r="AX643" s="1" t="s">
        <v>74</v>
      </c>
      <c r="AY643" s="1" t="s">
        <v>74</v>
      </c>
      <c r="AZ643" s="1" t="s">
        <v>74</v>
      </c>
      <c r="BA643" s="1" t="s">
        <v>74</v>
      </c>
      <c r="BB643" s="1">
        <v>238.0</v>
      </c>
      <c r="BC643" s="1">
        <v>246.0</v>
      </c>
      <c r="BD643" s="1" t="s">
        <v>74</v>
      </c>
      <c r="BE643" s="1" t="s">
        <v>5978</v>
      </c>
      <c r="BF643" s="2" t="str">
        <f>HYPERLINK("http://dx.doi.org/10.1016/j.lwt.2009.07.010","http://dx.doi.org/10.1016/j.lwt.2009.07.010")</f>
        <v>http://dx.doi.org/10.1016/j.lwt.2009.07.010</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5979</v>
      </c>
      <c r="BT643" s="1" t="str">
        <f>HYPERLINK("https%3A%2F%2Fwww.webofscience.com%2Fwos%2Fwoscc%2Ffull-record%2FWOS:000272198400007","View Full Record in Web of Science")</f>
        <v>View Full Record in Web of Science</v>
      </c>
    </row>
    <row r="644" ht="12.75" customHeight="1">
      <c r="A644" s="1" t="s">
        <v>72</v>
      </c>
      <c r="B644" s="1" t="s">
        <v>5980</v>
      </c>
      <c r="C644" s="1" t="s">
        <v>74</v>
      </c>
      <c r="D644" s="1" t="s">
        <v>74</v>
      </c>
      <c r="E644" s="1" t="s">
        <v>74</v>
      </c>
      <c r="F644" s="1" t="s">
        <v>5981</v>
      </c>
      <c r="G644" s="1" t="s">
        <v>74</v>
      </c>
      <c r="H644" s="1" t="s">
        <v>74</v>
      </c>
      <c r="I644" s="1" t="s">
        <v>5982</v>
      </c>
      <c r="J644" s="1" t="s">
        <v>5983</v>
      </c>
      <c r="K644" s="1" t="s">
        <v>74</v>
      </c>
      <c r="L644" s="1" t="s">
        <v>74</v>
      </c>
      <c r="M644" s="1" t="s">
        <v>74</v>
      </c>
      <c r="N644" s="1" t="s">
        <v>74</v>
      </c>
      <c r="O644" s="1" t="s">
        <v>74</v>
      </c>
      <c r="P644" s="1" t="s">
        <v>74</v>
      </c>
      <c r="Q644" s="1" t="s">
        <v>74</v>
      </c>
      <c r="R644" s="1" t="s">
        <v>74</v>
      </c>
      <c r="S644" s="1" t="s">
        <v>74</v>
      </c>
      <c r="T644" s="1" t="s">
        <v>74</v>
      </c>
      <c r="U644" s="1" t="s">
        <v>74</v>
      </c>
      <c r="V644" s="1" t="s">
        <v>5984</v>
      </c>
      <c r="W644" s="1" t="s">
        <v>74</v>
      </c>
      <c r="X644" s="1" t="s">
        <v>74</v>
      </c>
      <c r="Y644" s="1" t="s">
        <v>74</v>
      </c>
      <c r="Z644" s="1" t="s">
        <v>74</v>
      </c>
      <c r="AA644" s="1" t="s">
        <v>5985</v>
      </c>
      <c r="AB644" s="1" t="s">
        <v>74</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5986</v>
      </c>
      <c r="AP644" s="1" t="s">
        <v>5987</v>
      </c>
      <c r="AQ644" s="1" t="s">
        <v>74</v>
      </c>
      <c r="AR644" s="1" t="s">
        <v>74</v>
      </c>
      <c r="AS644" s="1" t="s">
        <v>74</v>
      </c>
      <c r="AT644" s="1" t="s">
        <v>160</v>
      </c>
      <c r="AU644" s="1">
        <v>2008.0</v>
      </c>
      <c r="AV644" s="1">
        <v>78.0</v>
      </c>
      <c r="AW644" s="1">
        <v>3.0</v>
      </c>
      <c r="AX644" s="1" t="s">
        <v>74</v>
      </c>
      <c r="AY644" s="1" t="s">
        <v>74</v>
      </c>
      <c r="AZ644" s="1" t="s">
        <v>74</v>
      </c>
      <c r="BA644" s="1" t="s">
        <v>74</v>
      </c>
      <c r="BB644" s="1">
        <v>365.0</v>
      </c>
      <c r="BC644" s="1">
        <v>382.0</v>
      </c>
      <c r="BD644" s="1" t="s">
        <v>74</v>
      </c>
      <c r="BE644" s="1" t="s">
        <v>5988</v>
      </c>
      <c r="BF644" s="2" t="str">
        <f>HYPERLINK("http://dx.doi.org/10.1017/S0004972708000713","http://dx.doi.org/10.1017/S0004972708000713")</f>
        <v>http://dx.doi.org/10.1017/S0004972708000713</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5989</v>
      </c>
      <c r="BT644" s="1" t="str">
        <f>HYPERLINK("https%3A%2F%2Fwww.webofscience.com%2Fwos%2Fwoscc%2Ffull-record%2FWOS:000263583200003","View Full Record in Web of Science")</f>
        <v>View Full Record in Web of Science</v>
      </c>
    </row>
    <row r="645" ht="12.75" customHeight="1">
      <c r="A645" s="1" t="s">
        <v>72</v>
      </c>
      <c r="B645" s="1" t="s">
        <v>5990</v>
      </c>
      <c r="C645" s="1" t="s">
        <v>74</v>
      </c>
      <c r="D645" s="1" t="s">
        <v>74</v>
      </c>
      <c r="E645" s="1" t="s">
        <v>74</v>
      </c>
      <c r="F645" s="1" t="s">
        <v>5991</v>
      </c>
      <c r="G645" s="1" t="s">
        <v>74</v>
      </c>
      <c r="H645" s="1" t="s">
        <v>74</v>
      </c>
      <c r="I645" s="1" t="s">
        <v>5992</v>
      </c>
      <c r="J645" s="1" t="s">
        <v>5993</v>
      </c>
      <c r="K645" s="1" t="s">
        <v>74</v>
      </c>
      <c r="L645" s="1" t="s">
        <v>74</v>
      </c>
      <c r="M645" s="1" t="s">
        <v>74</v>
      </c>
      <c r="N645" s="1" t="s">
        <v>74</v>
      </c>
      <c r="O645" s="1" t="s">
        <v>74</v>
      </c>
      <c r="P645" s="1" t="s">
        <v>74</v>
      </c>
      <c r="Q645" s="1" t="s">
        <v>74</v>
      </c>
      <c r="R645" s="1" t="s">
        <v>74</v>
      </c>
      <c r="S645" s="1" t="s">
        <v>74</v>
      </c>
      <c r="T645" s="1" t="s">
        <v>74</v>
      </c>
      <c r="U645" s="1" t="s">
        <v>74</v>
      </c>
      <c r="V645" s="1" t="s">
        <v>5994</v>
      </c>
      <c r="W645" s="1" t="s">
        <v>74</v>
      </c>
      <c r="X645" s="1" t="s">
        <v>74</v>
      </c>
      <c r="Y645" s="1" t="s">
        <v>74</v>
      </c>
      <c r="Z645" s="1" t="s">
        <v>74</v>
      </c>
      <c r="AA645" s="1" t="s">
        <v>554</v>
      </c>
      <c r="AB645" s="1" t="s">
        <v>5995</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5996</v>
      </c>
      <c r="AP645" s="1" t="s">
        <v>74</v>
      </c>
      <c r="AQ645" s="1" t="s">
        <v>74</v>
      </c>
      <c r="AR645" s="1" t="s">
        <v>74</v>
      </c>
      <c r="AS645" s="1" t="s">
        <v>74</v>
      </c>
      <c r="AT645" s="1" t="s">
        <v>353</v>
      </c>
      <c r="AU645" s="1">
        <v>2008.0</v>
      </c>
      <c r="AV645" s="1">
        <v>70.0</v>
      </c>
      <c r="AW645" s="1" t="s">
        <v>5997</v>
      </c>
      <c r="AX645" s="1" t="s">
        <v>74</v>
      </c>
      <c r="AY645" s="1" t="s">
        <v>74</v>
      </c>
      <c r="AZ645" s="1" t="s">
        <v>74</v>
      </c>
      <c r="BA645" s="1" t="s">
        <v>74</v>
      </c>
      <c r="BB645" s="1">
        <v>137.0</v>
      </c>
      <c r="BC645" s="1">
        <v>148.0</v>
      </c>
      <c r="BD645" s="1" t="s">
        <v>74</v>
      </c>
      <c r="BE645" s="1" t="s">
        <v>5998</v>
      </c>
      <c r="BF645" s="2" t="str">
        <f>HYPERLINK("http://dx.doi.org/10.1007/s11085-008-9107-0","http://dx.doi.org/10.1007/s11085-008-9107-0")</f>
        <v>http://dx.doi.org/10.1007/s11085-008-9107-0</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5999</v>
      </c>
      <c r="BT645" s="1" t="str">
        <f>HYPERLINK("https%3A%2F%2Fwww.webofscience.com%2Fwos%2Fwoscc%2Ffull-record%2FWOS:000258456500002","View Full Record in Web of Science")</f>
        <v>View Full Record in Web of Science</v>
      </c>
    </row>
    <row r="646" ht="12.75" customHeight="1">
      <c r="A646" s="1" t="s">
        <v>72</v>
      </c>
      <c r="B646" s="1" t="s">
        <v>6000</v>
      </c>
      <c r="C646" s="1" t="s">
        <v>74</v>
      </c>
      <c r="D646" s="1" t="s">
        <v>74</v>
      </c>
      <c r="E646" s="1" t="s">
        <v>74</v>
      </c>
      <c r="F646" s="1" t="s">
        <v>6001</v>
      </c>
      <c r="G646" s="1" t="s">
        <v>74</v>
      </c>
      <c r="H646" s="1" t="s">
        <v>74</v>
      </c>
      <c r="I646" s="1" t="s">
        <v>6002</v>
      </c>
      <c r="J646" s="1" t="s">
        <v>6003</v>
      </c>
      <c r="K646" s="1" t="s">
        <v>74</v>
      </c>
      <c r="L646" s="1" t="s">
        <v>74</v>
      </c>
      <c r="M646" s="1" t="s">
        <v>74</v>
      </c>
      <c r="N646" s="1" t="s">
        <v>74</v>
      </c>
      <c r="O646" s="1" t="s">
        <v>74</v>
      </c>
      <c r="P646" s="1" t="s">
        <v>74</v>
      </c>
      <c r="Q646" s="1" t="s">
        <v>74</v>
      </c>
      <c r="R646" s="1" t="s">
        <v>74</v>
      </c>
      <c r="S646" s="1" t="s">
        <v>74</v>
      </c>
      <c r="T646" s="1" t="s">
        <v>74</v>
      </c>
      <c r="U646" s="1" t="s">
        <v>74</v>
      </c>
      <c r="V646" s="1" t="s">
        <v>6004</v>
      </c>
      <c r="W646" s="1" t="s">
        <v>74</v>
      </c>
      <c r="X646" s="1" t="s">
        <v>74</v>
      </c>
      <c r="Y646" s="1" t="s">
        <v>74</v>
      </c>
      <c r="Z646" s="1" t="s">
        <v>74</v>
      </c>
      <c r="AA646" s="1" t="s">
        <v>6005</v>
      </c>
      <c r="AB646" s="1" t="s">
        <v>6006</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6007</v>
      </c>
      <c r="AP646" s="1" t="s">
        <v>74</v>
      </c>
      <c r="AQ646" s="1" t="s">
        <v>74</v>
      </c>
      <c r="AR646" s="1" t="s">
        <v>74</v>
      </c>
      <c r="AS646" s="1" t="s">
        <v>74</v>
      </c>
      <c r="AT646" s="1" t="s">
        <v>82</v>
      </c>
      <c r="AU646" s="1">
        <v>2007.0</v>
      </c>
      <c r="AV646" s="1">
        <v>24.0</v>
      </c>
      <c r="AW646" s="1">
        <v>1.0</v>
      </c>
      <c r="AX646" s="1" t="s">
        <v>74</v>
      </c>
      <c r="AY646" s="1" t="s">
        <v>74</v>
      </c>
      <c r="AZ646" s="1" t="s">
        <v>74</v>
      </c>
      <c r="BA646" s="1" t="s">
        <v>74</v>
      </c>
      <c r="BB646" s="1">
        <v>53.0</v>
      </c>
      <c r="BC646" s="1">
        <v>64.0</v>
      </c>
      <c r="BD646" s="1" t="s">
        <v>74</v>
      </c>
      <c r="BE646" s="1" t="s">
        <v>74</v>
      </c>
      <c r="BF646" s="1" t="s">
        <v>74</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6008</v>
      </c>
      <c r="BT646" s="1" t="str">
        <f>HYPERLINK("https%3A%2F%2Fwww.webofscience.com%2Fwos%2Fwoscc%2Ffull-record%2FWOS:000246895100007","View Full Record in Web of Science")</f>
        <v>View Full Record in Web of Science</v>
      </c>
    </row>
    <row r="647" ht="12.75" customHeight="1">
      <c r="A647" s="1" t="s">
        <v>72</v>
      </c>
      <c r="B647" s="1" t="s">
        <v>6009</v>
      </c>
      <c r="C647" s="1" t="s">
        <v>74</v>
      </c>
      <c r="D647" s="1" t="s">
        <v>74</v>
      </c>
      <c r="E647" s="1" t="s">
        <v>74</v>
      </c>
      <c r="F647" s="1" t="s">
        <v>6010</v>
      </c>
      <c r="G647" s="1" t="s">
        <v>74</v>
      </c>
      <c r="H647" s="1" t="s">
        <v>74</v>
      </c>
      <c r="I647" s="1" t="s">
        <v>6011</v>
      </c>
      <c r="J647" s="1" t="s">
        <v>3181</v>
      </c>
      <c r="K647" s="1" t="s">
        <v>74</v>
      </c>
      <c r="L647" s="1" t="s">
        <v>74</v>
      </c>
      <c r="M647" s="1" t="s">
        <v>74</v>
      </c>
      <c r="N647" s="1" t="s">
        <v>74</v>
      </c>
      <c r="O647" s="1" t="s">
        <v>74</v>
      </c>
      <c r="P647" s="1" t="s">
        <v>74</v>
      </c>
      <c r="Q647" s="1" t="s">
        <v>74</v>
      </c>
      <c r="R647" s="1" t="s">
        <v>74</v>
      </c>
      <c r="S647" s="1" t="s">
        <v>74</v>
      </c>
      <c r="T647" s="1" t="s">
        <v>74</v>
      </c>
      <c r="U647" s="1" t="s">
        <v>74</v>
      </c>
      <c r="V647" s="1" t="s">
        <v>6012</v>
      </c>
      <c r="W647" s="1" t="s">
        <v>74</v>
      </c>
      <c r="X647" s="1" t="s">
        <v>74</v>
      </c>
      <c r="Y647" s="1" t="s">
        <v>74</v>
      </c>
      <c r="Z647" s="1" t="s">
        <v>74</v>
      </c>
      <c r="AA647" s="1" t="s">
        <v>6013</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3185</v>
      </c>
      <c r="AP647" s="1" t="s">
        <v>74</v>
      </c>
      <c r="AQ647" s="1" t="s">
        <v>74</v>
      </c>
      <c r="AR647" s="1" t="s">
        <v>74</v>
      </c>
      <c r="AS647" s="1" t="s">
        <v>74</v>
      </c>
      <c r="AT647" s="1" t="s">
        <v>6014</v>
      </c>
      <c r="AU647" s="1">
        <v>2007.0</v>
      </c>
      <c r="AV647" s="1">
        <v>10.0</v>
      </c>
      <c r="AW647" s="1">
        <v>1.0</v>
      </c>
      <c r="AX647" s="1" t="s">
        <v>74</v>
      </c>
      <c r="AY647" s="1" t="s">
        <v>74</v>
      </c>
      <c r="AZ647" s="1" t="s">
        <v>74</v>
      </c>
      <c r="BA647" s="1" t="s">
        <v>74</v>
      </c>
      <c r="BB647" s="1">
        <v>149.0</v>
      </c>
      <c r="BC647" s="1">
        <v>159.0</v>
      </c>
      <c r="BD647" s="1" t="s">
        <v>74</v>
      </c>
      <c r="BE647" s="1" t="s">
        <v>6015</v>
      </c>
      <c r="BF647" s="2" t="str">
        <f>HYPERLINK("http://dx.doi.org/10.2225/vol10-issue1-fulltext-6","http://dx.doi.org/10.2225/vol10-issue1-fulltext-6")</f>
        <v>http://dx.doi.org/10.2225/vol10-issue1-fulltext-6</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6016</v>
      </c>
      <c r="BT647" s="1" t="str">
        <f>HYPERLINK("https%3A%2F%2Fwww.webofscience.com%2Fwos%2Fwoscc%2Ffull-record%2FWOS:000248639200014","View Full Record in Web of Science")</f>
        <v>View Full Record in Web of Science</v>
      </c>
    </row>
    <row r="648" ht="12.75" customHeight="1">
      <c r="A648" s="1" t="s">
        <v>72</v>
      </c>
      <c r="B648" s="1" t="s">
        <v>6017</v>
      </c>
      <c r="C648" s="1" t="s">
        <v>74</v>
      </c>
      <c r="D648" s="1" t="s">
        <v>74</v>
      </c>
      <c r="E648" s="1" t="s">
        <v>74</v>
      </c>
      <c r="F648" s="1" t="s">
        <v>6018</v>
      </c>
      <c r="G648" s="1" t="s">
        <v>74</v>
      </c>
      <c r="H648" s="1" t="s">
        <v>74</v>
      </c>
      <c r="I648" s="1" t="s">
        <v>6019</v>
      </c>
      <c r="J648" s="1" t="s">
        <v>6020</v>
      </c>
      <c r="K648" s="1" t="s">
        <v>74</v>
      </c>
      <c r="L648" s="1" t="s">
        <v>74</v>
      </c>
      <c r="M648" s="1" t="s">
        <v>74</v>
      </c>
      <c r="N648" s="1" t="s">
        <v>74</v>
      </c>
      <c r="O648" s="1" t="s">
        <v>6021</v>
      </c>
      <c r="P648" s="1" t="s">
        <v>6022</v>
      </c>
      <c r="Q648" s="1" t="s">
        <v>6023</v>
      </c>
      <c r="R648" s="1" t="s">
        <v>74</v>
      </c>
      <c r="S648" s="1" t="s">
        <v>6024</v>
      </c>
      <c r="T648" s="1" t="s">
        <v>74</v>
      </c>
      <c r="U648" s="1" t="s">
        <v>74</v>
      </c>
      <c r="V648" s="1" t="s">
        <v>6025</v>
      </c>
      <c r="W648" s="1" t="s">
        <v>74</v>
      </c>
      <c r="X648" s="1" t="s">
        <v>74</v>
      </c>
      <c r="Y648" s="1" t="s">
        <v>74</v>
      </c>
      <c r="Z648" s="1" t="s">
        <v>74</v>
      </c>
      <c r="AA648" s="1" t="s">
        <v>74</v>
      </c>
      <c r="AB648" s="1" t="s">
        <v>5479</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6026</v>
      </c>
      <c r="AP648" s="1" t="s">
        <v>74</v>
      </c>
      <c r="AQ648" s="1" t="s">
        <v>74</v>
      </c>
      <c r="AR648" s="1" t="s">
        <v>74</v>
      </c>
      <c r="AS648" s="1" t="s">
        <v>74</v>
      </c>
      <c r="AT648" s="1" t="s">
        <v>343</v>
      </c>
      <c r="AU648" s="1">
        <v>2006.0</v>
      </c>
      <c r="AV648" s="1">
        <v>153.0</v>
      </c>
      <c r="AW648" s="1">
        <v>4.0</v>
      </c>
      <c r="AX648" s="1" t="s">
        <v>74</v>
      </c>
      <c r="AY648" s="1" t="s">
        <v>74</v>
      </c>
      <c r="AZ648" s="1" t="s">
        <v>74</v>
      </c>
      <c r="BA648" s="1" t="s">
        <v>74</v>
      </c>
      <c r="BB648" s="1">
        <v>299.0</v>
      </c>
      <c r="BC648" s="1">
        <v>306.0</v>
      </c>
      <c r="BD648" s="1" t="s">
        <v>74</v>
      </c>
      <c r="BE648" s="1" t="s">
        <v>6027</v>
      </c>
      <c r="BF648" s="2" t="str">
        <f>HYPERLINK("http://dx.doi.org/10.1049/ip-cds:20050117","http://dx.doi.org/10.1049/ip-cds:20050117")</f>
        <v>http://dx.doi.org/10.1049/ip-cds:20050117</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6028</v>
      </c>
      <c r="BT648" s="1" t="str">
        <f>HYPERLINK("https%3A%2F%2Fwww.webofscience.com%2Fwos%2Fwoscc%2Ffull-record%2FWOS:000240610600003","View Full Record in Web of Science")</f>
        <v>View Full Record in Web of Science</v>
      </c>
    </row>
    <row r="649" ht="12.75" customHeight="1">
      <c r="A649" s="1" t="s">
        <v>72</v>
      </c>
      <c r="B649" s="1" t="s">
        <v>6029</v>
      </c>
      <c r="C649" s="1" t="s">
        <v>74</v>
      </c>
      <c r="D649" s="1" t="s">
        <v>74</v>
      </c>
      <c r="E649" s="1" t="s">
        <v>74</v>
      </c>
      <c r="F649" s="1" t="s">
        <v>6030</v>
      </c>
      <c r="G649" s="1" t="s">
        <v>74</v>
      </c>
      <c r="H649" s="1" t="s">
        <v>74</v>
      </c>
      <c r="I649" s="1" t="s">
        <v>6031</v>
      </c>
      <c r="J649" s="1" t="s">
        <v>6032</v>
      </c>
      <c r="K649" s="1" t="s">
        <v>74</v>
      </c>
      <c r="L649" s="1" t="s">
        <v>74</v>
      </c>
      <c r="M649" s="1" t="s">
        <v>74</v>
      </c>
      <c r="N649" s="1" t="s">
        <v>74</v>
      </c>
      <c r="O649" s="1" t="s">
        <v>74</v>
      </c>
      <c r="P649" s="1" t="s">
        <v>74</v>
      </c>
      <c r="Q649" s="1" t="s">
        <v>74</v>
      </c>
      <c r="R649" s="1" t="s">
        <v>74</v>
      </c>
      <c r="S649" s="1" t="s">
        <v>74</v>
      </c>
      <c r="T649" s="1" t="s">
        <v>74</v>
      </c>
      <c r="U649" s="1" t="s">
        <v>74</v>
      </c>
      <c r="V649" s="1" t="s">
        <v>6033</v>
      </c>
      <c r="W649" s="1" t="s">
        <v>74</v>
      </c>
      <c r="X649" s="1" t="s">
        <v>74</v>
      </c>
      <c r="Y649" s="1" t="s">
        <v>74</v>
      </c>
      <c r="Z649" s="1" t="s">
        <v>74</v>
      </c>
      <c r="AA649" s="1" t="s">
        <v>6034</v>
      </c>
      <c r="AB649" s="1" t="s">
        <v>6035</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6036</v>
      </c>
      <c r="AP649" s="1" t="s">
        <v>6037</v>
      </c>
      <c r="AQ649" s="1" t="s">
        <v>74</v>
      </c>
      <c r="AR649" s="1" t="s">
        <v>74</v>
      </c>
      <c r="AS649" s="1" t="s">
        <v>74</v>
      </c>
      <c r="AT649" s="1" t="s">
        <v>74</v>
      </c>
      <c r="AU649" s="1">
        <v>2006.0</v>
      </c>
      <c r="AV649" s="1">
        <v>39.0</v>
      </c>
      <c r="AW649" s="1">
        <v>10.0</v>
      </c>
      <c r="AX649" s="1" t="s">
        <v>74</v>
      </c>
      <c r="AY649" s="1" t="s">
        <v>74</v>
      </c>
      <c r="AZ649" s="1" t="s">
        <v>74</v>
      </c>
      <c r="BA649" s="1" t="s">
        <v>74</v>
      </c>
      <c r="BB649" s="1">
        <v>1084.0</v>
      </c>
      <c r="BC649" s="1">
        <v>1091.0</v>
      </c>
      <c r="BD649" s="1" t="s">
        <v>74</v>
      </c>
      <c r="BE649" s="1" t="s">
        <v>6038</v>
      </c>
      <c r="BF649" s="2" t="str">
        <f>HYPERLINK("http://dx.doi.org/10.1016/j.foodres.2006.03.006","http://dx.doi.org/10.1016/j.foodres.2006.03.006")</f>
        <v>http://dx.doi.org/10.1016/j.foodres.2006.03.006</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6039</v>
      </c>
      <c r="BT649" s="1" t="str">
        <f>HYPERLINK("https%3A%2F%2Fwww.webofscience.com%2Fwos%2Fwoscc%2Ffull-record%2FWOS:000242540600006","View Full Record in Web of Science")</f>
        <v>View Full Record in Web of Science</v>
      </c>
    </row>
    <row r="650" ht="12.75" customHeight="1">
      <c r="A650" s="1" t="s">
        <v>72</v>
      </c>
      <c r="B650" s="1" t="s">
        <v>6040</v>
      </c>
      <c r="C650" s="1" t="s">
        <v>74</v>
      </c>
      <c r="D650" s="1" t="s">
        <v>74</v>
      </c>
      <c r="E650" s="1" t="s">
        <v>74</v>
      </c>
      <c r="F650" s="1" t="s">
        <v>6040</v>
      </c>
      <c r="G650" s="1" t="s">
        <v>74</v>
      </c>
      <c r="H650" s="1" t="s">
        <v>74</v>
      </c>
      <c r="I650" s="1" t="s">
        <v>6041</v>
      </c>
      <c r="J650" s="1" t="s">
        <v>6042</v>
      </c>
      <c r="K650" s="1" t="s">
        <v>74</v>
      </c>
      <c r="L650" s="1" t="s">
        <v>74</v>
      </c>
      <c r="M650" s="1" t="s">
        <v>74</v>
      </c>
      <c r="N650" s="1" t="s">
        <v>74</v>
      </c>
      <c r="O650" s="1" t="s">
        <v>74</v>
      </c>
      <c r="P650" s="1" t="s">
        <v>74</v>
      </c>
      <c r="Q650" s="1" t="s">
        <v>74</v>
      </c>
      <c r="R650" s="1" t="s">
        <v>74</v>
      </c>
      <c r="S650" s="1" t="s">
        <v>74</v>
      </c>
      <c r="T650" s="1" t="s">
        <v>74</v>
      </c>
      <c r="U650" s="1" t="s">
        <v>74</v>
      </c>
      <c r="V650" s="1" t="s">
        <v>6043</v>
      </c>
      <c r="W650" s="1" t="s">
        <v>74</v>
      </c>
      <c r="X650" s="1" t="s">
        <v>74</v>
      </c>
      <c r="Y650" s="1" t="s">
        <v>74</v>
      </c>
      <c r="Z650" s="1" t="s">
        <v>74</v>
      </c>
      <c r="AA650" s="1" t="s">
        <v>6044</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6045</v>
      </c>
      <c r="AP650" s="1" t="s">
        <v>6046</v>
      </c>
      <c r="AQ650" s="1" t="s">
        <v>74</v>
      </c>
      <c r="AR650" s="1" t="s">
        <v>74</v>
      </c>
      <c r="AS650" s="1" t="s">
        <v>74</v>
      </c>
      <c r="AT650" s="1" t="s">
        <v>6047</v>
      </c>
      <c r="AU650" s="1">
        <v>2005.0</v>
      </c>
      <c r="AV650" s="1">
        <v>16.0</v>
      </c>
      <c r="AW650" s="1">
        <v>2.0</v>
      </c>
      <c r="AX650" s="1" t="s">
        <v>74</v>
      </c>
      <c r="AY650" s="1" t="s">
        <v>74</v>
      </c>
      <c r="AZ650" s="1" t="s">
        <v>74</v>
      </c>
      <c r="BA650" s="1" t="s">
        <v>74</v>
      </c>
      <c r="BB650" s="1">
        <v>201.0</v>
      </c>
      <c r="BC650" s="1">
        <v>214.0</v>
      </c>
      <c r="BD650" s="1" t="s">
        <v>74</v>
      </c>
      <c r="BE650" s="1" t="s">
        <v>6048</v>
      </c>
      <c r="BF650" s="2" t="str">
        <f>HYPERLINK("http://dx.doi.org/10.1016/S0019-3577(05)80023-0","http://dx.doi.org/10.1016/S0019-3577(05)80023-0")</f>
        <v>http://dx.doi.org/10.1016/S0019-3577(05)80023-0</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6049</v>
      </c>
      <c r="BT650" s="1" t="str">
        <f>HYPERLINK("https%3A%2F%2Fwww.webofscience.com%2Fwos%2Fwoscc%2Ffull-record%2FWOS:000230801000005","View Full Record in Web of Science")</f>
        <v>View Full Record in Web of Science</v>
      </c>
    </row>
    <row r="651" ht="12.75" customHeight="1">
      <c r="A651" s="1" t="s">
        <v>72</v>
      </c>
      <c r="B651" s="1" t="s">
        <v>6050</v>
      </c>
      <c r="C651" s="1" t="s">
        <v>74</v>
      </c>
      <c r="D651" s="1" t="s">
        <v>74</v>
      </c>
      <c r="E651" s="1" t="s">
        <v>74</v>
      </c>
      <c r="F651" s="1" t="s">
        <v>6050</v>
      </c>
      <c r="G651" s="1" t="s">
        <v>74</v>
      </c>
      <c r="H651" s="1" t="s">
        <v>74</v>
      </c>
      <c r="I651" s="1" t="s">
        <v>6051</v>
      </c>
      <c r="J651" s="1" t="s">
        <v>134</v>
      </c>
      <c r="K651" s="1" t="s">
        <v>74</v>
      </c>
      <c r="L651" s="1" t="s">
        <v>74</v>
      </c>
      <c r="M651" s="1" t="s">
        <v>74</v>
      </c>
      <c r="N651" s="1" t="s">
        <v>74</v>
      </c>
      <c r="O651" s="1" t="s">
        <v>74</v>
      </c>
      <c r="P651" s="1" t="s">
        <v>74</v>
      </c>
      <c r="Q651" s="1" t="s">
        <v>74</v>
      </c>
      <c r="R651" s="1" t="s">
        <v>74</v>
      </c>
      <c r="S651" s="1" t="s">
        <v>74</v>
      </c>
      <c r="T651" s="1" t="s">
        <v>74</v>
      </c>
      <c r="U651" s="1" t="s">
        <v>74</v>
      </c>
      <c r="V651" s="1" t="s">
        <v>6052</v>
      </c>
      <c r="W651" s="1" t="s">
        <v>74</v>
      </c>
      <c r="X651" s="1" t="s">
        <v>74</v>
      </c>
      <c r="Y651" s="1" t="s">
        <v>74</v>
      </c>
      <c r="Z651" s="1" t="s">
        <v>74</v>
      </c>
      <c r="AA651" s="1" t="s">
        <v>6034</v>
      </c>
      <c r="AB651" s="1" t="s">
        <v>6035</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138</v>
      </c>
      <c r="AP651" s="1" t="s">
        <v>74</v>
      </c>
      <c r="AQ651" s="1" t="s">
        <v>74</v>
      </c>
      <c r="AR651" s="1" t="s">
        <v>74</v>
      </c>
      <c r="AS651" s="1" t="s">
        <v>74</v>
      </c>
      <c r="AT651" s="1" t="s">
        <v>607</v>
      </c>
      <c r="AU651" s="1">
        <v>2005.0</v>
      </c>
      <c r="AV651" s="1">
        <v>66.0</v>
      </c>
      <c r="AW651" s="1">
        <v>3.0</v>
      </c>
      <c r="AX651" s="1" t="s">
        <v>74</v>
      </c>
      <c r="AY651" s="1" t="s">
        <v>74</v>
      </c>
      <c r="AZ651" s="1" t="s">
        <v>74</v>
      </c>
      <c r="BA651" s="1" t="s">
        <v>74</v>
      </c>
      <c r="BB651" s="1">
        <v>353.0</v>
      </c>
      <c r="BC651" s="1">
        <v>360.0</v>
      </c>
      <c r="BD651" s="1" t="s">
        <v>74</v>
      </c>
      <c r="BE651" s="1" t="s">
        <v>6053</v>
      </c>
      <c r="BF651" s="2" t="str">
        <f>HYPERLINK("http://dx.doi.org/10.1016/j.jfoodeng.2004.04.001","http://dx.doi.org/10.1016/j.jfoodeng.2004.04.001")</f>
        <v>http://dx.doi.org/10.1016/j.jfoodeng.2004.04.001</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6054</v>
      </c>
      <c r="BT651" s="1" t="str">
        <f>HYPERLINK("https%3A%2F%2Fwww.webofscience.com%2Fwos%2Fwoscc%2Ffull-record%2FWOS:000224938200010","View Full Record in Web of Science")</f>
        <v>View Full Record in Web of Science</v>
      </c>
    </row>
    <row r="652" ht="12.75" customHeight="1">
      <c r="A652" s="1" t="s">
        <v>72</v>
      </c>
      <c r="B652" s="1" t="s">
        <v>6055</v>
      </c>
      <c r="C652" s="1" t="s">
        <v>74</v>
      </c>
      <c r="D652" s="1" t="s">
        <v>74</v>
      </c>
      <c r="E652" s="1" t="s">
        <v>74</v>
      </c>
      <c r="F652" s="1" t="s">
        <v>6055</v>
      </c>
      <c r="G652" s="1" t="s">
        <v>74</v>
      </c>
      <c r="H652" s="1" t="s">
        <v>74</v>
      </c>
      <c r="I652" s="1" t="s">
        <v>6056</v>
      </c>
      <c r="J652" s="1" t="s">
        <v>6003</v>
      </c>
      <c r="K652" s="1" t="s">
        <v>74</v>
      </c>
      <c r="L652" s="1" t="s">
        <v>74</v>
      </c>
      <c r="M652" s="1" t="s">
        <v>74</v>
      </c>
      <c r="N652" s="1" t="s">
        <v>74</v>
      </c>
      <c r="O652" s="1" t="s">
        <v>74</v>
      </c>
      <c r="P652" s="1" t="s">
        <v>74</v>
      </c>
      <c r="Q652" s="1" t="s">
        <v>74</v>
      </c>
      <c r="R652" s="1" t="s">
        <v>74</v>
      </c>
      <c r="S652" s="1" t="s">
        <v>74</v>
      </c>
      <c r="T652" s="1" t="s">
        <v>74</v>
      </c>
      <c r="U652" s="1" t="s">
        <v>74</v>
      </c>
      <c r="V652" s="1" t="s">
        <v>6057</v>
      </c>
      <c r="W652" s="1" t="s">
        <v>74</v>
      </c>
      <c r="X652" s="1" t="s">
        <v>74</v>
      </c>
      <c r="Y652" s="1" t="s">
        <v>74</v>
      </c>
      <c r="Z652" s="1" t="s">
        <v>74</v>
      </c>
      <c r="AA652" s="1" t="s">
        <v>6058</v>
      </c>
      <c r="AB652" s="1" t="s">
        <v>6059</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6007</v>
      </c>
      <c r="AP652" s="1" t="s">
        <v>74</v>
      </c>
      <c r="AQ652" s="1" t="s">
        <v>74</v>
      </c>
      <c r="AR652" s="1" t="s">
        <v>74</v>
      </c>
      <c r="AS652" s="1" t="s">
        <v>74</v>
      </c>
      <c r="AT652" s="1" t="s">
        <v>82</v>
      </c>
      <c r="AU652" s="1">
        <v>2004.0</v>
      </c>
      <c r="AV652" s="1">
        <v>21.0</v>
      </c>
      <c r="AW652" s="1">
        <v>1.0</v>
      </c>
      <c r="AX652" s="1" t="s">
        <v>74</v>
      </c>
      <c r="AY652" s="1" t="s">
        <v>74</v>
      </c>
      <c r="AZ652" s="1" t="s">
        <v>74</v>
      </c>
      <c r="BA652" s="1" t="s">
        <v>74</v>
      </c>
      <c r="BB652" s="1">
        <v>37.0</v>
      </c>
      <c r="BC652" s="1">
        <v>50.0</v>
      </c>
      <c r="BD652" s="1" t="s">
        <v>74</v>
      </c>
      <c r="BE652" s="1" t="s">
        <v>74</v>
      </c>
      <c r="BF652" s="1" t="s">
        <v>74</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6060</v>
      </c>
      <c r="BT652" s="1" t="str">
        <f>HYPERLINK("https%3A%2F%2Fwww.webofscience.com%2Fwos%2Fwoscc%2Ffull-record%2FWOS:000221807300004","View Full Record in Web of Science")</f>
        <v>View Full Record in Web of Science</v>
      </c>
    </row>
    <row r="653" ht="12.75" customHeight="1">
      <c r="A653" s="1" t="s">
        <v>72</v>
      </c>
      <c r="B653" s="1" t="s">
        <v>6061</v>
      </c>
      <c r="C653" s="1" t="s">
        <v>74</v>
      </c>
      <c r="D653" s="1" t="s">
        <v>74</v>
      </c>
      <c r="E653" s="1" t="s">
        <v>74</v>
      </c>
      <c r="F653" s="1" t="s">
        <v>6061</v>
      </c>
      <c r="G653" s="1" t="s">
        <v>74</v>
      </c>
      <c r="H653" s="1" t="s">
        <v>74</v>
      </c>
      <c r="I653" s="1" t="s">
        <v>6062</v>
      </c>
      <c r="J653" s="1" t="s">
        <v>280</v>
      </c>
      <c r="K653" s="1" t="s">
        <v>74</v>
      </c>
      <c r="L653" s="1" t="s">
        <v>74</v>
      </c>
      <c r="M653" s="1" t="s">
        <v>74</v>
      </c>
      <c r="N653" s="1" t="s">
        <v>74</v>
      </c>
      <c r="O653" s="1" t="s">
        <v>74</v>
      </c>
      <c r="P653" s="1" t="s">
        <v>74</v>
      </c>
      <c r="Q653" s="1" t="s">
        <v>74</v>
      </c>
      <c r="R653" s="1" t="s">
        <v>74</v>
      </c>
      <c r="S653" s="1" t="s">
        <v>74</v>
      </c>
      <c r="T653" s="1" t="s">
        <v>74</v>
      </c>
      <c r="U653" s="1" t="s">
        <v>74</v>
      </c>
      <c r="V653" s="1" t="s">
        <v>6063</v>
      </c>
      <c r="W653" s="1" t="s">
        <v>74</v>
      </c>
      <c r="X653" s="1" t="s">
        <v>74</v>
      </c>
      <c r="Y653" s="1" t="s">
        <v>74</v>
      </c>
      <c r="Z653" s="1" t="s">
        <v>74</v>
      </c>
      <c r="AA653" s="1" t="s">
        <v>6064</v>
      </c>
      <c r="AB653" s="1" t="s">
        <v>6065</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533</v>
      </c>
      <c r="AP653" s="1" t="s">
        <v>74</v>
      </c>
      <c r="AQ653" s="1" t="s">
        <v>74</v>
      </c>
      <c r="AR653" s="1" t="s">
        <v>74</v>
      </c>
      <c r="AS653" s="1" t="s">
        <v>74</v>
      </c>
      <c r="AT653" s="1" t="s">
        <v>82</v>
      </c>
      <c r="AU653" s="1">
        <v>2003.0</v>
      </c>
      <c r="AV653" s="1">
        <v>48.0</v>
      </c>
      <c r="AW653" s="1">
        <v>2.0</v>
      </c>
      <c r="AX653" s="1" t="s">
        <v>74</v>
      </c>
      <c r="AY653" s="1" t="s">
        <v>74</v>
      </c>
      <c r="AZ653" s="1" t="s">
        <v>74</v>
      </c>
      <c r="BA653" s="1" t="s">
        <v>74</v>
      </c>
      <c r="BB653" s="1">
        <v>89.0</v>
      </c>
      <c r="BC653" s="1">
        <v>92.0</v>
      </c>
      <c r="BD653" s="1" t="s">
        <v>74</v>
      </c>
      <c r="BE653" s="1" t="s">
        <v>74</v>
      </c>
      <c r="BF653" s="1" t="s">
        <v>74</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6066</v>
      </c>
      <c r="BT653" s="1" t="str">
        <f>HYPERLINK("https%3A%2F%2Fwww.webofscience.com%2Fwos%2Fwoscc%2Ffull-record%2FWOS:000183467400016","View Full Record in Web of Science")</f>
        <v>View Full Record in Web of Science</v>
      </c>
    </row>
    <row r="654" ht="12.75" customHeight="1">
      <c r="A654" s="1" t="s">
        <v>72</v>
      </c>
      <c r="B654" s="1" t="s">
        <v>6067</v>
      </c>
      <c r="C654" s="1" t="s">
        <v>74</v>
      </c>
      <c r="D654" s="1" t="s">
        <v>74</v>
      </c>
      <c r="E654" s="1" t="s">
        <v>74</v>
      </c>
      <c r="F654" s="1" t="s">
        <v>6067</v>
      </c>
      <c r="G654" s="1" t="s">
        <v>74</v>
      </c>
      <c r="H654" s="1" t="s">
        <v>74</v>
      </c>
      <c r="I654" s="1" t="s">
        <v>6068</v>
      </c>
      <c r="J654" s="1" t="s">
        <v>112</v>
      </c>
      <c r="K654" s="1" t="s">
        <v>74</v>
      </c>
      <c r="L654" s="1" t="s">
        <v>74</v>
      </c>
      <c r="M654" s="1" t="s">
        <v>74</v>
      </c>
      <c r="N654" s="1" t="s">
        <v>74</v>
      </c>
      <c r="O654" s="1" t="s">
        <v>74</v>
      </c>
      <c r="P654" s="1" t="s">
        <v>74</v>
      </c>
      <c r="Q654" s="1" t="s">
        <v>74</v>
      </c>
      <c r="R654" s="1" t="s">
        <v>74</v>
      </c>
      <c r="S654" s="1" t="s">
        <v>74</v>
      </c>
      <c r="T654" s="1" t="s">
        <v>74</v>
      </c>
      <c r="U654" s="1" t="s">
        <v>74</v>
      </c>
      <c r="V654" s="1" t="s">
        <v>6069</v>
      </c>
      <c r="W654" s="1" t="s">
        <v>74</v>
      </c>
      <c r="X654" s="1" t="s">
        <v>74</v>
      </c>
      <c r="Y654" s="1" t="s">
        <v>74</v>
      </c>
      <c r="Z654" s="1" t="s">
        <v>74</v>
      </c>
      <c r="AA654" s="1" t="s">
        <v>6070</v>
      </c>
      <c r="AB654" s="1" t="s">
        <v>6071</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115</v>
      </c>
      <c r="AP654" s="1" t="s">
        <v>74</v>
      </c>
      <c r="AQ654" s="1" t="s">
        <v>74</v>
      </c>
      <c r="AR654" s="1" t="s">
        <v>74</v>
      </c>
      <c r="AS654" s="1" t="s">
        <v>74</v>
      </c>
      <c r="AT654" s="1" t="s">
        <v>116</v>
      </c>
      <c r="AU654" s="1">
        <v>2002.0</v>
      </c>
      <c r="AV654" s="1">
        <v>130.0</v>
      </c>
      <c r="AW654" s="1">
        <v>7.0</v>
      </c>
      <c r="AX654" s="1" t="s">
        <v>74</v>
      </c>
      <c r="AY654" s="1" t="s">
        <v>74</v>
      </c>
      <c r="AZ654" s="1" t="s">
        <v>74</v>
      </c>
      <c r="BA654" s="1" t="s">
        <v>74</v>
      </c>
      <c r="BB654" s="1">
        <v>798.0</v>
      </c>
      <c r="BC654" s="1">
        <v>802.0</v>
      </c>
      <c r="BD654" s="1" t="s">
        <v>74</v>
      </c>
      <c r="BE654" s="1" t="s">
        <v>74</v>
      </c>
      <c r="BF654" s="1" t="s">
        <v>74</v>
      </c>
      <c r="BG654" s="1" t="s">
        <v>74</v>
      </c>
      <c r="BH654" s="1" t="s">
        <v>74</v>
      </c>
      <c r="BI654" s="1" t="s">
        <v>74</v>
      </c>
      <c r="BJ654" s="1" t="s">
        <v>74</v>
      </c>
      <c r="BK654" s="1" t="s">
        <v>74</v>
      </c>
      <c r="BL654" s="1" t="s">
        <v>74</v>
      </c>
      <c r="BM654" s="1" t="s">
        <v>74</v>
      </c>
      <c r="BN654" s="1">
        <v>1.2235906E7</v>
      </c>
      <c r="BO654" s="1" t="s">
        <v>74</v>
      </c>
      <c r="BP654" s="1" t="s">
        <v>74</v>
      </c>
      <c r="BQ654" s="1" t="s">
        <v>74</v>
      </c>
      <c r="BR654" s="1" t="s">
        <v>74</v>
      </c>
      <c r="BS654" s="1" t="s">
        <v>6072</v>
      </c>
      <c r="BT654" s="1" t="str">
        <f>HYPERLINK("https%3A%2F%2Fwww.webofscience.com%2Fwos%2Fwoscc%2Ffull-record%2FWOS:000177693300013","View Full Record in Web of Science")</f>
        <v>View Full Record in Web of Science</v>
      </c>
    </row>
    <row r="655" ht="12.75" customHeight="1">
      <c r="A655" s="1" t="s">
        <v>72</v>
      </c>
      <c r="B655" s="1" t="s">
        <v>6073</v>
      </c>
      <c r="C655" s="1" t="s">
        <v>74</v>
      </c>
      <c r="D655" s="1" t="s">
        <v>74</v>
      </c>
      <c r="E655" s="1" t="s">
        <v>74</v>
      </c>
      <c r="F655" s="1" t="s">
        <v>6073</v>
      </c>
      <c r="G655" s="1" t="s">
        <v>74</v>
      </c>
      <c r="H655" s="1" t="s">
        <v>74</v>
      </c>
      <c r="I655" s="1" t="s">
        <v>6074</v>
      </c>
      <c r="J655" s="1" t="s">
        <v>6075</v>
      </c>
      <c r="K655" s="1" t="s">
        <v>74</v>
      </c>
      <c r="L655" s="1" t="s">
        <v>74</v>
      </c>
      <c r="M655" s="1" t="s">
        <v>74</v>
      </c>
      <c r="N655" s="1" t="s">
        <v>74</v>
      </c>
      <c r="O655" s="1" t="s">
        <v>74</v>
      </c>
      <c r="P655" s="1" t="s">
        <v>74</v>
      </c>
      <c r="Q655" s="1" t="s">
        <v>74</v>
      </c>
      <c r="R655" s="1" t="s">
        <v>74</v>
      </c>
      <c r="S655" s="1" t="s">
        <v>74</v>
      </c>
      <c r="T655" s="1" t="s">
        <v>74</v>
      </c>
      <c r="U655" s="1" t="s">
        <v>74</v>
      </c>
      <c r="V655" s="1" t="s">
        <v>6076</v>
      </c>
      <c r="W655" s="1" t="s">
        <v>74</v>
      </c>
      <c r="X655" s="1" t="s">
        <v>74</v>
      </c>
      <c r="Y655" s="1" t="s">
        <v>74</v>
      </c>
      <c r="Z655" s="1" t="s">
        <v>74</v>
      </c>
      <c r="AA655" s="1" t="s">
        <v>6077</v>
      </c>
      <c r="AB655" s="1" t="s">
        <v>74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6078</v>
      </c>
      <c r="AP655" s="1" t="s">
        <v>74</v>
      </c>
      <c r="AQ655" s="1" t="s">
        <v>74</v>
      </c>
      <c r="AR655" s="1" t="s">
        <v>74</v>
      </c>
      <c r="AS655" s="1" t="s">
        <v>74</v>
      </c>
      <c r="AT655" s="1" t="s">
        <v>94</v>
      </c>
      <c r="AU655" s="1">
        <v>1999.0</v>
      </c>
      <c r="AV655" s="1">
        <v>105.0</v>
      </c>
      <c r="AW655" s="1">
        <v>1.0</v>
      </c>
      <c r="AX655" s="1" t="s">
        <v>74</v>
      </c>
      <c r="AY655" s="1" t="s">
        <v>74</v>
      </c>
      <c r="AZ655" s="1" t="s">
        <v>74</v>
      </c>
      <c r="BA655" s="1" t="s">
        <v>74</v>
      </c>
      <c r="BB655" s="1">
        <v>179.0</v>
      </c>
      <c r="BC655" s="1">
        <v>184.0</v>
      </c>
      <c r="BD655" s="1" t="s">
        <v>74</v>
      </c>
      <c r="BE655" s="1" t="s">
        <v>6079</v>
      </c>
      <c r="BF655" s="2" t="str">
        <f>HYPERLINK("http://dx.doi.org/10.1034/j.1399-3054.1999.105126.x","http://dx.doi.org/10.1034/j.1399-3054.1999.105126.x")</f>
        <v>http://dx.doi.org/10.1034/j.1399-3054.1999.105126.x</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6080</v>
      </c>
      <c r="BT655" s="1" t="str">
        <f>HYPERLINK("https%3A%2F%2Fwww.webofscience.com%2Fwos%2Fwoscc%2Ffull-record%2FWOS:000079282400025","View Full Record in Web of Science")</f>
        <v>View Full Record in Web of Science</v>
      </c>
    </row>
    <row r="656" ht="12.75" customHeight="1">
      <c r="A656" s="1" t="s">
        <v>72</v>
      </c>
      <c r="B656" s="1" t="s">
        <v>6081</v>
      </c>
      <c r="C656" s="1" t="s">
        <v>74</v>
      </c>
      <c r="D656" s="1" t="s">
        <v>74</v>
      </c>
      <c r="E656" s="1" t="s">
        <v>74</v>
      </c>
      <c r="F656" s="1" t="s">
        <v>6081</v>
      </c>
      <c r="G656" s="1" t="s">
        <v>74</v>
      </c>
      <c r="H656" s="1" t="s">
        <v>74</v>
      </c>
      <c r="I656" s="1" t="s">
        <v>6082</v>
      </c>
      <c r="J656" s="1" t="s">
        <v>6083</v>
      </c>
      <c r="K656" s="1" t="s">
        <v>74</v>
      </c>
      <c r="L656" s="1" t="s">
        <v>74</v>
      </c>
      <c r="M656" s="1" t="s">
        <v>74</v>
      </c>
      <c r="N656" s="1" t="s">
        <v>74</v>
      </c>
      <c r="O656" s="1" t="s">
        <v>74</v>
      </c>
      <c r="P656" s="1" t="s">
        <v>74</v>
      </c>
      <c r="Q656" s="1" t="s">
        <v>74</v>
      </c>
      <c r="R656" s="1" t="s">
        <v>74</v>
      </c>
      <c r="S656" s="1" t="s">
        <v>74</v>
      </c>
      <c r="T656" s="1" t="s">
        <v>74</v>
      </c>
      <c r="U656" s="1" t="s">
        <v>74</v>
      </c>
      <c r="V656" s="1" t="s">
        <v>6084</v>
      </c>
      <c r="W656" s="1" t="s">
        <v>74</v>
      </c>
      <c r="X656" s="1" t="s">
        <v>74</v>
      </c>
      <c r="Y656" s="1" t="s">
        <v>74</v>
      </c>
      <c r="Z656" s="1" t="s">
        <v>74</v>
      </c>
      <c r="AA656" s="1" t="s">
        <v>6085</v>
      </c>
      <c r="AB656" s="1" t="s">
        <v>1018</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6086</v>
      </c>
      <c r="AP656" s="1" t="s">
        <v>74</v>
      </c>
      <c r="AQ656" s="1" t="s">
        <v>74</v>
      </c>
      <c r="AR656" s="1" t="s">
        <v>74</v>
      </c>
      <c r="AS656" s="1" t="s">
        <v>74</v>
      </c>
      <c r="AT656" s="1" t="s">
        <v>3656</v>
      </c>
      <c r="AU656" s="1">
        <v>1998.0</v>
      </c>
      <c r="AV656" s="1">
        <v>40.0</v>
      </c>
      <c r="AW656" s="1" t="s">
        <v>3901</v>
      </c>
      <c r="AX656" s="1" t="s">
        <v>74</v>
      </c>
      <c r="AY656" s="1" t="s">
        <v>74</v>
      </c>
      <c r="AZ656" s="1" t="s">
        <v>74</v>
      </c>
      <c r="BA656" s="1" t="s">
        <v>74</v>
      </c>
      <c r="BB656" s="1">
        <v>225.0</v>
      </c>
      <c r="BC656" s="1">
        <v>234.0</v>
      </c>
      <c r="BD656" s="1" t="s">
        <v>74</v>
      </c>
      <c r="BE656" s="1" t="s">
        <v>6087</v>
      </c>
      <c r="BF656" s="2" t="str">
        <f>HYPERLINK("http://dx.doi.org/10.1016/S0010-938X(97)00122-4","http://dx.doi.org/10.1016/S0010-938X(97)00122-4")</f>
        <v>http://dx.doi.org/10.1016/S0010-938X(97)00122-4</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6088</v>
      </c>
      <c r="BT656" s="1" t="str">
        <f>HYPERLINK("https%3A%2F%2Fwww.webofscience.com%2Fwos%2Fwoscc%2Ffull-record%2FWOS:000074180000007","View Full Record in Web of Science")</f>
        <v>View Full Record in Web of Science</v>
      </c>
    </row>
    <row r="657" ht="12.75" customHeight="1">
      <c r="A657" s="1" t="s">
        <v>72</v>
      </c>
      <c r="B657" s="1" t="s">
        <v>6089</v>
      </c>
      <c r="C657" s="1" t="s">
        <v>74</v>
      </c>
      <c r="D657" s="1" t="s">
        <v>74</v>
      </c>
      <c r="E657" s="1" t="s">
        <v>74</v>
      </c>
      <c r="F657" s="1" t="s">
        <v>6089</v>
      </c>
      <c r="G657" s="1" t="s">
        <v>74</v>
      </c>
      <c r="H657" s="1" t="s">
        <v>74</v>
      </c>
      <c r="I657" s="1" t="s">
        <v>6090</v>
      </c>
      <c r="J657" s="1" t="s">
        <v>6091</v>
      </c>
      <c r="K657" s="1" t="s">
        <v>74</v>
      </c>
      <c r="L657" s="1" t="s">
        <v>74</v>
      </c>
      <c r="M657" s="1" t="s">
        <v>74</v>
      </c>
      <c r="N657" s="1" t="s">
        <v>74</v>
      </c>
      <c r="O657" s="1" t="s">
        <v>74</v>
      </c>
      <c r="P657" s="1" t="s">
        <v>74</v>
      </c>
      <c r="Q657" s="1" t="s">
        <v>74</v>
      </c>
      <c r="R657" s="1" t="s">
        <v>74</v>
      </c>
      <c r="S657" s="1" t="s">
        <v>74</v>
      </c>
      <c r="T657" s="1" t="s">
        <v>74</v>
      </c>
      <c r="U657" s="1" t="s">
        <v>74</v>
      </c>
      <c r="V657" s="1" t="s">
        <v>6092</v>
      </c>
      <c r="W657" s="1" t="s">
        <v>74</v>
      </c>
      <c r="X657" s="1" t="s">
        <v>74</v>
      </c>
      <c r="Y657" s="1" t="s">
        <v>74</v>
      </c>
      <c r="Z657" s="1" t="s">
        <v>74</v>
      </c>
      <c r="AA657" s="1" t="s">
        <v>6093</v>
      </c>
      <c r="AB657" s="1" t="s">
        <v>6094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6095</v>
      </c>
      <c r="AP657" s="1" t="s">
        <v>6096</v>
      </c>
      <c r="AQ657" s="1" t="s">
        <v>74</v>
      </c>
      <c r="AR657" s="1" t="s">
        <v>74</v>
      </c>
      <c r="AS657" s="1" t="s">
        <v>74</v>
      </c>
      <c r="AT657" s="1" t="s">
        <v>94</v>
      </c>
      <c r="AU657" s="1">
        <v>1998.0</v>
      </c>
      <c r="AV657" s="1">
        <v>25.0</v>
      </c>
      <c r="AW657" s="1">
        <v>1.0</v>
      </c>
      <c r="AX657" s="1" t="s">
        <v>74</v>
      </c>
      <c r="AY657" s="1" t="s">
        <v>74</v>
      </c>
      <c r="AZ657" s="1" t="s">
        <v>74</v>
      </c>
      <c r="BA657" s="1" t="s">
        <v>74</v>
      </c>
      <c r="BB657" s="1">
        <v>37.0</v>
      </c>
      <c r="BC657" s="1">
        <v>47.0</v>
      </c>
      <c r="BD657" s="1" t="s">
        <v>74</v>
      </c>
      <c r="BE657" s="1" t="s">
        <v>6097</v>
      </c>
      <c r="BF657" s="2" t="str">
        <f>HYPERLINK("http://dx.doi.org/10.1016/S0305-0548(97)00036-1","http://dx.doi.org/10.1016/S0305-0548(97)00036-1")</f>
        <v>http://dx.doi.org/10.1016/S0305-0548(97)00036-1</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6098</v>
      </c>
      <c r="BT657" s="1" t="str">
        <f>HYPERLINK("https%3A%2F%2Fwww.webofscience.com%2Fwos%2Fwoscc%2Ffull-record%2FWOS:A1998YJ56900004","View Full Record in Web of Science")</f>
        <v>View Full Record in Web of Science</v>
      </c>
    </row>
    <row r="658" ht="12.75" customHeight="1">
      <c r="A658" s="1" t="s">
        <v>72</v>
      </c>
      <c r="B658" s="1" t="s">
        <v>6099</v>
      </c>
      <c r="C658" s="1" t="s">
        <v>74</v>
      </c>
      <c r="D658" s="1" t="s">
        <v>74</v>
      </c>
      <c r="E658" s="1" t="s">
        <v>74</v>
      </c>
      <c r="F658" s="1" t="s">
        <v>6099</v>
      </c>
      <c r="G658" s="1" t="s">
        <v>74</v>
      </c>
      <c r="H658" s="1" t="s">
        <v>74</v>
      </c>
      <c r="I658" s="1" t="s">
        <v>6100</v>
      </c>
      <c r="J658" s="1" t="s">
        <v>6101</v>
      </c>
      <c r="K658" s="1" t="s">
        <v>74</v>
      </c>
      <c r="L658" s="1" t="s">
        <v>74</v>
      </c>
      <c r="M658" s="1" t="s">
        <v>74</v>
      </c>
      <c r="N658" s="1" t="s">
        <v>74</v>
      </c>
      <c r="O658" s="1" t="s">
        <v>74</v>
      </c>
      <c r="P658" s="1" t="s">
        <v>74</v>
      </c>
      <c r="Q658" s="1" t="s">
        <v>74</v>
      </c>
      <c r="R658" s="1" t="s">
        <v>74</v>
      </c>
      <c r="S658" s="1" t="s">
        <v>74</v>
      </c>
      <c r="T658" s="1" t="s">
        <v>74</v>
      </c>
      <c r="U658" s="1" t="s">
        <v>74</v>
      </c>
      <c r="V658" s="1" t="s">
        <v>6102</v>
      </c>
      <c r="W658" s="1" t="s">
        <v>74</v>
      </c>
      <c r="X658" s="1" t="s">
        <v>74</v>
      </c>
      <c r="Y658" s="1" t="s">
        <v>74</v>
      </c>
      <c r="Z658" s="1" t="s">
        <v>74</v>
      </c>
      <c r="AA658" s="1" t="s">
        <v>6103</v>
      </c>
      <c r="AB658" s="1" t="s">
        <v>1155</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6104</v>
      </c>
      <c r="AP658" s="1" t="s">
        <v>74</v>
      </c>
      <c r="AQ658" s="1" t="s">
        <v>74</v>
      </c>
      <c r="AR658" s="1" t="s">
        <v>74</v>
      </c>
      <c r="AS658" s="1" t="s">
        <v>74</v>
      </c>
      <c r="AT658" s="1" t="s">
        <v>6105</v>
      </c>
      <c r="AU658" s="1">
        <v>1996.0</v>
      </c>
      <c r="AV658" s="1">
        <v>37.0</v>
      </c>
      <c r="AW658" s="1">
        <v>30.0</v>
      </c>
      <c r="AX658" s="1" t="s">
        <v>74</v>
      </c>
      <c r="AY658" s="1" t="s">
        <v>74</v>
      </c>
      <c r="AZ658" s="1" t="s">
        <v>74</v>
      </c>
      <c r="BA658" s="1" t="s">
        <v>74</v>
      </c>
      <c r="BB658" s="1">
        <v>5265.0</v>
      </c>
      <c r="BC658" s="1">
        <v>5268.0</v>
      </c>
      <c r="BD658" s="1" t="s">
        <v>74</v>
      </c>
      <c r="BE658" s="1" t="s">
        <v>6106</v>
      </c>
      <c r="BF658" s="2" t="str">
        <f>HYPERLINK("http://dx.doi.org/10.1016/0040-4039(96)01115-X","http://dx.doi.org/10.1016/0040-4039(96)01115-X")</f>
        <v>http://dx.doi.org/10.1016/0040-4039(96)01115-X</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6107</v>
      </c>
      <c r="BT658" s="1" t="str">
        <f>HYPERLINK("https%3A%2F%2Fwww.webofscience.com%2Fwos%2Fwoscc%2Ffull-record%2FWOS:A1996UZ67400012","View Full Record in Web of Science")</f>
        <v>View Full Record in Web of Science</v>
      </c>
    </row>
    <row r="659" ht="12.75" customHeight="1">
      <c r="A659" s="1" t="s">
        <v>72</v>
      </c>
      <c r="B659" s="1" t="s">
        <v>6108</v>
      </c>
      <c r="C659" s="1" t="s">
        <v>74</v>
      </c>
      <c r="D659" s="1" t="s">
        <v>74</v>
      </c>
      <c r="E659" s="1" t="s">
        <v>74</v>
      </c>
      <c r="F659" s="1" t="s">
        <v>6108</v>
      </c>
      <c r="G659" s="1" t="s">
        <v>74</v>
      </c>
      <c r="H659" s="1" t="s">
        <v>74</v>
      </c>
      <c r="I659" s="1" t="s">
        <v>6109</v>
      </c>
      <c r="J659" s="1" t="s">
        <v>1042</v>
      </c>
      <c r="K659" s="1" t="s">
        <v>74</v>
      </c>
      <c r="L659" s="1" t="s">
        <v>74</v>
      </c>
      <c r="M659" s="1" t="s">
        <v>74</v>
      </c>
      <c r="N659" s="1" t="s">
        <v>74</v>
      </c>
      <c r="O659" s="1" t="s">
        <v>74</v>
      </c>
      <c r="P659" s="1" t="s">
        <v>74</v>
      </c>
      <c r="Q659" s="1" t="s">
        <v>74</v>
      </c>
      <c r="R659" s="1" t="s">
        <v>74</v>
      </c>
      <c r="S659" s="1" t="s">
        <v>74</v>
      </c>
      <c r="T659" s="1" t="s">
        <v>74</v>
      </c>
      <c r="U659" s="1" t="s">
        <v>74</v>
      </c>
      <c r="V659" s="1" t="s">
        <v>6110</v>
      </c>
      <c r="W659" s="1" t="s">
        <v>74</v>
      </c>
      <c r="X659" s="1" t="s">
        <v>74</v>
      </c>
      <c r="Y659" s="1" t="s">
        <v>74</v>
      </c>
      <c r="Z659" s="1" t="s">
        <v>74</v>
      </c>
      <c r="AA659" s="1" t="s">
        <v>6111</v>
      </c>
      <c r="AB659" s="1" t="s">
        <v>74</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1043</v>
      </c>
      <c r="AP659" s="1" t="s">
        <v>74</v>
      </c>
      <c r="AQ659" s="1" t="s">
        <v>74</v>
      </c>
      <c r="AR659" s="1" t="s">
        <v>74</v>
      </c>
      <c r="AS659" s="1" t="s">
        <v>74</v>
      </c>
      <c r="AT659" s="1" t="s">
        <v>106</v>
      </c>
      <c r="AU659" s="1">
        <v>1995.0</v>
      </c>
      <c r="AV659" s="1">
        <v>40.0</v>
      </c>
      <c r="AW659" s="1">
        <v>3.0</v>
      </c>
      <c r="AX659" s="1" t="s">
        <v>74</v>
      </c>
      <c r="AY659" s="1" t="s">
        <v>74</v>
      </c>
      <c r="AZ659" s="1" t="s">
        <v>74</v>
      </c>
      <c r="BA659" s="1" t="s">
        <v>74</v>
      </c>
      <c r="BB659" s="1">
        <v>325.0</v>
      </c>
      <c r="BC659" s="1">
        <v>335.0</v>
      </c>
      <c r="BD659" s="1" t="s">
        <v>74</v>
      </c>
      <c r="BE659" s="1" t="s">
        <v>74</v>
      </c>
      <c r="BF659" s="1" t="s">
        <v>74</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6112</v>
      </c>
      <c r="BT659" s="1" t="str">
        <f>HYPERLINK("https%3A%2F%2Fwww.webofscience.com%2Fwos%2Fwoscc%2Ffull-record%2FWOS:A1995RY08900016","View Full Record in Web of Science")</f>
        <v>View Full Record in Web of Science</v>
      </c>
    </row>
    <row r="660" ht="12.75" customHeight="1">
      <c r="A660" s="1" t="s">
        <v>72</v>
      </c>
      <c r="B660" s="1" t="s">
        <v>6113</v>
      </c>
      <c r="C660" s="1" t="s">
        <v>74</v>
      </c>
      <c r="D660" s="1" t="s">
        <v>74</v>
      </c>
      <c r="E660" s="1" t="s">
        <v>74</v>
      </c>
      <c r="F660" s="1" t="s">
        <v>6113</v>
      </c>
      <c r="G660" s="1" t="s">
        <v>74</v>
      </c>
      <c r="H660" s="1" t="s">
        <v>74</v>
      </c>
      <c r="I660" s="1" t="s">
        <v>6114</v>
      </c>
      <c r="J660" s="1" t="s">
        <v>6115</v>
      </c>
      <c r="K660" s="1" t="s">
        <v>74</v>
      </c>
      <c r="L660" s="1" t="s">
        <v>74</v>
      </c>
      <c r="M660" s="1" t="s">
        <v>74</v>
      </c>
      <c r="N660" s="1" t="s">
        <v>74</v>
      </c>
      <c r="O660" s="1" t="s">
        <v>74</v>
      </c>
      <c r="P660" s="1" t="s">
        <v>74</v>
      </c>
      <c r="Q660" s="1" t="s">
        <v>74</v>
      </c>
      <c r="R660" s="1" t="s">
        <v>74</v>
      </c>
      <c r="S660" s="1" t="s">
        <v>74</v>
      </c>
      <c r="T660" s="1" t="s">
        <v>74</v>
      </c>
      <c r="U660" s="1" t="s">
        <v>74</v>
      </c>
      <c r="V660" s="1" t="s">
        <v>6116</v>
      </c>
      <c r="W660" s="1" t="s">
        <v>74</v>
      </c>
      <c r="X660" s="1" t="s">
        <v>74</v>
      </c>
      <c r="Y660" s="1" t="s">
        <v>74</v>
      </c>
      <c r="Z660" s="1" t="s">
        <v>74</v>
      </c>
      <c r="AA660" s="1" t="s">
        <v>74</v>
      </c>
      <c r="AB660" s="1" t="s">
        <v>2587</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6117</v>
      </c>
      <c r="AP660" s="1" t="s">
        <v>74</v>
      </c>
      <c r="AQ660" s="1" t="s">
        <v>74</v>
      </c>
      <c r="AR660" s="1" t="s">
        <v>74</v>
      </c>
      <c r="AS660" s="1" t="s">
        <v>74</v>
      </c>
      <c r="AT660" s="1" t="s">
        <v>94</v>
      </c>
      <c r="AU660" s="1">
        <v>1995.0</v>
      </c>
      <c r="AV660" s="1">
        <v>45.0</v>
      </c>
      <c r="AW660" s="1">
        <v>1.0</v>
      </c>
      <c r="AX660" s="1" t="s">
        <v>74</v>
      </c>
      <c r="AY660" s="1" t="s">
        <v>74</v>
      </c>
      <c r="AZ660" s="1" t="s">
        <v>74</v>
      </c>
      <c r="BA660" s="1" t="s">
        <v>74</v>
      </c>
      <c r="BB660" s="1">
        <v>71.0</v>
      </c>
      <c r="BC660" s="1">
        <v>74.0</v>
      </c>
      <c r="BD660" s="1" t="s">
        <v>74</v>
      </c>
      <c r="BE660" s="1" t="s">
        <v>6118</v>
      </c>
      <c r="BF660" s="2" t="str">
        <f>HYPERLINK("http://dx.doi.org/10.1016/0378-8741(94)01196-7","http://dx.doi.org/10.1016/0378-8741(94)01196-7")</f>
        <v>http://dx.doi.org/10.1016/0378-8741(94)01196-7</v>
      </c>
      <c r="BG660" s="1" t="s">
        <v>74</v>
      </c>
      <c r="BH660" s="1" t="s">
        <v>74</v>
      </c>
      <c r="BI660" s="1" t="s">
        <v>74</v>
      </c>
      <c r="BJ660" s="1" t="s">
        <v>74</v>
      </c>
      <c r="BK660" s="1" t="s">
        <v>74</v>
      </c>
      <c r="BL660" s="1" t="s">
        <v>74</v>
      </c>
      <c r="BM660" s="1" t="s">
        <v>74</v>
      </c>
      <c r="BN660" s="1">
        <v>7739230.0</v>
      </c>
      <c r="BO660" s="1" t="s">
        <v>74</v>
      </c>
      <c r="BP660" s="1" t="s">
        <v>74</v>
      </c>
      <c r="BQ660" s="1" t="s">
        <v>74</v>
      </c>
      <c r="BR660" s="1" t="s">
        <v>74</v>
      </c>
      <c r="BS660" s="1" t="s">
        <v>6119</v>
      </c>
      <c r="BT660" s="1" t="str">
        <f>HYPERLINK("https%3A%2F%2Fwww.webofscience.com%2Fwos%2Fwoscc%2Ffull-record%2FWOS:A1995QD70900009","View Full Record in Web of Science")</f>
        <v>View Full Record in Web of Science</v>
      </c>
    </row>
    <row r="661" ht="12.75" customHeight="1">
      <c r="A661" s="1" t="s">
        <v>72</v>
      </c>
      <c r="B661" s="1" t="s">
        <v>6120</v>
      </c>
      <c r="C661" s="1" t="s">
        <v>74</v>
      </c>
      <c r="D661" s="1" t="s">
        <v>74</v>
      </c>
      <c r="E661" s="1" t="s">
        <v>74</v>
      </c>
      <c r="F661" s="1" t="s">
        <v>6120</v>
      </c>
      <c r="G661" s="1" t="s">
        <v>74</v>
      </c>
      <c r="H661" s="1" t="s">
        <v>74</v>
      </c>
      <c r="I661" s="1" t="s">
        <v>6121</v>
      </c>
      <c r="J661" s="1" t="s">
        <v>6122</v>
      </c>
      <c r="K661" s="1" t="s">
        <v>74</v>
      </c>
      <c r="L661" s="1" t="s">
        <v>74</v>
      </c>
      <c r="M661" s="1" t="s">
        <v>74</v>
      </c>
      <c r="N661" s="1" t="s">
        <v>74</v>
      </c>
      <c r="O661" s="1" t="s">
        <v>74</v>
      </c>
      <c r="P661" s="1" t="s">
        <v>74</v>
      </c>
      <c r="Q661" s="1" t="s">
        <v>74</v>
      </c>
      <c r="R661" s="1" t="s">
        <v>74</v>
      </c>
      <c r="S661" s="1" t="s">
        <v>74</v>
      </c>
      <c r="T661" s="1" t="s">
        <v>74</v>
      </c>
      <c r="U661" s="1" t="s">
        <v>74</v>
      </c>
      <c r="V661" s="1" t="s">
        <v>6123</v>
      </c>
      <c r="W661" s="1" t="s">
        <v>74</v>
      </c>
      <c r="X661" s="1" t="s">
        <v>74</v>
      </c>
      <c r="Y661" s="1" t="s">
        <v>74</v>
      </c>
      <c r="Z661" s="1" t="s">
        <v>74</v>
      </c>
      <c r="AA661" s="1" t="s">
        <v>74</v>
      </c>
      <c r="AB661" s="1" t="s">
        <v>74</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6124</v>
      </c>
      <c r="AP661" s="1" t="s">
        <v>74</v>
      </c>
      <c r="AQ661" s="1" t="s">
        <v>74</v>
      </c>
      <c r="AR661" s="1" t="s">
        <v>74</v>
      </c>
      <c r="AS661" s="1" t="s">
        <v>74</v>
      </c>
      <c r="AT661" s="1" t="s">
        <v>2824</v>
      </c>
      <c r="AU661" s="1">
        <v>1994.0</v>
      </c>
      <c r="AV661" s="1">
        <v>27.0</v>
      </c>
      <c r="AW661" s="1">
        <v>23.0</v>
      </c>
      <c r="AX661" s="1" t="s">
        <v>74</v>
      </c>
      <c r="AY661" s="1" t="s">
        <v>74</v>
      </c>
      <c r="AZ661" s="1" t="s">
        <v>74</v>
      </c>
      <c r="BA661" s="1" t="s">
        <v>74</v>
      </c>
      <c r="BB661" s="1">
        <v>6834.0</v>
      </c>
      <c r="BC661" s="1">
        <v>6840.0</v>
      </c>
      <c r="BD661" s="1" t="s">
        <v>74</v>
      </c>
      <c r="BE661" s="1" t="s">
        <v>6125</v>
      </c>
      <c r="BF661" s="2" t="str">
        <f>HYPERLINK("http://dx.doi.org/10.1021/ma00101a023","http://dx.doi.org/10.1021/ma00101a023")</f>
        <v>http://dx.doi.org/10.1021/ma00101a023</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6126</v>
      </c>
      <c r="BT661" s="1" t="str">
        <f>HYPERLINK("https%3A%2F%2Fwww.webofscience.com%2Fwos%2Fwoscc%2Ffull-record%2FWOS:A1994PQ78300023","View Full Record in Web of Science")</f>
        <v>View Full Record in Web of Science</v>
      </c>
    </row>
    <row r="662" ht="12.75" customHeight="1">
      <c r="A662" s="1" t="s">
        <v>72</v>
      </c>
      <c r="B662" s="1" t="s">
        <v>6127</v>
      </c>
      <c r="C662" s="1" t="s">
        <v>74</v>
      </c>
      <c r="D662" s="1" t="s">
        <v>74</v>
      </c>
      <c r="E662" s="1" t="s">
        <v>74</v>
      </c>
      <c r="F662" s="1" t="s">
        <v>6127</v>
      </c>
      <c r="G662" s="1" t="s">
        <v>74</v>
      </c>
      <c r="H662" s="1" t="s">
        <v>74</v>
      </c>
      <c r="I662" s="1" t="s">
        <v>6128</v>
      </c>
      <c r="J662" s="1" t="s">
        <v>6129</v>
      </c>
      <c r="K662" s="1" t="s">
        <v>74</v>
      </c>
      <c r="L662" s="1" t="s">
        <v>74</v>
      </c>
      <c r="M662" s="1" t="s">
        <v>74</v>
      </c>
      <c r="N662" s="1" t="s">
        <v>74</v>
      </c>
      <c r="O662" s="1" t="s">
        <v>74</v>
      </c>
      <c r="P662" s="1" t="s">
        <v>74</v>
      </c>
      <c r="Q662" s="1" t="s">
        <v>74</v>
      </c>
      <c r="R662" s="1" t="s">
        <v>74</v>
      </c>
      <c r="S662" s="1" t="s">
        <v>74</v>
      </c>
      <c r="T662" s="1" t="s">
        <v>74</v>
      </c>
      <c r="U662" s="1" t="s">
        <v>74</v>
      </c>
      <c r="V662" s="1" t="s">
        <v>74</v>
      </c>
      <c r="W662" s="1" t="s">
        <v>74</v>
      </c>
      <c r="X662" s="1" t="s">
        <v>74</v>
      </c>
      <c r="Y662" s="1" t="s">
        <v>74</v>
      </c>
      <c r="Z662" s="1" t="s">
        <v>74</v>
      </c>
      <c r="AA662" s="1" t="s">
        <v>6130</v>
      </c>
      <c r="AB662" s="1" t="s">
        <v>6131</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6132</v>
      </c>
      <c r="AP662" s="1" t="s">
        <v>74</v>
      </c>
      <c r="AQ662" s="1" t="s">
        <v>74</v>
      </c>
      <c r="AR662" s="1" t="s">
        <v>74</v>
      </c>
      <c r="AS662" s="1" t="s">
        <v>74</v>
      </c>
      <c r="AT662" s="1" t="s">
        <v>607</v>
      </c>
      <c r="AU662" s="1">
        <v>1987.0</v>
      </c>
      <c r="AV662" s="1">
        <v>36.0</v>
      </c>
      <c r="AW662" s="1">
        <v>2.0</v>
      </c>
      <c r="AX662" s="1" t="s">
        <v>74</v>
      </c>
      <c r="AY662" s="1" t="s">
        <v>74</v>
      </c>
      <c r="AZ662" s="1" t="s">
        <v>74</v>
      </c>
      <c r="BA662" s="1" t="s">
        <v>74</v>
      </c>
      <c r="BB662" s="1">
        <v>177.0</v>
      </c>
      <c r="BC662" s="1">
        <v>184.0</v>
      </c>
      <c r="BD662" s="1" t="s">
        <v>74</v>
      </c>
      <c r="BE662" s="1" t="s">
        <v>6133</v>
      </c>
      <c r="BF662" s="2" t="str">
        <f>HYPERLINK("http://dx.doi.org/10.1016/0047-2670(87)87074-0","http://dx.doi.org/10.1016/0047-2670(87)87074-0")</f>
        <v>http://dx.doi.org/10.1016/0047-2670(87)87074-0</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6134</v>
      </c>
      <c r="BT662" s="1" t="str">
        <f>HYPERLINK("https%3A%2F%2Fwww.webofscience.com%2Fwos%2Fwoscc%2Ffull-record%2FWOS:A1987F873600005","View Full Record in Web of Science")</f>
        <v>View Full Record in Web of Science</v>
      </c>
    </row>
    <row r="663" ht="12.75" customHeight="1">
      <c r="A663" s="1" t="s">
        <v>72</v>
      </c>
      <c r="B663" s="1" t="s">
        <v>6135</v>
      </c>
      <c r="C663" s="1" t="s">
        <v>74</v>
      </c>
      <c r="D663" s="1" t="s">
        <v>74</v>
      </c>
      <c r="E663" s="1" t="s">
        <v>74</v>
      </c>
      <c r="F663" s="1" t="s">
        <v>6135</v>
      </c>
      <c r="G663" s="1" t="s">
        <v>74</v>
      </c>
      <c r="H663" s="1" t="s">
        <v>74</v>
      </c>
      <c r="I663" s="1" t="s">
        <v>6136</v>
      </c>
      <c r="J663" s="1" t="s">
        <v>6137</v>
      </c>
      <c r="K663" s="1" t="s">
        <v>74</v>
      </c>
      <c r="L663" s="1" t="s">
        <v>74</v>
      </c>
      <c r="M663" s="1" t="s">
        <v>74</v>
      </c>
      <c r="N663" s="1" t="s">
        <v>74</v>
      </c>
      <c r="O663" s="1" t="s">
        <v>74</v>
      </c>
      <c r="P663" s="1" t="s">
        <v>74</v>
      </c>
      <c r="Q663" s="1" t="s">
        <v>74</v>
      </c>
      <c r="R663" s="1" t="s">
        <v>74</v>
      </c>
      <c r="S663" s="1" t="s">
        <v>74</v>
      </c>
      <c r="T663" s="1" t="s">
        <v>74</v>
      </c>
      <c r="U663" s="1" t="s">
        <v>74</v>
      </c>
      <c r="V663" s="1" t="s">
        <v>74</v>
      </c>
      <c r="W663" s="1" t="s">
        <v>74</v>
      </c>
      <c r="X663" s="1" t="s">
        <v>74</v>
      </c>
      <c r="Y663" s="1" t="s">
        <v>74</v>
      </c>
      <c r="Z663" s="1" t="s">
        <v>74</v>
      </c>
      <c r="AA663" s="1" t="s">
        <v>74</v>
      </c>
      <c r="AB663" s="1" t="s">
        <v>74</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6138</v>
      </c>
      <c r="AP663" s="1" t="s">
        <v>74</v>
      </c>
      <c r="AQ663" s="1" t="s">
        <v>74</v>
      </c>
      <c r="AR663" s="1" t="s">
        <v>74</v>
      </c>
      <c r="AS663" s="1" t="s">
        <v>74</v>
      </c>
      <c r="AT663" s="1" t="s">
        <v>74</v>
      </c>
      <c r="AU663" s="1">
        <v>1985.0</v>
      </c>
      <c r="AV663" s="1">
        <v>9.0</v>
      </c>
      <c r="AW663" s="1">
        <v>1.0</v>
      </c>
      <c r="AX663" s="1" t="s">
        <v>74</v>
      </c>
      <c r="AY663" s="1" t="s">
        <v>74</v>
      </c>
      <c r="AZ663" s="1" t="s">
        <v>74</v>
      </c>
      <c r="BA663" s="1" t="s">
        <v>74</v>
      </c>
      <c r="BB663" s="1">
        <v>13.0</v>
      </c>
      <c r="BC663" s="1">
        <v>22.0</v>
      </c>
      <c r="BD663" s="1" t="s">
        <v>74</v>
      </c>
      <c r="BE663" s="1" t="s">
        <v>6139</v>
      </c>
      <c r="BF663" s="2" t="str">
        <f>HYPERLINK("http://dx.doi.org/10.1016/0362-546X(85)90049-5","http://dx.doi.org/10.1016/0362-546X(85)90049-5")</f>
        <v>http://dx.doi.org/10.1016/0362-546X(85)90049-5</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6140</v>
      </c>
      <c r="BT663" s="1" t="str">
        <f>HYPERLINK("https%3A%2F%2Fwww.webofscience.com%2Fwos%2Fwoscc%2Ffull-record%2FWOS:A1985ACM7100002","View Full Record in Web of Science")</f>
        <v>View Full Record in Web of Science</v>
      </c>
    </row>
    <row r="664" ht="12.75" customHeight="1">
      <c r="A664" s="1" t="s">
        <v>72</v>
      </c>
      <c r="B664" s="1" t="s">
        <v>6141</v>
      </c>
      <c r="C664" s="1" t="s">
        <v>74</v>
      </c>
      <c r="D664" s="1" t="s">
        <v>74</v>
      </c>
      <c r="E664" s="1" t="s">
        <v>74</v>
      </c>
      <c r="F664" s="1" t="s">
        <v>6141</v>
      </c>
      <c r="G664" s="1" t="s">
        <v>74</v>
      </c>
      <c r="H664" s="1" t="s">
        <v>74</v>
      </c>
      <c r="I664" s="1" t="s">
        <v>6142</v>
      </c>
      <c r="J664" s="1" t="s">
        <v>6143</v>
      </c>
      <c r="K664" s="1" t="s">
        <v>74</v>
      </c>
      <c r="L664" s="1" t="s">
        <v>74</v>
      </c>
      <c r="M664" s="1" t="s">
        <v>74</v>
      </c>
      <c r="N664" s="1" t="s">
        <v>74</v>
      </c>
      <c r="O664" s="1" t="s">
        <v>74</v>
      </c>
      <c r="P664" s="1" t="s">
        <v>74</v>
      </c>
      <c r="Q664" s="1" t="s">
        <v>74</v>
      </c>
      <c r="R664" s="1" t="s">
        <v>74</v>
      </c>
      <c r="S664" s="1" t="s">
        <v>74</v>
      </c>
      <c r="T664" s="1" t="s">
        <v>74</v>
      </c>
      <c r="U664" s="1" t="s">
        <v>74</v>
      </c>
      <c r="V664" s="1" t="s">
        <v>74</v>
      </c>
      <c r="W664" s="1" t="s">
        <v>74</v>
      </c>
      <c r="X664" s="1" t="s">
        <v>74</v>
      </c>
      <c r="Y664" s="1" t="s">
        <v>74</v>
      </c>
      <c r="Z664" s="1" t="s">
        <v>74</v>
      </c>
      <c r="AA664" s="1" t="s">
        <v>74</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6144</v>
      </c>
      <c r="AP664" s="1" t="s">
        <v>74</v>
      </c>
      <c r="AQ664" s="1" t="s">
        <v>74</v>
      </c>
      <c r="AR664" s="1" t="s">
        <v>74</v>
      </c>
      <c r="AS664" s="1" t="s">
        <v>74</v>
      </c>
      <c r="AT664" s="1" t="s">
        <v>74</v>
      </c>
      <c r="AU664" s="1">
        <v>1979.0</v>
      </c>
      <c r="AV664" s="1">
        <v>15.0</v>
      </c>
      <c r="AW664" s="1">
        <v>4.0</v>
      </c>
      <c r="AX664" s="1" t="s">
        <v>74</v>
      </c>
      <c r="AY664" s="1" t="s">
        <v>74</v>
      </c>
      <c r="AZ664" s="1" t="s">
        <v>74</v>
      </c>
      <c r="BA664" s="1" t="s">
        <v>74</v>
      </c>
      <c r="BB664" s="1">
        <v>373.0</v>
      </c>
      <c r="BC664" s="1">
        <v>377.0</v>
      </c>
      <c r="BD664" s="1" t="s">
        <v>74</v>
      </c>
      <c r="BE664" s="1" t="s">
        <v>6145</v>
      </c>
      <c r="BF664" s="2" t="str">
        <f>HYPERLINK("http://dx.doi.org/10.1016/0014-3057(79)90156-3","http://dx.doi.org/10.1016/0014-3057(79)90156-3")</f>
        <v>http://dx.doi.org/10.1016/0014-3057(79)90156-3</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6146</v>
      </c>
      <c r="BT664" s="1" t="str">
        <f>HYPERLINK("https%3A%2F%2Fwww.webofscience.com%2Fwos%2Fwoscc%2Ffull-record%2FWOS:A1979GT84300010","View Full Record in Web of Science")</f>
        <v>View Full Record in Web of Science</v>
      </c>
    </row>
    <row r="665" ht="12.75" customHeight="1">
      <c r="A665" s="1" t="s">
        <v>72</v>
      </c>
      <c r="B665" s="1" t="s">
        <v>6147</v>
      </c>
      <c r="C665" s="1" t="s">
        <v>74</v>
      </c>
      <c r="D665" s="1" t="s">
        <v>74</v>
      </c>
      <c r="E665" s="1" t="s">
        <v>74</v>
      </c>
      <c r="F665" s="1" t="s">
        <v>6148</v>
      </c>
      <c r="G665" s="1" t="s">
        <v>74</v>
      </c>
      <c r="H665" s="1" t="s">
        <v>74</v>
      </c>
      <c r="I665" s="1" t="s">
        <v>6149</v>
      </c>
      <c r="J665" s="1" t="s">
        <v>6150</v>
      </c>
      <c r="K665" s="1" t="s">
        <v>74</v>
      </c>
      <c r="L665" s="1" t="s">
        <v>74</v>
      </c>
      <c r="M665" s="1" t="s">
        <v>74</v>
      </c>
      <c r="N665" s="1" t="s">
        <v>74</v>
      </c>
      <c r="O665" s="1" t="s">
        <v>74</v>
      </c>
      <c r="P665" s="1" t="s">
        <v>74</v>
      </c>
      <c r="Q665" s="1" t="s">
        <v>74</v>
      </c>
      <c r="R665" s="1" t="s">
        <v>74</v>
      </c>
      <c r="S665" s="1" t="s">
        <v>74</v>
      </c>
      <c r="T665" s="1" t="s">
        <v>74</v>
      </c>
      <c r="U665" s="1" t="s">
        <v>74</v>
      </c>
      <c r="V665" s="1" t="s">
        <v>6151</v>
      </c>
      <c r="W665" s="1" t="s">
        <v>74</v>
      </c>
      <c r="X665" s="1" t="s">
        <v>74</v>
      </c>
      <c r="Y665" s="1" t="s">
        <v>74</v>
      </c>
      <c r="Z665" s="1" t="s">
        <v>74</v>
      </c>
      <c r="AA665" s="1" t="s">
        <v>6152</v>
      </c>
      <c r="AB665" s="1" t="s">
        <v>2980</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6153</v>
      </c>
      <c r="AP665" s="1" t="s">
        <v>6154</v>
      </c>
      <c r="AQ665" s="1" t="s">
        <v>74</v>
      </c>
      <c r="AR665" s="1" t="s">
        <v>74</v>
      </c>
      <c r="AS665" s="1" t="s">
        <v>74</v>
      </c>
      <c r="AT665" s="1" t="s">
        <v>174</v>
      </c>
      <c r="AU665" s="1">
        <v>2025.0</v>
      </c>
      <c r="AV665" s="1">
        <v>379.0</v>
      </c>
      <c r="AW665" s="1" t="s">
        <v>74</v>
      </c>
      <c r="AX665" s="1" t="s">
        <v>74</v>
      </c>
      <c r="AY665" s="1" t="s">
        <v>74</v>
      </c>
      <c r="AZ665" s="1" t="s">
        <v>74</v>
      </c>
      <c r="BA665" s="1" t="s">
        <v>74</v>
      </c>
      <c r="BB665" s="1" t="s">
        <v>74</v>
      </c>
      <c r="BC665" s="1" t="s">
        <v>74</v>
      </c>
      <c r="BD665" s="1">
        <v>124747.0</v>
      </c>
      <c r="BE665" s="1" t="s">
        <v>6155</v>
      </c>
      <c r="BF665" s="2" t="str">
        <f>HYPERLINK("http://dx.doi.org/10.1016/j.jenvman.2025.124747","http://dx.doi.org/10.1016/j.jenvman.2025.124747")</f>
        <v>http://dx.doi.org/10.1016/j.jenvman.2025.124747</v>
      </c>
      <c r="BG665" s="1" t="s">
        <v>74</v>
      </c>
      <c r="BH665" s="1" t="s">
        <v>6156</v>
      </c>
      <c r="BI665" s="1" t="s">
        <v>74</v>
      </c>
      <c r="BJ665" s="1" t="s">
        <v>74</v>
      </c>
      <c r="BK665" s="1" t="s">
        <v>74</v>
      </c>
      <c r="BL665" s="1" t="s">
        <v>74</v>
      </c>
      <c r="BM665" s="1" t="s">
        <v>74</v>
      </c>
      <c r="BN665" s="1">
        <v>4.0054349E7</v>
      </c>
      <c r="BO665" s="1" t="s">
        <v>74</v>
      </c>
      <c r="BP665" s="1" t="s">
        <v>74</v>
      </c>
      <c r="BQ665" s="1" t="s">
        <v>74</v>
      </c>
      <c r="BR665" s="1" t="s">
        <v>74</v>
      </c>
      <c r="BS665" s="1" t="s">
        <v>6157</v>
      </c>
      <c r="BT665" s="1" t="str">
        <f>HYPERLINK("https%3A%2F%2Fwww.webofscience.com%2Fwos%2Fwoscc%2Ffull-record%2FWOS:001441988600001","View Full Record in Web of Science")</f>
        <v>View Full Record in Web of Science</v>
      </c>
    </row>
    <row r="666" ht="12.75" customHeight="1">
      <c r="A666" s="1" t="s">
        <v>72</v>
      </c>
      <c r="B666" s="1" t="s">
        <v>6158</v>
      </c>
      <c r="C666" s="1" t="s">
        <v>74</v>
      </c>
      <c r="D666" s="1" t="s">
        <v>74</v>
      </c>
      <c r="E666" s="1" t="s">
        <v>74</v>
      </c>
      <c r="F666" s="1" t="s">
        <v>6159</v>
      </c>
      <c r="G666" s="1" t="s">
        <v>74</v>
      </c>
      <c r="H666" s="1" t="s">
        <v>74</v>
      </c>
      <c r="I666" s="1" t="s">
        <v>6160</v>
      </c>
      <c r="J666" s="1" t="s">
        <v>6161</v>
      </c>
      <c r="K666" s="1" t="s">
        <v>74</v>
      </c>
      <c r="L666" s="1" t="s">
        <v>74</v>
      </c>
      <c r="M666" s="1" t="s">
        <v>74</v>
      </c>
      <c r="N666" s="1" t="s">
        <v>74</v>
      </c>
      <c r="O666" s="1" t="s">
        <v>74</v>
      </c>
      <c r="P666" s="1" t="s">
        <v>74</v>
      </c>
      <c r="Q666" s="1" t="s">
        <v>74</v>
      </c>
      <c r="R666" s="1" t="s">
        <v>74</v>
      </c>
      <c r="S666" s="1" t="s">
        <v>74</v>
      </c>
      <c r="T666" s="1" t="s">
        <v>74</v>
      </c>
      <c r="U666" s="1" t="s">
        <v>74</v>
      </c>
      <c r="V666" s="1" t="s">
        <v>6162</v>
      </c>
      <c r="W666" s="1" t="s">
        <v>74</v>
      </c>
      <c r="X666" s="1" t="s">
        <v>74</v>
      </c>
      <c r="Y666" s="1" t="s">
        <v>74</v>
      </c>
      <c r="Z666" s="1" t="s">
        <v>74</v>
      </c>
      <c r="AA666" s="1" t="s">
        <v>6163</v>
      </c>
      <c r="AB666" s="1" t="s">
        <v>6164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74</v>
      </c>
      <c r="AP666" s="1" t="s">
        <v>6165</v>
      </c>
      <c r="AQ666" s="1" t="s">
        <v>74</v>
      </c>
      <c r="AR666" s="1" t="s">
        <v>74</v>
      </c>
      <c r="AS666" s="1" t="s">
        <v>74</v>
      </c>
      <c r="AT666" s="1" t="s">
        <v>6166</v>
      </c>
      <c r="AU666" s="1">
        <v>2025.0</v>
      </c>
      <c r="AV666" s="1">
        <v>5.0</v>
      </c>
      <c r="AW666" s="1">
        <v>1.0</v>
      </c>
      <c r="AX666" s="1" t="s">
        <v>74</v>
      </c>
      <c r="AY666" s="1" t="s">
        <v>74</v>
      </c>
      <c r="AZ666" s="1" t="s">
        <v>74</v>
      </c>
      <c r="BA666" s="1" t="s">
        <v>74</v>
      </c>
      <c r="BB666" s="1">
        <v>350.0</v>
      </c>
      <c r="BC666" s="1">
        <v>358.0</v>
      </c>
      <c r="BD666" s="1" t="s">
        <v>74</v>
      </c>
      <c r="BE666" s="1" t="s">
        <v>6167</v>
      </c>
      <c r="BF666" s="2" t="str">
        <f>HYPERLINK("http://dx.doi.org/10.1021/acsfoodscitech.4c00821","http://dx.doi.org/10.1021/acsfoodscitech.4c00821")</f>
        <v>http://dx.doi.org/10.1021/acsfoodscitech.4c00821</v>
      </c>
      <c r="BG666" s="1" t="s">
        <v>74</v>
      </c>
      <c r="BH666" s="1" t="s">
        <v>1054</v>
      </c>
      <c r="BI666" s="1" t="s">
        <v>74</v>
      </c>
      <c r="BJ666" s="1" t="s">
        <v>74</v>
      </c>
      <c r="BK666" s="1" t="s">
        <v>74</v>
      </c>
      <c r="BL666" s="1" t="s">
        <v>74</v>
      </c>
      <c r="BM666" s="1" t="s">
        <v>74</v>
      </c>
      <c r="BN666" s="1" t="s">
        <v>74</v>
      </c>
      <c r="BO666" s="1" t="s">
        <v>74</v>
      </c>
      <c r="BP666" s="1" t="s">
        <v>74</v>
      </c>
      <c r="BQ666" s="1" t="s">
        <v>74</v>
      </c>
      <c r="BR666" s="1" t="s">
        <v>74</v>
      </c>
      <c r="BS666" s="1" t="s">
        <v>6168</v>
      </c>
      <c r="BT666" s="1" t="str">
        <f>HYPERLINK("https%3A%2F%2Fwww.webofscience.com%2Fwos%2Fwoscc%2Ffull-record%2FWOS:001392187200001","View Full Record in Web of Science")</f>
        <v>View Full Record in Web of Science</v>
      </c>
    </row>
    <row r="667" ht="12.75" customHeight="1">
      <c r="A667" s="1" t="s">
        <v>72</v>
      </c>
      <c r="B667" s="1" t="s">
        <v>6169</v>
      </c>
      <c r="C667" s="1" t="s">
        <v>74</v>
      </c>
      <c r="D667" s="1" t="s">
        <v>74</v>
      </c>
      <c r="E667" s="1" t="s">
        <v>74</v>
      </c>
      <c r="F667" s="1" t="s">
        <v>6170</v>
      </c>
      <c r="G667" s="1" t="s">
        <v>74</v>
      </c>
      <c r="H667" s="1" t="s">
        <v>74</v>
      </c>
      <c r="I667" s="1" t="s">
        <v>6171</v>
      </c>
      <c r="J667" s="1" t="s">
        <v>112</v>
      </c>
      <c r="K667" s="1" t="s">
        <v>74</v>
      </c>
      <c r="L667" s="1" t="s">
        <v>74</v>
      </c>
      <c r="M667" s="1" t="s">
        <v>74</v>
      </c>
      <c r="N667" s="1" t="s">
        <v>74</v>
      </c>
      <c r="O667" s="1" t="s">
        <v>74</v>
      </c>
      <c r="P667" s="1" t="s">
        <v>74</v>
      </c>
      <c r="Q667" s="1" t="s">
        <v>74</v>
      </c>
      <c r="R667" s="1" t="s">
        <v>74</v>
      </c>
      <c r="S667" s="1" t="s">
        <v>74</v>
      </c>
      <c r="T667" s="1" t="s">
        <v>74</v>
      </c>
      <c r="U667" s="1" t="s">
        <v>74</v>
      </c>
      <c r="V667" s="1" t="s">
        <v>6172</v>
      </c>
      <c r="W667" s="1" t="s">
        <v>74</v>
      </c>
      <c r="X667" s="1" t="s">
        <v>74</v>
      </c>
      <c r="Y667" s="1" t="s">
        <v>74</v>
      </c>
      <c r="Z667" s="1" t="s">
        <v>74</v>
      </c>
      <c r="AA667" s="1" t="s">
        <v>6173</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115</v>
      </c>
      <c r="AP667" s="1" t="s">
        <v>492</v>
      </c>
      <c r="AQ667" s="1" t="s">
        <v>74</v>
      </c>
      <c r="AR667" s="1" t="s">
        <v>74</v>
      </c>
      <c r="AS667" s="1" t="s">
        <v>74</v>
      </c>
      <c r="AT667" s="1" t="s">
        <v>501</v>
      </c>
      <c r="AU667" s="1">
        <v>2024.0</v>
      </c>
      <c r="AV667" s="1">
        <v>152.0</v>
      </c>
      <c r="AW667" s="1">
        <v>11.0</v>
      </c>
      <c r="AX667" s="1" t="s">
        <v>74</v>
      </c>
      <c r="AY667" s="1" t="s">
        <v>74</v>
      </c>
      <c r="AZ667" s="1" t="s">
        <v>74</v>
      </c>
      <c r="BA667" s="1" t="s">
        <v>74</v>
      </c>
      <c r="BB667" s="1">
        <v>1111.0</v>
      </c>
      <c r="BC667" s="1">
        <v>1119.0</v>
      </c>
      <c r="BD667" s="1" t="s">
        <v>74</v>
      </c>
      <c r="BE667" s="1" t="s">
        <v>6174</v>
      </c>
      <c r="BF667" s="2" t="str">
        <f>HYPERLINK("http://dx.doi.org/10.4067/s0034-98872024001101111","http://dx.doi.org/10.4067/s0034-98872024001101111")</f>
        <v>http://dx.doi.org/10.4067/s0034-98872024001101111</v>
      </c>
      <c r="BG667" s="1" t="s">
        <v>74</v>
      </c>
      <c r="BH667" s="1" t="s">
        <v>74</v>
      </c>
      <c r="BI667" s="1" t="s">
        <v>74</v>
      </c>
      <c r="BJ667" s="1" t="s">
        <v>74</v>
      </c>
      <c r="BK667" s="1" t="s">
        <v>74</v>
      </c>
      <c r="BL667" s="1" t="s">
        <v>74</v>
      </c>
      <c r="BM667" s="1" t="s">
        <v>74</v>
      </c>
      <c r="BN667" s="1">
        <v>4.0053019E7</v>
      </c>
      <c r="BO667" s="1" t="s">
        <v>74</v>
      </c>
      <c r="BP667" s="1" t="s">
        <v>74</v>
      </c>
      <c r="BQ667" s="1" t="s">
        <v>74</v>
      </c>
      <c r="BR667" s="1" t="s">
        <v>74</v>
      </c>
      <c r="BS667" s="1" t="s">
        <v>6175</v>
      </c>
      <c r="BT667" s="1" t="str">
        <f>HYPERLINK("https%3A%2F%2Fwww.webofscience.com%2Fwos%2Fwoscc%2Ffull-record%2FWOS:001445062300001","View Full Record in Web of Science")</f>
        <v>View Full Record in Web of Science</v>
      </c>
    </row>
    <row r="668" ht="12.75" customHeight="1">
      <c r="A668" s="1" t="s">
        <v>72</v>
      </c>
      <c r="B668" s="1" t="s">
        <v>6176</v>
      </c>
      <c r="C668" s="1" t="s">
        <v>74</v>
      </c>
      <c r="D668" s="1" t="s">
        <v>74</v>
      </c>
      <c r="E668" s="1" t="s">
        <v>74</v>
      </c>
      <c r="F668" s="1" t="s">
        <v>6177</v>
      </c>
      <c r="G668" s="1" t="s">
        <v>74</v>
      </c>
      <c r="H668" s="1" t="s">
        <v>74</v>
      </c>
      <c r="I668" s="1" t="s">
        <v>6178</v>
      </c>
      <c r="J668" s="1" t="s">
        <v>6179</v>
      </c>
      <c r="K668" s="1" t="s">
        <v>74</v>
      </c>
      <c r="L668" s="1" t="s">
        <v>74</v>
      </c>
      <c r="M668" s="1" t="s">
        <v>74</v>
      </c>
      <c r="N668" s="1" t="s">
        <v>74</v>
      </c>
      <c r="O668" s="1" t="s">
        <v>74</v>
      </c>
      <c r="P668" s="1" t="s">
        <v>74</v>
      </c>
      <c r="Q668" s="1" t="s">
        <v>74</v>
      </c>
      <c r="R668" s="1" t="s">
        <v>74</v>
      </c>
      <c r="S668" s="1" t="s">
        <v>74</v>
      </c>
      <c r="T668" s="1" t="s">
        <v>74</v>
      </c>
      <c r="U668" s="1" t="s">
        <v>74</v>
      </c>
      <c r="V668" s="1" t="s">
        <v>74</v>
      </c>
      <c r="W668" s="1" t="s">
        <v>74</v>
      </c>
      <c r="X668" s="1" t="s">
        <v>74</v>
      </c>
      <c r="Y668" s="1" t="s">
        <v>74</v>
      </c>
      <c r="Z668" s="1" t="s">
        <v>74</v>
      </c>
      <c r="AA668" s="1" t="s">
        <v>74</v>
      </c>
      <c r="AB668" s="1" t="s">
        <v>74</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6180</v>
      </c>
      <c r="AP668" s="1" t="s">
        <v>6181</v>
      </c>
      <c r="AQ668" s="1" t="s">
        <v>74</v>
      </c>
      <c r="AR668" s="1" t="s">
        <v>74</v>
      </c>
      <c r="AS668" s="1" t="s">
        <v>74</v>
      </c>
      <c r="AT668" s="1" t="s">
        <v>6182</v>
      </c>
      <c r="AU668" s="1">
        <v>2024.0</v>
      </c>
      <c r="AV668" s="1">
        <v>29.0</v>
      </c>
      <c r="AW668" s="1">
        <v>65.0</v>
      </c>
      <c r="AX668" s="1" t="s">
        <v>74</v>
      </c>
      <c r="AY668" s="1" t="s">
        <v>74</v>
      </c>
      <c r="AZ668" s="1" t="s">
        <v>74</v>
      </c>
      <c r="BA668" s="1" t="s">
        <v>74</v>
      </c>
      <c r="BB668" s="1" t="s">
        <v>74</v>
      </c>
      <c r="BC668" s="1" t="s">
        <v>74</v>
      </c>
      <c r="BD668" s="1" t="s">
        <v>74</v>
      </c>
      <c r="BE668" s="1" t="s">
        <v>6183</v>
      </c>
      <c r="BF668" s="2" t="str">
        <f>HYPERLINK("http://dx.doi.org/10.22409/gragoata.v29i65.65427.pt","http://dx.doi.org/10.22409/gragoata.v29i65.65427.pt")</f>
        <v>http://dx.doi.org/10.22409/gragoata.v29i65.65427.pt</v>
      </c>
      <c r="BG668" s="1" t="s">
        <v>74</v>
      </c>
      <c r="BH668" s="1" t="s">
        <v>74</v>
      </c>
      <c r="BI668" s="1" t="s">
        <v>74</v>
      </c>
      <c r="BJ668" s="1" t="s">
        <v>74</v>
      </c>
      <c r="BK668" s="1" t="s">
        <v>74</v>
      </c>
      <c r="BL668" s="1" t="s">
        <v>74</v>
      </c>
      <c r="BM668" s="1" t="s">
        <v>74</v>
      </c>
      <c r="BN668" s="1" t="s">
        <v>74</v>
      </c>
      <c r="BO668" s="1" t="s">
        <v>74</v>
      </c>
      <c r="BP668" s="1" t="s">
        <v>74</v>
      </c>
      <c r="BQ668" s="1" t="s">
        <v>74</v>
      </c>
      <c r="BR668" s="1" t="s">
        <v>74</v>
      </c>
      <c r="BS668" s="1" t="s">
        <v>6184</v>
      </c>
      <c r="BT668" s="1" t="str">
        <f>HYPERLINK("https%3A%2F%2Fwww.webofscience.com%2Fwos%2Fwoscc%2Ffull-record%2FWOS:001383080200012","View Full Record in Web of Science")</f>
        <v>View Full Record in Web of Science</v>
      </c>
    </row>
    <row r="669" ht="12.75" customHeight="1">
      <c r="A669" s="1" t="s">
        <v>442</v>
      </c>
      <c r="B669" s="1" t="s">
        <v>6185</v>
      </c>
      <c r="C669" s="1" t="s">
        <v>74</v>
      </c>
      <c r="D669" s="1" t="s">
        <v>6186</v>
      </c>
      <c r="E669" s="1" t="s">
        <v>74</v>
      </c>
      <c r="F669" s="1" t="s">
        <v>6187</v>
      </c>
      <c r="G669" s="1" t="s">
        <v>74</v>
      </c>
      <c r="H669" s="1" t="s">
        <v>74</v>
      </c>
      <c r="I669" s="1" t="s">
        <v>6188</v>
      </c>
      <c r="J669" s="1" t="s">
        <v>6189</v>
      </c>
      <c r="K669" s="1" t="s">
        <v>6190</v>
      </c>
      <c r="L669" s="1" t="s">
        <v>74</v>
      </c>
      <c r="M669" s="1" t="s">
        <v>74</v>
      </c>
      <c r="N669" s="1" t="s">
        <v>74</v>
      </c>
      <c r="O669" s="1" t="s">
        <v>74</v>
      </c>
      <c r="P669" s="1" t="s">
        <v>74</v>
      </c>
      <c r="Q669" s="1" t="s">
        <v>74</v>
      </c>
      <c r="R669" s="1" t="s">
        <v>74</v>
      </c>
      <c r="S669" s="1" t="s">
        <v>74</v>
      </c>
      <c r="T669" s="1" t="s">
        <v>74</v>
      </c>
      <c r="U669" s="1" t="s">
        <v>74</v>
      </c>
      <c r="V669" s="1" t="s">
        <v>74</v>
      </c>
      <c r="W669" s="1" t="s">
        <v>74</v>
      </c>
      <c r="X669" s="1" t="s">
        <v>74</v>
      </c>
      <c r="Y669" s="1" t="s">
        <v>74</v>
      </c>
      <c r="Z669" s="1" t="s">
        <v>74</v>
      </c>
      <c r="AA669" s="1" t="s">
        <v>6191</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74</v>
      </c>
      <c r="AQ669" s="1" t="s">
        <v>6192</v>
      </c>
      <c r="AR669" s="1" t="s">
        <v>74</v>
      </c>
      <c r="AS669" s="1" t="s">
        <v>74</v>
      </c>
      <c r="AT669" s="1" t="s">
        <v>74</v>
      </c>
      <c r="AU669" s="1">
        <v>2024.0</v>
      </c>
      <c r="AV669" s="1" t="s">
        <v>74</v>
      </c>
      <c r="AW669" s="1" t="s">
        <v>74</v>
      </c>
      <c r="AX669" s="1" t="s">
        <v>74</v>
      </c>
      <c r="AY669" s="1" t="s">
        <v>74</v>
      </c>
      <c r="AZ669" s="1" t="s">
        <v>74</v>
      </c>
      <c r="BA669" s="1" t="s">
        <v>74</v>
      </c>
      <c r="BB669" s="1">
        <v>166.0</v>
      </c>
      <c r="BC669" s="1">
        <v>177.0</v>
      </c>
      <c r="BD669" s="1" t="s">
        <v>74</v>
      </c>
      <c r="BE669" s="1" t="s">
        <v>74</v>
      </c>
      <c r="BF669" s="1" t="s">
        <v>74</v>
      </c>
      <c r="BG669" s="1" t="s">
        <v>6193</v>
      </c>
      <c r="BH669" s="1" t="s">
        <v>74</v>
      </c>
      <c r="BI669" s="1" t="s">
        <v>74</v>
      </c>
      <c r="BJ669" s="1" t="s">
        <v>74</v>
      </c>
      <c r="BK669" s="1" t="s">
        <v>74</v>
      </c>
      <c r="BL669" s="1" t="s">
        <v>74</v>
      </c>
      <c r="BM669" s="1" t="s">
        <v>74</v>
      </c>
      <c r="BN669" s="1" t="s">
        <v>74</v>
      </c>
      <c r="BO669" s="1" t="s">
        <v>74</v>
      </c>
      <c r="BP669" s="1" t="s">
        <v>74</v>
      </c>
      <c r="BQ669" s="1" t="s">
        <v>74</v>
      </c>
      <c r="BR669" s="1" t="s">
        <v>74</v>
      </c>
      <c r="BS669" s="1" t="s">
        <v>6194</v>
      </c>
      <c r="BT669" s="1" t="str">
        <f>HYPERLINK("https%3A%2F%2Fwww.webofscience.com%2Fwos%2Fwoscc%2Ffull-record%2FWOS:001374078800015","View Full Record in Web of Science")</f>
        <v>View Full Record in Web of Science</v>
      </c>
    </row>
    <row r="670" ht="12.75" customHeight="1">
      <c r="A670" s="1" t="s">
        <v>72</v>
      </c>
      <c r="B670" s="1" t="s">
        <v>6195</v>
      </c>
      <c r="C670" s="1" t="s">
        <v>74</v>
      </c>
      <c r="D670" s="1" t="s">
        <v>74</v>
      </c>
      <c r="E670" s="1" t="s">
        <v>74</v>
      </c>
      <c r="F670" s="1" t="s">
        <v>6196</v>
      </c>
      <c r="G670" s="1" t="s">
        <v>74</v>
      </c>
      <c r="H670" s="1" t="s">
        <v>74</v>
      </c>
      <c r="I670" s="1" t="s">
        <v>6197</v>
      </c>
      <c r="J670" s="1" t="s">
        <v>2504</v>
      </c>
      <c r="K670" s="1" t="s">
        <v>74</v>
      </c>
      <c r="L670" s="1" t="s">
        <v>74</v>
      </c>
      <c r="M670" s="1" t="s">
        <v>74</v>
      </c>
      <c r="N670" s="1" t="s">
        <v>74</v>
      </c>
      <c r="O670" s="1" t="s">
        <v>74</v>
      </c>
      <c r="P670" s="1" t="s">
        <v>74</v>
      </c>
      <c r="Q670" s="1" t="s">
        <v>74</v>
      </c>
      <c r="R670" s="1" t="s">
        <v>74</v>
      </c>
      <c r="S670" s="1" t="s">
        <v>74</v>
      </c>
      <c r="T670" s="1" t="s">
        <v>74</v>
      </c>
      <c r="U670" s="1" t="s">
        <v>74</v>
      </c>
      <c r="V670" s="1" t="s">
        <v>6198</v>
      </c>
      <c r="W670" s="1" t="s">
        <v>74</v>
      </c>
      <c r="X670" s="1" t="s">
        <v>74</v>
      </c>
      <c r="Y670" s="1" t="s">
        <v>74</v>
      </c>
      <c r="Z670" s="1" t="s">
        <v>74</v>
      </c>
      <c r="AA670" s="1" t="s">
        <v>6199</v>
      </c>
      <c r="AB670" s="1" t="s">
        <v>6200</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2508</v>
      </c>
      <c r="AP670" s="1" t="s">
        <v>74</v>
      </c>
      <c r="AQ670" s="1" t="s">
        <v>74</v>
      </c>
      <c r="AR670" s="1" t="s">
        <v>74</v>
      </c>
      <c r="AS670" s="1" t="s">
        <v>74</v>
      </c>
      <c r="AT670" s="1" t="s">
        <v>116</v>
      </c>
      <c r="AU670" s="1">
        <v>2023.0</v>
      </c>
      <c r="AV670" s="1">
        <v>53.0</v>
      </c>
      <c r="AW670" s="1" t="s">
        <v>74</v>
      </c>
      <c r="AX670" s="1" t="s">
        <v>74</v>
      </c>
      <c r="AY670" s="1" t="s">
        <v>74</v>
      </c>
      <c r="AZ670" s="1" t="s">
        <v>74</v>
      </c>
      <c r="BA670" s="1" t="s">
        <v>74</v>
      </c>
      <c r="BB670" s="1" t="s">
        <v>74</v>
      </c>
      <c r="BC670" s="1" t="s">
        <v>74</v>
      </c>
      <c r="BD670" s="1">
        <v>103778.0</v>
      </c>
      <c r="BE670" s="1" t="s">
        <v>6201</v>
      </c>
      <c r="BF670" s="2" t="str">
        <f>HYPERLINK("http://dx.doi.org/10.1016/j.jwpe.2023.103778","http://dx.doi.org/10.1016/j.jwpe.2023.103778")</f>
        <v>http://dx.doi.org/10.1016/j.jwpe.2023.103778</v>
      </c>
      <c r="BG670" s="1" t="s">
        <v>74</v>
      </c>
      <c r="BH670" s="1" t="s">
        <v>1605</v>
      </c>
      <c r="BI670" s="1" t="s">
        <v>74</v>
      </c>
      <c r="BJ670" s="1" t="s">
        <v>74</v>
      </c>
      <c r="BK670" s="1" t="s">
        <v>74</v>
      </c>
      <c r="BL670" s="1" t="s">
        <v>74</v>
      </c>
      <c r="BM670" s="1" t="s">
        <v>74</v>
      </c>
      <c r="BN670" s="1" t="s">
        <v>74</v>
      </c>
      <c r="BO670" s="1" t="s">
        <v>74</v>
      </c>
      <c r="BP670" s="1" t="s">
        <v>74</v>
      </c>
      <c r="BQ670" s="1" t="s">
        <v>74</v>
      </c>
      <c r="BR670" s="1" t="s">
        <v>74</v>
      </c>
      <c r="BS670" s="1" t="s">
        <v>6202</v>
      </c>
      <c r="BT670" s="1" t="str">
        <f>HYPERLINK("https%3A%2F%2Fwww.webofscience.com%2Fwos%2Fwoscc%2Ffull-record%2FWOS:000999204800001","View Full Record in Web of Science")</f>
        <v>View Full Record in Web of Science</v>
      </c>
    </row>
    <row r="671" ht="12.75" customHeight="1">
      <c r="A671" s="1" t="s">
        <v>72</v>
      </c>
      <c r="B671" s="1" t="s">
        <v>6203</v>
      </c>
      <c r="C671" s="1" t="s">
        <v>74</v>
      </c>
      <c r="D671" s="1" t="s">
        <v>74</v>
      </c>
      <c r="E671" s="1" t="s">
        <v>74</v>
      </c>
      <c r="F671" s="1" t="s">
        <v>6204</v>
      </c>
      <c r="G671" s="1" t="s">
        <v>74</v>
      </c>
      <c r="H671" s="1" t="s">
        <v>74</v>
      </c>
      <c r="I671" s="1" t="s">
        <v>6205</v>
      </c>
      <c r="J671" s="1" t="s">
        <v>6206</v>
      </c>
      <c r="K671" s="1" t="s">
        <v>74</v>
      </c>
      <c r="L671" s="1" t="s">
        <v>74</v>
      </c>
      <c r="M671" s="1" t="s">
        <v>74</v>
      </c>
      <c r="N671" s="1" t="s">
        <v>74</v>
      </c>
      <c r="O671" s="1" t="s">
        <v>74</v>
      </c>
      <c r="P671" s="1" t="s">
        <v>74</v>
      </c>
      <c r="Q671" s="1" t="s">
        <v>74</v>
      </c>
      <c r="R671" s="1" t="s">
        <v>74</v>
      </c>
      <c r="S671" s="1" t="s">
        <v>74</v>
      </c>
      <c r="T671" s="1" t="s">
        <v>74</v>
      </c>
      <c r="U671" s="1" t="s">
        <v>74</v>
      </c>
      <c r="V671" s="1" t="s">
        <v>6207</v>
      </c>
      <c r="W671" s="1" t="s">
        <v>74</v>
      </c>
      <c r="X671" s="1" t="s">
        <v>74</v>
      </c>
      <c r="Y671" s="1" t="s">
        <v>74</v>
      </c>
      <c r="Z671" s="1" t="s">
        <v>74</v>
      </c>
      <c r="AA671" s="1" t="s">
        <v>2111</v>
      </c>
      <c r="AB671" s="1" t="s">
        <v>6208</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6209</v>
      </c>
      <c r="AP671" s="1" t="s">
        <v>6210</v>
      </c>
      <c r="AQ671" s="1" t="s">
        <v>74</v>
      </c>
      <c r="AR671" s="1" t="s">
        <v>74</v>
      </c>
      <c r="AS671" s="1" t="s">
        <v>74</v>
      </c>
      <c r="AT671" s="1" t="s">
        <v>3356</v>
      </c>
      <c r="AU671" s="1">
        <v>2022.0</v>
      </c>
      <c r="AV671" s="1">
        <v>46.0</v>
      </c>
      <c r="AW671" s="1">
        <v>45.0</v>
      </c>
      <c r="AX671" s="1" t="s">
        <v>74</v>
      </c>
      <c r="AY671" s="1" t="s">
        <v>74</v>
      </c>
      <c r="AZ671" s="1" t="s">
        <v>74</v>
      </c>
      <c r="BA671" s="1" t="s">
        <v>74</v>
      </c>
      <c r="BB671" s="1">
        <v>21648.0</v>
      </c>
      <c r="BC671" s="1">
        <v>21659.0</v>
      </c>
      <c r="BD671" s="1" t="s">
        <v>74</v>
      </c>
      <c r="BE671" s="1" t="s">
        <v>6211</v>
      </c>
      <c r="BF671" s="2" t="str">
        <f>HYPERLINK("http://dx.doi.org/10.1039/d2nj04079d","http://dx.doi.org/10.1039/d2nj04079d")</f>
        <v>http://dx.doi.org/10.1039/d2nj04079d</v>
      </c>
      <c r="BG671" s="1" t="s">
        <v>74</v>
      </c>
      <c r="BH671" s="1" t="s">
        <v>2489</v>
      </c>
      <c r="BI671" s="1" t="s">
        <v>74</v>
      </c>
      <c r="BJ671" s="1" t="s">
        <v>74</v>
      </c>
      <c r="BK671" s="1" t="s">
        <v>74</v>
      </c>
      <c r="BL671" s="1" t="s">
        <v>74</v>
      </c>
      <c r="BM671" s="1" t="s">
        <v>74</v>
      </c>
      <c r="BN671" s="1" t="s">
        <v>74</v>
      </c>
      <c r="BO671" s="1" t="s">
        <v>74</v>
      </c>
      <c r="BP671" s="1" t="s">
        <v>74</v>
      </c>
      <c r="BQ671" s="1" t="s">
        <v>74</v>
      </c>
      <c r="BR671" s="1" t="s">
        <v>74</v>
      </c>
      <c r="BS671" s="1" t="s">
        <v>6212</v>
      </c>
      <c r="BT671" s="1" t="str">
        <f>HYPERLINK("https%3A%2F%2Fwww.webofscience.com%2Fwos%2Fwoscc%2Ffull-record%2FWOS:000877621600001","View Full Record in Web of Science")</f>
        <v>View Full Record in Web of Science</v>
      </c>
    </row>
    <row r="672" ht="12.75" customHeight="1">
      <c r="A672" s="1" t="s">
        <v>72</v>
      </c>
      <c r="B672" s="1" t="s">
        <v>6213</v>
      </c>
      <c r="C672" s="1" t="s">
        <v>74</v>
      </c>
      <c r="D672" s="1" t="s">
        <v>74</v>
      </c>
      <c r="E672" s="1" t="s">
        <v>74</v>
      </c>
      <c r="F672" s="1" t="s">
        <v>6214</v>
      </c>
      <c r="G672" s="1" t="s">
        <v>74</v>
      </c>
      <c r="H672" s="1" t="s">
        <v>74</v>
      </c>
      <c r="I672" s="1" t="s">
        <v>6215</v>
      </c>
      <c r="J672" s="1" t="s">
        <v>6216</v>
      </c>
      <c r="K672" s="1" t="s">
        <v>74</v>
      </c>
      <c r="L672" s="1" t="s">
        <v>74</v>
      </c>
      <c r="M672" s="1" t="s">
        <v>74</v>
      </c>
      <c r="N672" s="1" t="s">
        <v>74</v>
      </c>
      <c r="O672" s="1" t="s">
        <v>74</v>
      </c>
      <c r="P672" s="1" t="s">
        <v>74</v>
      </c>
      <c r="Q672" s="1" t="s">
        <v>74</v>
      </c>
      <c r="R672" s="1" t="s">
        <v>74</v>
      </c>
      <c r="S672" s="1" t="s">
        <v>74</v>
      </c>
      <c r="T672" s="1" t="s">
        <v>74</v>
      </c>
      <c r="U672" s="1" t="s">
        <v>74</v>
      </c>
      <c r="V672" s="1" t="s">
        <v>6217</v>
      </c>
      <c r="W672" s="1" t="s">
        <v>74</v>
      </c>
      <c r="X672" s="1" t="s">
        <v>74</v>
      </c>
      <c r="Y672" s="1" t="s">
        <v>74</v>
      </c>
      <c r="Z672" s="1" t="s">
        <v>74</v>
      </c>
      <c r="AA672" s="1" t="s">
        <v>6218</v>
      </c>
      <c r="AB672" s="1" t="s">
        <v>74</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6219</v>
      </c>
      <c r="AP672" s="1" t="s">
        <v>6220</v>
      </c>
      <c r="AQ672" s="1" t="s">
        <v>74</v>
      </c>
      <c r="AR672" s="1" t="s">
        <v>74</v>
      </c>
      <c r="AS672" s="1" t="s">
        <v>74</v>
      </c>
      <c r="AT672" s="1" t="s">
        <v>6221</v>
      </c>
      <c r="AU672" s="1">
        <v>2023.0</v>
      </c>
      <c r="AV672" s="1">
        <v>21.0</v>
      </c>
      <c r="AW672" s="1">
        <v>4.0</v>
      </c>
      <c r="AX672" s="1" t="s">
        <v>74</v>
      </c>
      <c r="AY672" s="1" t="s">
        <v>74</v>
      </c>
      <c r="AZ672" s="1" t="s">
        <v>74</v>
      </c>
      <c r="BA672" s="1" t="s">
        <v>74</v>
      </c>
      <c r="BB672" s="1">
        <v>639.0</v>
      </c>
      <c r="BC672" s="1">
        <v>652.0</v>
      </c>
      <c r="BD672" s="1" t="s">
        <v>74</v>
      </c>
      <c r="BE672" s="1" t="s">
        <v>6222</v>
      </c>
      <c r="BF672" s="2" t="str">
        <f>HYPERLINK("http://dx.doi.org/10.1080/14733285.2022.2101877","http://dx.doi.org/10.1080/14733285.2022.2101877")</f>
        <v>http://dx.doi.org/10.1080/14733285.2022.2101877</v>
      </c>
      <c r="BG672" s="1" t="s">
        <v>74</v>
      </c>
      <c r="BH672" s="1" t="s">
        <v>6223</v>
      </c>
      <c r="BI672" s="1" t="s">
        <v>74</v>
      </c>
      <c r="BJ672" s="1" t="s">
        <v>74</v>
      </c>
      <c r="BK672" s="1" t="s">
        <v>74</v>
      </c>
      <c r="BL672" s="1" t="s">
        <v>74</v>
      </c>
      <c r="BM672" s="1" t="s">
        <v>74</v>
      </c>
      <c r="BN672" s="1" t="s">
        <v>74</v>
      </c>
      <c r="BO672" s="1" t="s">
        <v>74</v>
      </c>
      <c r="BP672" s="1" t="s">
        <v>74</v>
      </c>
      <c r="BQ672" s="1" t="s">
        <v>74</v>
      </c>
      <c r="BR672" s="1" t="s">
        <v>74</v>
      </c>
      <c r="BS672" s="1" t="s">
        <v>6224</v>
      </c>
      <c r="BT672" s="1" t="str">
        <f>HYPERLINK("https%3A%2F%2Fwww.webofscience.com%2Fwos%2Fwoscc%2Ffull-record%2FWOS:000829792900001","View Full Record in Web of Science")</f>
        <v>View Full Record in Web of Science</v>
      </c>
    </row>
    <row r="673" ht="12.75" customHeight="1">
      <c r="A673" s="1" t="s">
        <v>72</v>
      </c>
      <c r="B673" s="1" t="s">
        <v>6225</v>
      </c>
      <c r="C673" s="1" t="s">
        <v>74</v>
      </c>
      <c r="D673" s="1" t="s">
        <v>74</v>
      </c>
      <c r="E673" s="1" t="s">
        <v>74</v>
      </c>
      <c r="F673" s="1" t="s">
        <v>6226</v>
      </c>
      <c r="G673" s="1" t="s">
        <v>74</v>
      </c>
      <c r="H673" s="1" t="s">
        <v>74</v>
      </c>
      <c r="I673" s="1" t="s">
        <v>6227</v>
      </c>
      <c r="J673" s="1" t="s">
        <v>552</v>
      </c>
      <c r="K673" s="1" t="s">
        <v>74</v>
      </c>
      <c r="L673" s="1" t="s">
        <v>74</v>
      </c>
      <c r="M673" s="1" t="s">
        <v>74</v>
      </c>
      <c r="N673" s="1" t="s">
        <v>74</v>
      </c>
      <c r="O673" s="1" t="s">
        <v>74</v>
      </c>
      <c r="P673" s="1" t="s">
        <v>74</v>
      </c>
      <c r="Q673" s="1" t="s">
        <v>74</v>
      </c>
      <c r="R673" s="1" t="s">
        <v>74</v>
      </c>
      <c r="S673" s="1" t="s">
        <v>74</v>
      </c>
      <c r="T673" s="1" t="s">
        <v>74</v>
      </c>
      <c r="U673" s="1" t="s">
        <v>74</v>
      </c>
      <c r="V673" s="1" t="s">
        <v>6228</v>
      </c>
      <c r="W673" s="1" t="s">
        <v>74</v>
      </c>
      <c r="X673" s="1" t="s">
        <v>74</v>
      </c>
      <c r="Y673" s="1" t="s">
        <v>74</v>
      </c>
      <c r="Z673" s="1" t="s">
        <v>74</v>
      </c>
      <c r="AA673" s="1" t="s">
        <v>74</v>
      </c>
      <c r="AB673" s="1" t="s">
        <v>6229</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74</v>
      </c>
      <c r="AP673" s="1" t="s">
        <v>556</v>
      </c>
      <c r="AQ673" s="1" t="s">
        <v>74</v>
      </c>
      <c r="AR673" s="1" t="s">
        <v>74</v>
      </c>
      <c r="AS673" s="1" t="s">
        <v>74</v>
      </c>
      <c r="AT673" s="1" t="s">
        <v>174</v>
      </c>
      <c r="AU673" s="1">
        <v>2022.0</v>
      </c>
      <c r="AV673" s="1">
        <v>12.0</v>
      </c>
      <c r="AW673" s="1">
        <v>4.0</v>
      </c>
      <c r="AX673" s="1" t="s">
        <v>74</v>
      </c>
      <c r="AY673" s="1" t="s">
        <v>74</v>
      </c>
      <c r="AZ673" s="1" t="s">
        <v>74</v>
      </c>
      <c r="BA673" s="1" t="s">
        <v>74</v>
      </c>
      <c r="BB673" s="1" t="s">
        <v>74</v>
      </c>
      <c r="BC673" s="1" t="s">
        <v>74</v>
      </c>
      <c r="BD673" s="1">
        <v>655.0</v>
      </c>
      <c r="BE673" s="1" t="s">
        <v>6230</v>
      </c>
      <c r="BF673" s="2" t="str">
        <f>HYPERLINK("http://dx.doi.org/10.3390/met12040655","http://dx.doi.org/10.3390/met12040655")</f>
        <v>http://dx.doi.org/10.3390/met12040655</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6231</v>
      </c>
      <c r="BT673" s="1" t="str">
        <f>HYPERLINK("https%3A%2F%2Fwww.webofscience.com%2Fwos%2Fwoscc%2Ffull-record%2FWOS:000785206500001","View Full Record in Web of Science")</f>
        <v>View Full Record in Web of Science</v>
      </c>
    </row>
    <row r="674" ht="12.75" customHeight="1">
      <c r="A674" s="1" t="s">
        <v>72</v>
      </c>
      <c r="B674" s="1" t="s">
        <v>6232</v>
      </c>
      <c r="C674" s="1" t="s">
        <v>74</v>
      </c>
      <c r="D674" s="1" t="s">
        <v>74</v>
      </c>
      <c r="E674" s="1" t="s">
        <v>74</v>
      </c>
      <c r="F674" s="1" t="s">
        <v>6233</v>
      </c>
      <c r="G674" s="1" t="s">
        <v>74</v>
      </c>
      <c r="H674" s="1" t="s">
        <v>74</v>
      </c>
      <c r="I674" s="1" t="s">
        <v>6234</v>
      </c>
      <c r="J674" s="1" t="s">
        <v>6235</v>
      </c>
      <c r="K674" s="1" t="s">
        <v>74</v>
      </c>
      <c r="L674" s="1" t="s">
        <v>74</v>
      </c>
      <c r="M674" s="1" t="s">
        <v>74</v>
      </c>
      <c r="N674" s="1" t="s">
        <v>74</v>
      </c>
      <c r="O674" s="1" t="s">
        <v>74</v>
      </c>
      <c r="P674" s="1" t="s">
        <v>74</v>
      </c>
      <c r="Q674" s="1" t="s">
        <v>74</v>
      </c>
      <c r="R674" s="1" t="s">
        <v>74</v>
      </c>
      <c r="S674" s="1" t="s">
        <v>74</v>
      </c>
      <c r="T674" s="1" t="s">
        <v>74</v>
      </c>
      <c r="U674" s="1" t="s">
        <v>74</v>
      </c>
      <c r="V674" s="1" t="s">
        <v>6236</v>
      </c>
      <c r="W674" s="1" t="s">
        <v>74</v>
      </c>
      <c r="X674" s="1" t="s">
        <v>74</v>
      </c>
      <c r="Y674" s="1" t="s">
        <v>74</v>
      </c>
      <c r="Z674" s="1" t="s">
        <v>74</v>
      </c>
      <c r="AA674" s="1" t="s">
        <v>74</v>
      </c>
      <c r="AB674" s="1" t="s">
        <v>6237</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6238</v>
      </c>
      <c r="AP674" s="1" t="s">
        <v>6239</v>
      </c>
      <c r="AQ674" s="1" t="s">
        <v>74</v>
      </c>
      <c r="AR674" s="1" t="s">
        <v>74</v>
      </c>
      <c r="AS674" s="1" t="s">
        <v>74</v>
      </c>
      <c r="AT674" s="1" t="s">
        <v>94</v>
      </c>
      <c r="AU674" s="1">
        <v>2022.0</v>
      </c>
      <c r="AV674" s="1">
        <v>295.0</v>
      </c>
      <c r="AW674" s="1">
        <v>1.0</v>
      </c>
      <c r="AX674" s="1" t="s">
        <v>74</v>
      </c>
      <c r="AY674" s="1" t="s">
        <v>74</v>
      </c>
      <c r="AZ674" s="1" t="s">
        <v>74</v>
      </c>
      <c r="BA674" s="1" t="s">
        <v>74</v>
      </c>
      <c r="BB674" s="1">
        <v>44.0</v>
      </c>
      <c r="BC674" s="1">
        <v>57.0</v>
      </c>
      <c r="BD674" s="1" t="s">
        <v>74</v>
      </c>
      <c r="BE674" s="1" t="s">
        <v>6240</v>
      </c>
      <c r="BF674" s="2" t="str">
        <f>HYPERLINK("http://dx.doi.org/10.1002/mana.201900424","http://dx.doi.org/10.1002/mana.201900424")</f>
        <v>http://dx.doi.org/10.1002/mana.201900424</v>
      </c>
      <c r="BG674" s="1" t="s">
        <v>74</v>
      </c>
      <c r="BH674" s="1" t="s">
        <v>4111</v>
      </c>
      <c r="BI674" s="1" t="s">
        <v>74</v>
      </c>
      <c r="BJ674" s="1" t="s">
        <v>74</v>
      </c>
      <c r="BK674" s="1" t="s">
        <v>74</v>
      </c>
      <c r="BL674" s="1" t="s">
        <v>74</v>
      </c>
      <c r="BM674" s="1" t="s">
        <v>74</v>
      </c>
      <c r="BN674" s="1" t="s">
        <v>74</v>
      </c>
      <c r="BO674" s="1" t="s">
        <v>74</v>
      </c>
      <c r="BP674" s="1" t="s">
        <v>74</v>
      </c>
      <c r="BQ674" s="1" t="s">
        <v>74</v>
      </c>
      <c r="BR674" s="1" t="s">
        <v>74</v>
      </c>
      <c r="BS674" s="1" t="s">
        <v>6241</v>
      </c>
      <c r="BT674" s="1" t="str">
        <f>HYPERLINK("https%3A%2F%2Fwww.webofscience.com%2Fwos%2Fwoscc%2Ffull-record%2FWOS:000739884300001","View Full Record in Web of Science")</f>
        <v>View Full Record in Web of Science</v>
      </c>
    </row>
    <row r="675" ht="12.75" customHeight="1">
      <c r="A675" s="1" t="s">
        <v>72</v>
      </c>
      <c r="B675" s="1" t="s">
        <v>6242</v>
      </c>
      <c r="C675" s="1" t="s">
        <v>74</v>
      </c>
      <c r="D675" s="1" t="s">
        <v>74</v>
      </c>
      <c r="E675" s="1" t="s">
        <v>74</v>
      </c>
      <c r="F675" s="1" t="s">
        <v>6243</v>
      </c>
      <c r="G675" s="1" t="s">
        <v>74</v>
      </c>
      <c r="H675" s="1" t="s">
        <v>74</v>
      </c>
      <c r="I675" s="1" t="s">
        <v>6244</v>
      </c>
      <c r="J675" s="1" t="s">
        <v>6245</v>
      </c>
      <c r="K675" s="1" t="s">
        <v>74</v>
      </c>
      <c r="L675" s="1" t="s">
        <v>74</v>
      </c>
      <c r="M675" s="1" t="s">
        <v>74</v>
      </c>
      <c r="N675" s="1" t="s">
        <v>74</v>
      </c>
      <c r="O675" s="1" t="s">
        <v>74</v>
      </c>
      <c r="P675" s="1" t="s">
        <v>74</v>
      </c>
      <c r="Q675" s="1" t="s">
        <v>74</v>
      </c>
      <c r="R675" s="1" t="s">
        <v>74</v>
      </c>
      <c r="S675" s="1" t="s">
        <v>74</v>
      </c>
      <c r="T675" s="1" t="s">
        <v>74</v>
      </c>
      <c r="U675" s="1" t="s">
        <v>74</v>
      </c>
      <c r="V675" s="1" t="s">
        <v>6246</v>
      </c>
      <c r="W675" s="1" t="s">
        <v>74</v>
      </c>
      <c r="X675" s="1" t="s">
        <v>74</v>
      </c>
      <c r="Y675" s="1" t="s">
        <v>74</v>
      </c>
      <c r="Z675" s="1" t="s">
        <v>74</v>
      </c>
      <c r="AA675" s="1" t="s">
        <v>74</v>
      </c>
      <c r="AB675" s="1" t="s">
        <v>6247</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6248</v>
      </c>
      <c r="AP675" s="1" t="s">
        <v>6249</v>
      </c>
      <c r="AQ675" s="1" t="s">
        <v>74</v>
      </c>
      <c r="AR675" s="1" t="s">
        <v>74</v>
      </c>
      <c r="AS675" s="1" t="s">
        <v>74</v>
      </c>
      <c r="AT675" s="1" t="s">
        <v>74</v>
      </c>
      <c r="AU675" s="1">
        <v>2022.0</v>
      </c>
      <c r="AV675" s="1">
        <v>103.0</v>
      </c>
      <c r="AW675" s="1">
        <v>3.0</v>
      </c>
      <c r="AX675" s="1" t="s">
        <v>74</v>
      </c>
      <c r="AY675" s="1" t="s">
        <v>74</v>
      </c>
      <c r="AZ675" s="1" t="s">
        <v>74</v>
      </c>
      <c r="BA675" s="1" t="s">
        <v>74</v>
      </c>
      <c r="BB675" s="1" t="s">
        <v>74</v>
      </c>
      <c r="BC675" s="1" t="s">
        <v>74</v>
      </c>
      <c r="BD675" s="1">
        <v>1729.0</v>
      </c>
      <c r="BE675" s="1" t="s">
        <v>6250</v>
      </c>
      <c r="BF675" s="2" t="str">
        <f>HYPERLINK("http://dx.doi.org/10.1099/jgv.0.001729","http://dx.doi.org/10.1099/jgv.0.001729")</f>
        <v>http://dx.doi.org/10.1099/jgv.0.001729</v>
      </c>
      <c r="BG675" s="1" t="s">
        <v>74</v>
      </c>
      <c r="BH675" s="1" t="s">
        <v>74</v>
      </c>
      <c r="BI675" s="1" t="s">
        <v>74</v>
      </c>
      <c r="BJ675" s="1" t="s">
        <v>74</v>
      </c>
      <c r="BK675" s="1" t="s">
        <v>74</v>
      </c>
      <c r="BL675" s="1" t="s">
        <v>74</v>
      </c>
      <c r="BM675" s="1" t="s">
        <v>74</v>
      </c>
      <c r="BN675" s="1">
        <v>3.5349401E7</v>
      </c>
      <c r="BO675" s="1" t="s">
        <v>74</v>
      </c>
      <c r="BP675" s="1" t="s">
        <v>74</v>
      </c>
      <c r="BQ675" s="1" t="s">
        <v>74</v>
      </c>
      <c r="BR675" s="1" t="s">
        <v>74</v>
      </c>
      <c r="BS675" s="1" t="s">
        <v>6251</v>
      </c>
      <c r="BT675" s="1" t="str">
        <f>HYPERLINK("https%3A%2F%2Fwww.webofscience.com%2Fwos%2Fwoscc%2Ffull-record%2FWOS:000783796800006","View Full Record in Web of Science")</f>
        <v>View Full Record in Web of Science</v>
      </c>
    </row>
    <row r="676" ht="12.75" customHeight="1">
      <c r="A676" s="1" t="s">
        <v>72</v>
      </c>
      <c r="B676" s="1" t="s">
        <v>6252</v>
      </c>
      <c r="C676" s="1" t="s">
        <v>74</v>
      </c>
      <c r="D676" s="1" t="s">
        <v>74</v>
      </c>
      <c r="E676" s="1" t="s">
        <v>74</v>
      </c>
      <c r="F676" s="1" t="s">
        <v>6253</v>
      </c>
      <c r="G676" s="1" t="s">
        <v>74</v>
      </c>
      <c r="H676" s="1" t="s">
        <v>74</v>
      </c>
      <c r="I676" s="1" t="s">
        <v>6254</v>
      </c>
      <c r="J676" s="1" t="s">
        <v>6255</v>
      </c>
      <c r="K676" s="1" t="s">
        <v>74</v>
      </c>
      <c r="L676" s="1" t="s">
        <v>74</v>
      </c>
      <c r="M676" s="1" t="s">
        <v>74</v>
      </c>
      <c r="N676" s="1" t="s">
        <v>74</v>
      </c>
      <c r="O676" s="1" t="s">
        <v>74</v>
      </c>
      <c r="P676" s="1" t="s">
        <v>74</v>
      </c>
      <c r="Q676" s="1" t="s">
        <v>74</v>
      </c>
      <c r="R676" s="1" t="s">
        <v>74</v>
      </c>
      <c r="S676" s="1" t="s">
        <v>74</v>
      </c>
      <c r="T676" s="1" t="s">
        <v>74</v>
      </c>
      <c r="U676" s="1" t="s">
        <v>74</v>
      </c>
      <c r="V676" s="1" t="s">
        <v>6256</v>
      </c>
      <c r="W676" s="1" t="s">
        <v>74</v>
      </c>
      <c r="X676" s="1" t="s">
        <v>74</v>
      </c>
      <c r="Y676" s="1" t="s">
        <v>74</v>
      </c>
      <c r="Z676" s="1" t="s">
        <v>74</v>
      </c>
      <c r="AA676" s="1" t="s">
        <v>74</v>
      </c>
      <c r="AB676" s="1" t="s">
        <v>74</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6257</v>
      </c>
      <c r="AP676" s="1" t="s">
        <v>6258</v>
      </c>
      <c r="AQ676" s="1" t="s">
        <v>74</v>
      </c>
      <c r="AR676" s="1" t="s">
        <v>74</v>
      </c>
      <c r="AS676" s="1" t="s">
        <v>74</v>
      </c>
      <c r="AT676" s="1" t="s">
        <v>160</v>
      </c>
      <c r="AU676" s="1">
        <v>2021.0</v>
      </c>
      <c r="AV676" s="1">
        <v>7.0</v>
      </c>
      <c r="AW676" s="1" t="s">
        <v>74</v>
      </c>
      <c r="AX676" s="1" t="s">
        <v>74</v>
      </c>
      <c r="AY676" s="1" t="s">
        <v>74</v>
      </c>
      <c r="AZ676" s="1" t="s">
        <v>2319</v>
      </c>
      <c r="BA676" s="1" t="s">
        <v>74</v>
      </c>
      <c r="BB676" s="1" t="s">
        <v>74</v>
      </c>
      <c r="BC676" s="1" t="s">
        <v>74</v>
      </c>
      <c r="BD676" s="1" t="s">
        <v>6259</v>
      </c>
      <c r="BE676" s="1" t="s">
        <v>6260</v>
      </c>
      <c r="BF676" s="2" t="str">
        <f>HYPERLINK("http://dx.doi.org/10.29051/el.v7iesp.6.15348","http://dx.doi.org/10.29051/el.v7iesp.6.15348")</f>
        <v>http://dx.doi.org/10.29051/el.v7iesp.6.15348</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6261</v>
      </c>
      <c r="BT676" s="1" t="str">
        <f>HYPERLINK("https%3A%2F%2Fwww.webofscience.com%2Fwos%2Fwoscc%2Ffull-record%2FWOS:000807685200012","View Full Record in Web of Science")</f>
        <v>View Full Record in Web of Science</v>
      </c>
    </row>
    <row r="677" ht="12.75" customHeight="1">
      <c r="A677" s="1" t="s">
        <v>72</v>
      </c>
      <c r="B677" s="1" t="s">
        <v>6262</v>
      </c>
      <c r="C677" s="1" t="s">
        <v>74</v>
      </c>
      <c r="D677" s="1" t="s">
        <v>74</v>
      </c>
      <c r="E677" s="1" t="s">
        <v>74</v>
      </c>
      <c r="F677" s="1" t="s">
        <v>6263</v>
      </c>
      <c r="G677" s="1" t="s">
        <v>74</v>
      </c>
      <c r="H677" s="1" t="s">
        <v>74</v>
      </c>
      <c r="I677" s="1" t="s">
        <v>6264</v>
      </c>
      <c r="J677" s="1" t="s">
        <v>3699</v>
      </c>
      <c r="K677" s="1" t="s">
        <v>74</v>
      </c>
      <c r="L677" s="1" t="s">
        <v>74</v>
      </c>
      <c r="M677" s="1" t="s">
        <v>74</v>
      </c>
      <c r="N677" s="1" t="s">
        <v>74</v>
      </c>
      <c r="O677" s="1" t="s">
        <v>74</v>
      </c>
      <c r="P677" s="1" t="s">
        <v>74</v>
      </c>
      <c r="Q677" s="1" t="s">
        <v>74</v>
      </c>
      <c r="R677" s="1" t="s">
        <v>74</v>
      </c>
      <c r="S677" s="1" t="s">
        <v>74</v>
      </c>
      <c r="T677" s="1" t="s">
        <v>74</v>
      </c>
      <c r="U677" s="1" t="s">
        <v>74</v>
      </c>
      <c r="V677" s="1" t="s">
        <v>6265</v>
      </c>
      <c r="W677" s="1" t="s">
        <v>74</v>
      </c>
      <c r="X677" s="1" t="s">
        <v>74</v>
      </c>
      <c r="Y677" s="1" t="s">
        <v>74</v>
      </c>
      <c r="Z677" s="1" t="s">
        <v>74</v>
      </c>
      <c r="AA677" s="1" t="s">
        <v>74</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3701</v>
      </c>
      <c r="AP677" s="1" t="s">
        <v>6266</v>
      </c>
      <c r="AQ677" s="1" t="s">
        <v>74</v>
      </c>
      <c r="AR677" s="1" t="s">
        <v>74</v>
      </c>
      <c r="AS677" s="1" t="s">
        <v>74</v>
      </c>
      <c r="AT677" s="1" t="s">
        <v>607</v>
      </c>
      <c r="AU677" s="1">
        <v>2021.0</v>
      </c>
      <c r="AV677" s="1">
        <v>47.0</v>
      </c>
      <c r="AW677" s="1">
        <v>2.0</v>
      </c>
      <c r="AX677" s="1" t="s">
        <v>74</v>
      </c>
      <c r="AY677" s="1" t="s">
        <v>74</v>
      </c>
      <c r="AZ677" s="1" t="s">
        <v>74</v>
      </c>
      <c r="BA677" s="1" t="s">
        <v>74</v>
      </c>
      <c r="BB677" s="1">
        <v>345.0</v>
      </c>
      <c r="BC677" s="1">
        <v>354.0</v>
      </c>
      <c r="BD677" s="1" t="s">
        <v>74</v>
      </c>
      <c r="BE677" s="1" t="s">
        <v>6267</v>
      </c>
      <c r="BF677" s="2" t="str">
        <f>HYPERLINK("http://dx.doi.org/10.1016/j.ultrasmedbio.2020.10.002","http://dx.doi.org/10.1016/j.ultrasmedbio.2020.10.002")</f>
        <v>http://dx.doi.org/10.1016/j.ultrasmedbio.2020.10.002</v>
      </c>
      <c r="BG677" s="1" t="s">
        <v>74</v>
      </c>
      <c r="BH677" s="1" t="s">
        <v>74</v>
      </c>
      <c r="BI677" s="1" t="s">
        <v>74</v>
      </c>
      <c r="BJ677" s="1" t="s">
        <v>74</v>
      </c>
      <c r="BK677" s="1" t="s">
        <v>74</v>
      </c>
      <c r="BL677" s="1" t="s">
        <v>74</v>
      </c>
      <c r="BM677" s="1" t="s">
        <v>74</v>
      </c>
      <c r="BN677" s="1">
        <v>3.3162253E7</v>
      </c>
      <c r="BO677" s="1" t="s">
        <v>74</v>
      </c>
      <c r="BP677" s="1" t="s">
        <v>74</v>
      </c>
      <c r="BQ677" s="1" t="s">
        <v>74</v>
      </c>
      <c r="BR677" s="1" t="s">
        <v>74</v>
      </c>
      <c r="BS677" s="1" t="s">
        <v>6268</v>
      </c>
      <c r="BT677" s="1" t="str">
        <f>HYPERLINK("https%3A%2F%2Fwww.webofscience.com%2Fwos%2Fwoscc%2Ffull-record%2FWOS:000600131900019","View Full Record in Web of Science")</f>
        <v>View Full Record in Web of Science</v>
      </c>
    </row>
    <row r="678" ht="12.75" customHeight="1">
      <c r="A678" s="1" t="s">
        <v>72</v>
      </c>
      <c r="B678" s="1" t="s">
        <v>6269</v>
      </c>
      <c r="C678" s="1" t="s">
        <v>74</v>
      </c>
      <c r="D678" s="1" t="s">
        <v>74</v>
      </c>
      <c r="E678" s="1" t="s">
        <v>74</v>
      </c>
      <c r="F678" s="1" t="s">
        <v>6270</v>
      </c>
      <c r="G678" s="1" t="s">
        <v>74</v>
      </c>
      <c r="H678" s="1" t="s">
        <v>74</v>
      </c>
      <c r="I678" s="1" t="s">
        <v>6271</v>
      </c>
      <c r="J678" s="1" t="s">
        <v>456</v>
      </c>
      <c r="K678" s="1" t="s">
        <v>74</v>
      </c>
      <c r="L678" s="1" t="s">
        <v>74</v>
      </c>
      <c r="M678" s="1" t="s">
        <v>74</v>
      </c>
      <c r="N678" s="1" t="s">
        <v>74</v>
      </c>
      <c r="O678" s="1" t="s">
        <v>74</v>
      </c>
      <c r="P678" s="1" t="s">
        <v>74</v>
      </c>
      <c r="Q678" s="1" t="s">
        <v>74</v>
      </c>
      <c r="R678" s="1" t="s">
        <v>74</v>
      </c>
      <c r="S678" s="1" t="s">
        <v>74</v>
      </c>
      <c r="T678" s="1" t="s">
        <v>74</v>
      </c>
      <c r="U678" s="1" t="s">
        <v>74</v>
      </c>
      <c r="V678" s="1" t="s">
        <v>6272</v>
      </c>
      <c r="W678" s="1" t="s">
        <v>74</v>
      </c>
      <c r="X678" s="1" t="s">
        <v>74</v>
      </c>
      <c r="Y678" s="1" t="s">
        <v>74</v>
      </c>
      <c r="Z678" s="1" t="s">
        <v>74</v>
      </c>
      <c r="AA678" s="1" t="s">
        <v>6273</v>
      </c>
      <c r="AB678" s="1" t="s">
        <v>6274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74</v>
      </c>
      <c r="AP678" s="1" t="s">
        <v>458</v>
      </c>
      <c r="AQ678" s="1" t="s">
        <v>74</v>
      </c>
      <c r="AR678" s="1" t="s">
        <v>74</v>
      </c>
      <c r="AS678" s="1" t="s">
        <v>74</v>
      </c>
      <c r="AT678" s="1" t="s">
        <v>2683</v>
      </c>
      <c r="AU678" s="1">
        <v>2021.0</v>
      </c>
      <c r="AV678" s="1">
        <v>11.0</v>
      </c>
      <c r="AW678" s="1" t="s">
        <v>74</v>
      </c>
      <c r="AX678" s="1" t="s">
        <v>74</v>
      </c>
      <c r="AY678" s="1" t="s">
        <v>74</v>
      </c>
      <c r="AZ678" s="1" t="s">
        <v>74</v>
      </c>
      <c r="BA678" s="1" t="s">
        <v>74</v>
      </c>
      <c r="BB678" s="1" t="s">
        <v>74</v>
      </c>
      <c r="BC678" s="1" t="s">
        <v>74</v>
      </c>
      <c r="BD678" s="1">
        <v>621099.0</v>
      </c>
      <c r="BE678" s="1" t="s">
        <v>6275</v>
      </c>
      <c r="BF678" s="2" t="str">
        <f>HYPERLINK("http://dx.doi.org/10.3389/fphar.2020.621099","http://dx.doi.org/10.3389/fphar.2020.621099")</f>
        <v>http://dx.doi.org/10.3389/fphar.2020.621099</v>
      </c>
      <c r="BG678" s="1" t="s">
        <v>74</v>
      </c>
      <c r="BH678" s="1" t="s">
        <v>74</v>
      </c>
      <c r="BI678" s="1" t="s">
        <v>74</v>
      </c>
      <c r="BJ678" s="1" t="s">
        <v>74</v>
      </c>
      <c r="BK678" s="1" t="s">
        <v>74</v>
      </c>
      <c r="BL678" s="1" t="s">
        <v>74</v>
      </c>
      <c r="BM678" s="1" t="s">
        <v>74</v>
      </c>
      <c r="BN678" s="1">
        <v>3.3708124E7</v>
      </c>
      <c r="BO678" s="1" t="s">
        <v>74</v>
      </c>
      <c r="BP678" s="1" t="s">
        <v>74</v>
      </c>
      <c r="BQ678" s="1" t="s">
        <v>74</v>
      </c>
      <c r="BR678" s="1" t="s">
        <v>74</v>
      </c>
      <c r="BS678" s="1" t="s">
        <v>6276</v>
      </c>
      <c r="BT678" s="1" t="str">
        <f>HYPERLINK("https%3A%2F%2Fwww.webofscience.com%2Fwos%2Fwoscc%2Ffull-record%2FWOS:000615947200001","View Full Record in Web of Science")</f>
        <v>View Full Record in Web of Science</v>
      </c>
    </row>
    <row r="679" ht="12.75" customHeight="1">
      <c r="A679" s="1" t="s">
        <v>72</v>
      </c>
      <c r="B679" s="1" t="s">
        <v>6277</v>
      </c>
      <c r="C679" s="1" t="s">
        <v>74</v>
      </c>
      <c r="D679" s="1" t="s">
        <v>74</v>
      </c>
      <c r="E679" s="1" t="s">
        <v>74</v>
      </c>
      <c r="F679" s="1" t="s">
        <v>6278</v>
      </c>
      <c r="G679" s="1" t="s">
        <v>74</v>
      </c>
      <c r="H679" s="1" t="s">
        <v>74</v>
      </c>
      <c r="I679" s="1" t="s">
        <v>6279</v>
      </c>
      <c r="J679" s="1" t="s">
        <v>6280</v>
      </c>
      <c r="K679" s="1" t="s">
        <v>74</v>
      </c>
      <c r="L679" s="1" t="s">
        <v>74</v>
      </c>
      <c r="M679" s="1" t="s">
        <v>74</v>
      </c>
      <c r="N679" s="1" t="s">
        <v>74</v>
      </c>
      <c r="O679" s="1" t="s">
        <v>74</v>
      </c>
      <c r="P679" s="1" t="s">
        <v>74</v>
      </c>
      <c r="Q679" s="1" t="s">
        <v>74</v>
      </c>
      <c r="R679" s="1" t="s">
        <v>74</v>
      </c>
      <c r="S679" s="1" t="s">
        <v>74</v>
      </c>
      <c r="T679" s="1" t="s">
        <v>74</v>
      </c>
      <c r="U679" s="1" t="s">
        <v>74</v>
      </c>
      <c r="V679" s="1" t="s">
        <v>6281</v>
      </c>
      <c r="W679" s="1" t="s">
        <v>74</v>
      </c>
      <c r="X679" s="1" t="s">
        <v>74</v>
      </c>
      <c r="Y679" s="1" t="s">
        <v>74</v>
      </c>
      <c r="Z679" s="1" t="s">
        <v>74</v>
      </c>
      <c r="AA679" s="1" t="s">
        <v>5019</v>
      </c>
      <c r="AB679" s="1" t="s">
        <v>5735</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6282</v>
      </c>
      <c r="AP679" s="1" t="s">
        <v>6283</v>
      </c>
      <c r="AQ679" s="1" t="s">
        <v>74</v>
      </c>
      <c r="AR679" s="1" t="s">
        <v>74</v>
      </c>
      <c r="AS679" s="1" t="s">
        <v>74</v>
      </c>
      <c r="AT679" s="1" t="s">
        <v>6014</v>
      </c>
      <c r="AU679" s="1">
        <v>2021.0</v>
      </c>
      <c r="AV679" s="1">
        <v>167.0</v>
      </c>
      <c r="AW679" s="1" t="s">
        <v>74</v>
      </c>
      <c r="AX679" s="1" t="s">
        <v>74</v>
      </c>
      <c r="AY679" s="1" t="s">
        <v>74</v>
      </c>
      <c r="AZ679" s="1" t="s">
        <v>74</v>
      </c>
      <c r="BA679" s="1" t="s">
        <v>74</v>
      </c>
      <c r="BB679" s="1">
        <v>1564.0</v>
      </c>
      <c r="BC679" s="1">
        <v>1574.0</v>
      </c>
      <c r="BD679" s="1" t="s">
        <v>74</v>
      </c>
      <c r="BE679" s="1" t="s">
        <v>6284</v>
      </c>
      <c r="BF679" s="2" t="str">
        <f>HYPERLINK("http://dx.doi.org/10.1016/j.ijbiomac.2020.11.110","http://dx.doi.org/10.1016/j.ijbiomac.2020.11.110")</f>
        <v>http://dx.doi.org/10.1016/j.ijbiomac.2020.11.110</v>
      </c>
      <c r="BG679" s="1" t="s">
        <v>74</v>
      </c>
      <c r="BH679" s="1" t="s">
        <v>4425</v>
      </c>
      <c r="BI679" s="1" t="s">
        <v>74</v>
      </c>
      <c r="BJ679" s="1" t="s">
        <v>74</v>
      </c>
      <c r="BK679" s="1" t="s">
        <v>74</v>
      </c>
      <c r="BL679" s="1" t="s">
        <v>74</v>
      </c>
      <c r="BM679" s="1" t="s">
        <v>74</v>
      </c>
      <c r="BN679" s="1">
        <v>3.3217465E7</v>
      </c>
      <c r="BO679" s="1" t="s">
        <v>74</v>
      </c>
      <c r="BP679" s="1" t="s">
        <v>74</v>
      </c>
      <c r="BQ679" s="1" t="s">
        <v>74</v>
      </c>
      <c r="BR679" s="1" t="s">
        <v>74</v>
      </c>
      <c r="BS679" s="1" t="s">
        <v>6285</v>
      </c>
      <c r="BT679" s="1" t="str">
        <f>HYPERLINK("https%3A%2F%2Fwww.webofscience.com%2Fwos%2Fwoscc%2Ffull-record%2FWOS:000606683200140","View Full Record in Web of Science")</f>
        <v>View Full Record in Web of Science</v>
      </c>
    </row>
    <row r="680" ht="12.75" customHeight="1">
      <c r="A680" s="1" t="s">
        <v>72</v>
      </c>
      <c r="B680" s="1" t="s">
        <v>6286</v>
      </c>
      <c r="C680" s="1" t="s">
        <v>74</v>
      </c>
      <c r="D680" s="1" t="s">
        <v>74</v>
      </c>
      <c r="E680" s="1" t="s">
        <v>74</v>
      </c>
      <c r="F680" s="1" t="s">
        <v>6287</v>
      </c>
      <c r="G680" s="1" t="s">
        <v>74</v>
      </c>
      <c r="H680" s="1" t="s">
        <v>74</v>
      </c>
      <c r="I680" s="1" t="s">
        <v>6288</v>
      </c>
      <c r="J680" s="1" t="s">
        <v>6289</v>
      </c>
      <c r="K680" s="1" t="s">
        <v>74</v>
      </c>
      <c r="L680" s="1" t="s">
        <v>74</v>
      </c>
      <c r="M680" s="1" t="s">
        <v>74</v>
      </c>
      <c r="N680" s="1" t="s">
        <v>74</v>
      </c>
      <c r="O680" s="1" t="s">
        <v>74</v>
      </c>
      <c r="P680" s="1" t="s">
        <v>74</v>
      </c>
      <c r="Q680" s="1" t="s">
        <v>74</v>
      </c>
      <c r="R680" s="1" t="s">
        <v>74</v>
      </c>
      <c r="S680" s="1" t="s">
        <v>74</v>
      </c>
      <c r="T680" s="1" t="s">
        <v>74</v>
      </c>
      <c r="U680" s="1" t="s">
        <v>74</v>
      </c>
      <c r="V680" s="1" t="s">
        <v>6290</v>
      </c>
      <c r="W680" s="1" t="s">
        <v>74</v>
      </c>
      <c r="X680" s="1" t="s">
        <v>74</v>
      </c>
      <c r="Y680" s="1" t="s">
        <v>74</v>
      </c>
      <c r="Z680" s="1" t="s">
        <v>74</v>
      </c>
      <c r="AA680" s="1" t="s">
        <v>6291</v>
      </c>
      <c r="AB680" s="1" t="s">
        <v>1696</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6292</v>
      </c>
      <c r="AP680" s="1" t="s">
        <v>6293</v>
      </c>
      <c r="AQ680" s="1" t="s">
        <v>74</v>
      </c>
      <c r="AR680" s="1" t="s">
        <v>74</v>
      </c>
      <c r="AS680" s="1" t="s">
        <v>74</v>
      </c>
      <c r="AT680" s="1" t="s">
        <v>160</v>
      </c>
      <c r="AU680" s="1">
        <v>2020.0</v>
      </c>
      <c r="AV680" s="1">
        <v>18.0</v>
      </c>
      <c r="AW680" s="1">
        <v>6.0</v>
      </c>
      <c r="AX680" s="1" t="s">
        <v>74</v>
      </c>
      <c r="AY680" s="1" t="s">
        <v>74</v>
      </c>
      <c r="AZ680" s="1" t="s">
        <v>74</v>
      </c>
      <c r="BA680" s="1" t="s">
        <v>74</v>
      </c>
      <c r="BB680" s="1" t="s">
        <v>74</v>
      </c>
      <c r="BC680" s="1" t="s">
        <v>74</v>
      </c>
      <c r="BD680" s="1">
        <v>2050038.0</v>
      </c>
      <c r="BE680" s="1" t="s">
        <v>6294</v>
      </c>
      <c r="BF680" s="2" t="str">
        <f>HYPERLINK("http://dx.doi.org/10.1142/S0219720020500389","http://dx.doi.org/10.1142/S0219720020500389")</f>
        <v>http://dx.doi.org/10.1142/S0219720020500389</v>
      </c>
      <c r="BG680" s="1" t="s">
        <v>74</v>
      </c>
      <c r="BH680" s="1" t="s">
        <v>74</v>
      </c>
      <c r="BI680" s="1" t="s">
        <v>74</v>
      </c>
      <c r="BJ680" s="1" t="s">
        <v>74</v>
      </c>
      <c r="BK680" s="1" t="s">
        <v>74</v>
      </c>
      <c r="BL680" s="1" t="s">
        <v>74</v>
      </c>
      <c r="BM680" s="1" t="s">
        <v>74</v>
      </c>
      <c r="BN680" s="1">
        <v>3.3148094E7</v>
      </c>
      <c r="BO680" s="1" t="s">
        <v>74</v>
      </c>
      <c r="BP680" s="1" t="s">
        <v>74</v>
      </c>
      <c r="BQ680" s="1" t="s">
        <v>74</v>
      </c>
      <c r="BR680" s="1" t="s">
        <v>74</v>
      </c>
      <c r="BS680" s="1" t="s">
        <v>6295</v>
      </c>
      <c r="BT680" s="1" t="str">
        <f>HYPERLINK("https%3A%2F%2Fwww.webofscience.com%2Fwos%2Fwoscc%2Ffull-record%2FWOS:000599824900006","View Full Record in Web of Science")</f>
        <v>View Full Record in Web of Science</v>
      </c>
    </row>
    <row r="681" ht="12.75" customHeight="1">
      <c r="A681" s="1" t="s">
        <v>72</v>
      </c>
      <c r="B681" s="1" t="s">
        <v>6296</v>
      </c>
      <c r="C681" s="1" t="s">
        <v>74</v>
      </c>
      <c r="D681" s="1" t="s">
        <v>74</v>
      </c>
      <c r="E681" s="1" t="s">
        <v>74</v>
      </c>
      <c r="F681" s="1" t="s">
        <v>6297</v>
      </c>
      <c r="G681" s="1" t="s">
        <v>74</v>
      </c>
      <c r="H681" s="1" t="s">
        <v>74</v>
      </c>
      <c r="I681" s="1" t="s">
        <v>6298</v>
      </c>
      <c r="J681" s="1" t="s">
        <v>6299</v>
      </c>
      <c r="K681" s="1" t="s">
        <v>74</v>
      </c>
      <c r="L681" s="1" t="s">
        <v>74</v>
      </c>
      <c r="M681" s="1" t="s">
        <v>74</v>
      </c>
      <c r="N681" s="1" t="s">
        <v>74</v>
      </c>
      <c r="O681" s="1" t="s">
        <v>74</v>
      </c>
      <c r="P681" s="1" t="s">
        <v>74</v>
      </c>
      <c r="Q681" s="1" t="s">
        <v>74</v>
      </c>
      <c r="R681" s="1" t="s">
        <v>74</v>
      </c>
      <c r="S681" s="1" t="s">
        <v>74</v>
      </c>
      <c r="T681" s="1" t="s">
        <v>74</v>
      </c>
      <c r="U681" s="1" t="s">
        <v>74</v>
      </c>
      <c r="V681" s="1" t="s">
        <v>6300</v>
      </c>
      <c r="W681" s="1" t="s">
        <v>74</v>
      </c>
      <c r="X681" s="1" t="s">
        <v>74</v>
      </c>
      <c r="Y681" s="1" t="s">
        <v>74</v>
      </c>
      <c r="Z681" s="1" t="s">
        <v>74</v>
      </c>
      <c r="AA681" s="1" t="s">
        <v>74</v>
      </c>
      <c r="AB681" s="1" t="s">
        <v>6301</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74</v>
      </c>
      <c r="AP681" s="1" t="s">
        <v>6302</v>
      </c>
      <c r="AQ681" s="1" t="s">
        <v>74</v>
      </c>
      <c r="AR681" s="1" t="s">
        <v>74</v>
      </c>
      <c r="AS681" s="1" t="s">
        <v>74</v>
      </c>
      <c r="AT681" s="1" t="s">
        <v>459</v>
      </c>
      <c r="AU681" s="1">
        <v>2020.0</v>
      </c>
      <c r="AV681" s="1">
        <v>20.0</v>
      </c>
      <c r="AW681" s="1">
        <v>1.0</v>
      </c>
      <c r="AX681" s="1" t="s">
        <v>74</v>
      </c>
      <c r="AY681" s="1" t="s">
        <v>74</v>
      </c>
      <c r="AZ681" s="1" t="s">
        <v>74</v>
      </c>
      <c r="BA681" s="1" t="s">
        <v>74</v>
      </c>
      <c r="BB681" s="1" t="s">
        <v>74</v>
      </c>
      <c r="BC681" s="1" t="s">
        <v>74</v>
      </c>
      <c r="BD681" s="1">
        <v>29.0</v>
      </c>
      <c r="BE681" s="1" t="s">
        <v>6303</v>
      </c>
      <c r="BF681" s="2" t="str">
        <f>HYPERLINK("http://dx.doi.org/10.1186/s12896-020-00625-y","http://dx.doi.org/10.1186/s12896-020-00625-y")</f>
        <v>http://dx.doi.org/10.1186/s12896-020-00625-y</v>
      </c>
      <c r="BG681" s="1" t="s">
        <v>74</v>
      </c>
      <c r="BH681" s="1" t="s">
        <v>74</v>
      </c>
      <c r="BI681" s="1" t="s">
        <v>74</v>
      </c>
      <c r="BJ681" s="1" t="s">
        <v>74</v>
      </c>
      <c r="BK681" s="1" t="s">
        <v>74</v>
      </c>
      <c r="BL681" s="1" t="s">
        <v>74</v>
      </c>
      <c r="BM681" s="1" t="s">
        <v>74</v>
      </c>
      <c r="BN681" s="1">
        <v>3.2471409E7</v>
      </c>
      <c r="BO681" s="1" t="s">
        <v>74</v>
      </c>
      <c r="BP681" s="1" t="s">
        <v>74</v>
      </c>
      <c r="BQ681" s="1" t="s">
        <v>74</v>
      </c>
      <c r="BR681" s="1" t="s">
        <v>74</v>
      </c>
      <c r="BS681" s="1" t="s">
        <v>6304</v>
      </c>
      <c r="BT681" s="1" t="str">
        <f>HYPERLINK("https%3A%2F%2Fwww.webofscience.com%2Fwos%2Fwoscc%2Ffull-record%2FWOS:000559981700001","View Full Record in Web of Science")</f>
        <v>View Full Record in Web of Science</v>
      </c>
    </row>
    <row r="682" ht="12.75" customHeight="1">
      <c r="A682" s="1" t="s">
        <v>72</v>
      </c>
      <c r="B682" s="1" t="s">
        <v>6305</v>
      </c>
      <c r="C682" s="1" t="s">
        <v>74</v>
      </c>
      <c r="D682" s="1" t="s">
        <v>74</v>
      </c>
      <c r="E682" s="1" t="s">
        <v>74</v>
      </c>
      <c r="F682" s="1" t="s">
        <v>6306</v>
      </c>
      <c r="G682" s="1" t="s">
        <v>74</v>
      </c>
      <c r="H682" s="1" t="s">
        <v>74</v>
      </c>
      <c r="I682" s="1" t="s">
        <v>6307</v>
      </c>
      <c r="J682" s="1" t="s">
        <v>6308</v>
      </c>
      <c r="K682" s="1" t="s">
        <v>74</v>
      </c>
      <c r="L682" s="1" t="s">
        <v>74</v>
      </c>
      <c r="M682" s="1" t="s">
        <v>74</v>
      </c>
      <c r="N682" s="1" t="s">
        <v>74</v>
      </c>
      <c r="O682" s="1" t="s">
        <v>74</v>
      </c>
      <c r="P682" s="1" t="s">
        <v>74</v>
      </c>
      <c r="Q682" s="1" t="s">
        <v>74</v>
      </c>
      <c r="R682" s="1" t="s">
        <v>74</v>
      </c>
      <c r="S682" s="1" t="s">
        <v>74</v>
      </c>
      <c r="T682" s="1" t="s">
        <v>74</v>
      </c>
      <c r="U682" s="1" t="s">
        <v>74</v>
      </c>
      <c r="V682" s="1" t="s">
        <v>6309</v>
      </c>
      <c r="W682" s="1" t="s">
        <v>74</v>
      </c>
      <c r="X682" s="1" t="s">
        <v>74</v>
      </c>
      <c r="Y682" s="1" t="s">
        <v>74</v>
      </c>
      <c r="Z682" s="1" t="s">
        <v>74</v>
      </c>
      <c r="AA682" s="1" t="s">
        <v>6310</v>
      </c>
      <c r="AB682" s="1" t="s">
        <v>6311</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6312</v>
      </c>
      <c r="AP682" s="1" t="s">
        <v>6313</v>
      </c>
      <c r="AQ682" s="1" t="s">
        <v>74</v>
      </c>
      <c r="AR682" s="1" t="s">
        <v>74</v>
      </c>
      <c r="AS682" s="1" t="s">
        <v>74</v>
      </c>
      <c r="AT682" s="1" t="s">
        <v>74</v>
      </c>
      <c r="AU682" s="1">
        <v>2020.0</v>
      </c>
      <c r="AV682" s="1" t="s">
        <v>74</v>
      </c>
      <c r="AW682" s="1">
        <v>26.0</v>
      </c>
      <c r="AX682" s="1" t="s">
        <v>74</v>
      </c>
      <c r="AY682" s="1" t="s">
        <v>74</v>
      </c>
      <c r="AZ682" s="1" t="s">
        <v>74</v>
      </c>
      <c r="BA682" s="1" t="s">
        <v>74</v>
      </c>
      <c r="BB682" s="1">
        <v>225.0</v>
      </c>
      <c r="BC682" s="1">
        <v>256.0</v>
      </c>
      <c r="BD682" s="1" t="s">
        <v>74</v>
      </c>
      <c r="BE682" s="1" t="s">
        <v>6314</v>
      </c>
      <c r="BF682" s="2" t="str">
        <f>HYPERLINK("http://dx.doi.org/10.26360/2020_9","http://dx.doi.org/10.26360/2020_9")</f>
        <v>http://dx.doi.org/10.26360/2020_9</v>
      </c>
      <c r="BG682" s="1" t="s">
        <v>74</v>
      </c>
      <c r="BH682" s="1" t="s">
        <v>74</v>
      </c>
      <c r="BI682" s="1" t="s">
        <v>74</v>
      </c>
      <c r="BJ682" s="1" t="s">
        <v>74</v>
      </c>
      <c r="BK682" s="1" t="s">
        <v>74</v>
      </c>
      <c r="BL682" s="1" t="s">
        <v>74</v>
      </c>
      <c r="BM682" s="1" t="s">
        <v>74</v>
      </c>
      <c r="BN682" s="1" t="s">
        <v>74</v>
      </c>
      <c r="BO682" s="1" t="s">
        <v>74</v>
      </c>
      <c r="BP682" s="1" t="s">
        <v>74</v>
      </c>
      <c r="BQ682" s="1" t="s">
        <v>74</v>
      </c>
      <c r="BR682" s="1" t="s">
        <v>74</v>
      </c>
      <c r="BS682" s="1" t="s">
        <v>6315</v>
      </c>
      <c r="BT682" s="1" t="str">
        <f>HYPERLINK("https%3A%2F%2Fwww.webofscience.com%2Fwos%2Fwoscc%2Ffull-record%2FWOS:000604058600010","View Full Record in Web of Science")</f>
        <v>View Full Record in Web of Science</v>
      </c>
    </row>
    <row r="683" ht="12.75" customHeight="1">
      <c r="A683" s="1" t="s">
        <v>72</v>
      </c>
      <c r="B683" s="1" t="s">
        <v>6316</v>
      </c>
      <c r="C683" s="1" t="s">
        <v>74</v>
      </c>
      <c r="D683" s="1" t="s">
        <v>74</v>
      </c>
      <c r="E683" s="1" t="s">
        <v>74</v>
      </c>
      <c r="F683" s="1" t="s">
        <v>6317</v>
      </c>
      <c r="G683" s="1" t="s">
        <v>74</v>
      </c>
      <c r="H683" s="1" t="s">
        <v>74</v>
      </c>
      <c r="I683" s="1" t="s">
        <v>6318</v>
      </c>
      <c r="J683" s="1" t="s">
        <v>6319</v>
      </c>
      <c r="K683" s="1" t="s">
        <v>74</v>
      </c>
      <c r="L683" s="1" t="s">
        <v>74</v>
      </c>
      <c r="M683" s="1" t="s">
        <v>74</v>
      </c>
      <c r="N683" s="1" t="s">
        <v>74</v>
      </c>
      <c r="O683" s="1" t="s">
        <v>74</v>
      </c>
      <c r="P683" s="1" t="s">
        <v>74</v>
      </c>
      <c r="Q683" s="1" t="s">
        <v>74</v>
      </c>
      <c r="R683" s="1" t="s">
        <v>74</v>
      </c>
      <c r="S683" s="1" t="s">
        <v>74</v>
      </c>
      <c r="T683" s="1" t="s">
        <v>74</v>
      </c>
      <c r="U683" s="1" t="s">
        <v>74</v>
      </c>
      <c r="V683" s="1" t="s">
        <v>6320</v>
      </c>
      <c r="W683" s="1" t="s">
        <v>74</v>
      </c>
      <c r="X683" s="1" t="s">
        <v>74</v>
      </c>
      <c r="Y683" s="1" t="s">
        <v>74</v>
      </c>
      <c r="Z683" s="1" t="s">
        <v>74</v>
      </c>
      <c r="AA683" s="1" t="s">
        <v>74</v>
      </c>
      <c r="AB683" s="1" t="s">
        <v>74</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6321</v>
      </c>
      <c r="AP683" s="1" t="s">
        <v>6322</v>
      </c>
      <c r="AQ683" s="1" t="s">
        <v>74</v>
      </c>
      <c r="AR683" s="1" t="s">
        <v>74</v>
      </c>
      <c r="AS683" s="1" t="s">
        <v>74</v>
      </c>
      <c r="AT683" s="1" t="s">
        <v>74</v>
      </c>
      <c r="AU683" s="1">
        <v>2020.0</v>
      </c>
      <c r="AV683" s="1">
        <v>57.0</v>
      </c>
      <c r="AW683" s="1">
        <v>3.0</v>
      </c>
      <c r="AX683" s="1" t="s">
        <v>74</v>
      </c>
      <c r="AY683" s="1" t="s">
        <v>74</v>
      </c>
      <c r="AZ683" s="1" t="s">
        <v>74</v>
      </c>
      <c r="BA683" s="1" t="s">
        <v>74</v>
      </c>
      <c r="BB683" s="1">
        <v>843.0</v>
      </c>
      <c r="BC683" s="1">
        <v>864.0</v>
      </c>
      <c r="BD683" s="1" t="s">
        <v>74</v>
      </c>
      <c r="BE683" s="1" t="s">
        <v>6323</v>
      </c>
      <c r="BF683" s="2" t="str">
        <f>HYPERLINK("http://dx.doi.org/10.5209/poso.65308","http://dx.doi.org/10.5209/poso.65308")</f>
        <v>http://dx.doi.org/10.5209/poso.65308</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6324</v>
      </c>
      <c r="BT683" s="1" t="str">
        <f>HYPERLINK("https%3A%2F%2Fwww.webofscience.com%2Fwos%2Fwoscc%2Ffull-record%2FWOS:000600883800010","View Full Record in Web of Science")</f>
        <v>View Full Record in Web of Science</v>
      </c>
    </row>
    <row r="684" ht="12.75" customHeight="1">
      <c r="A684" s="1" t="s">
        <v>72</v>
      </c>
      <c r="B684" s="1" t="s">
        <v>6325</v>
      </c>
      <c r="C684" s="1" t="s">
        <v>74</v>
      </c>
      <c r="D684" s="1" t="s">
        <v>74</v>
      </c>
      <c r="E684" s="1" t="s">
        <v>74</v>
      </c>
      <c r="F684" s="1" t="s">
        <v>6326</v>
      </c>
      <c r="G684" s="1" t="s">
        <v>74</v>
      </c>
      <c r="H684" s="1" t="s">
        <v>74</v>
      </c>
      <c r="I684" s="1" t="s">
        <v>6327</v>
      </c>
      <c r="J684" s="1" t="s">
        <v>3008</v>
      </c>
      <c r="K684" s="1" t="s">
        <v>74</v>
      </c>
      <c r="L684" s="1" t="s">
        <v>74</v>
      </c>
      <c r="M684" s="1" t="s">
        <v>74</v>
      </c>
      <c r="N684" s="1" t="s">
        <v>74</v>
      </c>
      <c r="O684" s="1" t="s">
        <v>6328</v>
      </c>
      <c r="P684" s="1" t="s">
        <v>6329</v>
      </c>
      <c r="Q684" s="1" t="s">
        <v>6330</v>
      </c>
      <c r="R684" s="1" t="s">
        <v>6331</v>
      </c>
      <c r="S684" s="1" t="s">
        <v>74</v>
      </c>
      <c r="T684" s="1" t="s">
        <v>74</v>
      </c>
      <c r="U684" s="1" t="s">
        <v>74</v>
      </c>
      <c r="V684" s="1" t="s">
        <v>74</v>
      </c>
      <c r="W684" s="1" t="s">
        <v>74</v>
      </c>
      <c r="X684" s="1" t="s">
        <v>74</v>
      </c>
      <c r="Y684" s="1" t="s">
        <v>74</v>
      </c>
      <c r="Z684" s="1" t="s">
        <v>74</v>
      </c>
      <c r="AA684" s="1" t="s">
        <v>6332</v>
      </c>
      <c r="AB684" s="1" t="s">
        <v>74</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3013</v>
      </c>
      <c r="AP684" s="1" t="s">
        <v>74</v>
      </c>
      <c r="AQ684" s="1" t="s">
        <v>74</v>
      </c>
      <c r="AR684" s="1" t="s">
        <v>74</v>
      </c>
      <c r="AS684" s="1" t="s">
        <v>74</v>
      </c>
      <c r="AT684" s="1" t="s">
        <v>5011</v>
      </c>
      <c r="AU684" s="1">
        <v>2019.0</v>
      </c>
      <c r="AV684" s="1">
        <v>258.0</v>
      </c>
      <c r="AW684" s="1" t="s">
        <v>74</v>
      </c>
      <c r="AX684" s="1" t="s">
        <v>74</v>
      </c>
      <c r="AY684" s="1" t="s">
        <v>74</v>
      </c>
      <c r="AZ684" s="1" t="s">
        <v>74</v>
      </c>
      <c r="BA684" s="1" t="s">
        <v>6333</v>
      </c>
      <c r="BB684" s="1" t="s">
        <v>74</v>
      </c>
      <c r="BC684" s="1" t="s">
        <v>74</v>
      </c>
      <c r="BD684" s="1" t="s">
        <v>74</v>
      </c>
      <c r="BE684" s="1" t="s">
        <v>74</v>
      </c>
      <c r="BF684" s="1" t="s">
        <v>74</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6334</v>
      </c>
      <c r="BT684" s="1" t="str">
        <f>HYPERLINK("https%3A%2F%2Fwww.webofscience.com%2Fwos%2Fwoscc%2Ffull-record%2FWOS:000525055505514","View Full Record in Web of Science")</f>
        <v>View Full Record in Web of Science</v>
      </c>
    </row>
    <row r="685" ht="12.75" customHeight="1">
      <c r="A685" s="1" t="s">
        <v>72</v>
      </c>
      <c r="B685" s="1" t="s">
        <v>6335</v>
      </c>
      <c r="C685" s="1" t="s">
        <v>74</v>
      </c>
      <c r="D685" s="1" t="s">
        <v>74</v>
      </c>
      <c r="E685" s="1" t="s">
        <v>74</v>
      </c>
      <c r="F685" s="1" t="s">
        <v>6336</v>
      </c>
      <c r="G685" s="1" t="s">
        <v>74</v>
      </c>
      <c r="H685" s="1" t="s">
        <v>74</v>
      </c>
      <c r="I685" s="1" t="s">
        <v>6337</v>
      </c>
      <c r="J685" s="1" t="s">
        <v>6338</v>
      </c>
      <c r="K685" s="1" t="s">
        <v>74</v>
      </c>
      <c r="L685" s="1" t="s">
        <v>74</v>
      </c>
      <c r="M685" s="1" t="s">
        <v>74</v>
      </c>
      <c r="N685" s="1" t="s">
        <v>74</v>
      </c>
      <c r="O685" s="1" t="s">
        <v>74</v>
      </c>
      <c r="P685" s="1" t="s">
        <v>74</v>
      </c>
      <c r="Q685" s="1" t="s">
        <v>74</v>
      </c>
      <c r="R685" s="1" t="s">
        <v>74</v>
      </c>
      <c r="S685" s="1" t="s">
        <v>74</v>
      </c>
      <c r="T685" s="1" t="s">
        <v>74</v>
      </c>
      <c r="U685" s="1" t="s">
        <v>74</v>
      </c>
      <c r="V685" s="1" t="s">
        <v>6339</v>
      </c>
      <c r="W685" s="1" t="s">
        <v>74</v>
      </c>
      <c r="X685" s="1" t="s">
        <v>74</v>
      </c>
      <c r="Y685" s="1" t="s">
        <v>74</v>
      </c>
      <c r="Z685" s="1" t="s">
        <v>74</v>
      </c>
      <c r="AA685" s="1" t="s">
        <v>74</v>
      </c>
      <c r="AB685" s="1" t="s">
        <v>74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6340</v>
      </c>
      <c r="AP685" s="1" t="s">
        <v>6341</v>
      </c>
      <c r="AQ685" s="1" t="s">
        <v>74</v>
      </c>
      <c r="AR685" s="1" t="s">
        <v>74</v>
      </c>
      <c r="AS685" s="1" t="s">
        <v>74</v>
      </c>
      <c r="AT685" s="1" t="s">
        <v>2158</v>
      </c>
      <c r="AU685" s="1">
        <v>2019.0</v>
      </c>
      <c r="AV685" s="1">
        <v>42.0</v>
      </c>
      <c r="AW685" s="1">
        <v>3.0</v>
      </c>
      <c r="AX685" s="1" t="s">
        <v>74</v>
      </c>
      <c r="AY685" s="1" t="s">
        <v>74</v>
      </c>
      <c r="AZ685" s="1" t="s">
        <v>74</v>
      </c>
      <c r="BA685" s="1" t="s">
        <v>74</v>
      </c>
      <c r="BB685" s="1">
        <v>335.0</v>
      </c>
      <c r="BC685" s="1">
        <v>362.0</v>
      </c>
      <c r="BD685" s="1" t="s">
        <v>74</v>
      </c>
      <c r="BE685" s="1" t="s">
        <v>6342</v>
      </c>
      <c r="BF685" s="2" t="str">
        <f>HYPERLINK("http://dx.doi.org/10.1080/01603477.2019.1616563","http://dx.doi.org/10.1080/01603477.2019.1616563")</f>
        <v>http://dx.doi.org/10.1080/01603477.2019.1616563</v>
      </c>
      <c r="BG685" s="1" t="s">
        <v>74</v>
      </c>
      <c r="BH685" s="1" t="s">
        <v>6343</v>
      </c>
      <c r="BI685" s="1" t="s">
        <v>74</v>
      </c>
      <c r="BJ685" s="1" t="s">
        <v>74</v>
      </c>
      <c r="BK685" s="1" t="s">
        <v>74</v>
      </c>
      <c r="BL685" s="1" t="s">
        <v>74</v>
      </c>
      <c r="BM685" s="1" t="s">
        <v>74</v>
      </c>
      <c r="BN685" s="1" t="s">
        <v>74</v>
      </c>
      <c r="BO685" s="1" t="s">
        <v>74</v>
      </c>
      <c r="BP685" s="1" t="s">
        <v>74</v>
      </c>
      <c r="BQ685" s="1" t="s">
        <v>74</v>
      </c>
      <c r="BR685" s="1" t="s">
        <v>74</v>
      </c>
      <c r="BS685" s="1" t="s">
        <v>6344</v>
      </c>
      <c r="BT685" s="1" t="str">
        <f>HYPERLINK("https%3A%2F%2Fwww.webofscience.com%2Fwos%2Fwoscc%2Ffull-record%2FWOS:000473874200001","View Full Record in Web of Science")</f>
        <v>View Full Record in Web of Science</v>
      </c>
    </row>
    <row r="686" ht="12.75" customHeight="1">
      <c r="A686" s="1" t="s">
        <v>72</v>
      </c>
      <c r="B686" s="1" t="s">
        <v>6345</v>
      </c>
      <c r="C686" s="1" t="s">
        <v>74</v>
      </c>
      <c r="D686" s="1" t="s">
        <v>74</v>
      </c>
      <c r="E686" s="1" t="s">
        <v>74</v>
      </c>
      <c r="F686" s="1" t="s">
        <v>6346</v>
      </c>
      <c r="G686" s="1" t="s">
        <v>74</v>
      </c>
      <c r="H686" s="1" t="s">
        <v>74</v>
      </c>
      <c r="I686" s="1" t="s">
        <v>6347</v>
      </c>
      <c r="J686" s="1" t="s">
        <v>6348</v>
      </c>
      <c r="K686" s="1" t="s">
        <v>74</v>
      </c>
      <c r="L686" s="1" t="s">
        <v>74</v>
      </c>
      <c r="M686" s="1" t="s">
        <v>74</v>
      </c>
      <c r="N686" s="1" t="s">
        <v>74</v>
      </c>
      <c r="O686" s="1" t="s">
        <v>74</v>
      </c>
      <c r="P686" s="1" t="s">
        <v>74</v>
      </c>
      <c r="Q686" s="1" t="s">
        <v>74</v>
      </c>
      <c r="R686" s="1" t="s">
        <v>74</v>
      </c>
      <c r="S686" s="1" t="s">
        <v>74</v>
      </c>
      <c r="T686" s="1" t="s">
        <v>74</v>
      </c>
      <c r="U686" s="1" t="s">
        <v>74</v>
      </c>
      <c r="V686" s="1" t="s">
        <v>6349</v>
      </c>
      <c r="W686" s="1" t="s">
        <v>74</v>
      </c>
      <c r="X686" s="1" t="s">
        <v>74</v>
      </c>
      <c r="Y686" s="1" t="s">
        <v>74</v>
      </c>
      <c r="Z686" s="1" t="s">
        <v>74</v>
      </c>
      <c r="AA686" s="1" t="s">
        <v>74</v>
      </c>
      <c r="AB686" s="1" t="s">
        <v>6237</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6350</v>
      </c>
      <c r="AP686" s="1" t="s">
        <v>6351</v>
      </c>
      <c r="AQ686" s="1" t="s">
        <v>74</v>
      </c>
      <c r="AR686" s="1" t="s">
        <v>74</v>
      </c>
      <c r="AS686" s="1" t="s">
        <v>74</v>
      </c>
      <c r="AT686" s="1" t="s">
        <v>82</v>
      </c>
      <c r="AU686" s="1">
        <v>2019.0</v>
      </c>
      <c r="AV686" s="1">
        <v>47.0</v>
      </c>
      <c r="AW686" s="1" t="s">
        <v>74</v>
      </c>
      <c r="AX686" s="1" t="s">
        <v>74</v>
      </c>
      <c r="AY686" s="1" t="s">
        <v>74</v>
      </c>
      <c r="AZ686" s="1" t="s">
        <v>74</v>
      </c>
      <c r="BA686" s="1" t="s">
        <v>74</v>
      </c>
      <c r="BB686" s="1">
        <v>348.0</v>
      </c>
      <c r="BC686" s="1">
        <v>363.0</v>
      </c>
      <c r="BD686" s="1" t="s">
        <v>74</v>
      </c>
      <c r="BE686" s="1" t="s">
        <v>6352</v>
      </c>
      <c r="BF686" s="2" t="str">
        <f>HYPERLINK("http://dx.doi.org/10.1016/j.nonrwa.2018.11.007","http://dx.doi.org/10.1016/j.nonrwa.2018.11.007")</f>
        <v>http://dx.doi.org/10.1016/j.nonrwa.2018.11.007</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6353</v>
      </c>
      <c r="BT686" s="1" t="str">
        <f>HYPERLINK("https%3A%2F%2Fwww.webofscience.com%2Fwos%2Fwoscc%2Ffull-record%2FWOS:000458714100021","View Full Record in Web of Science")</f>
        <v>View Full Record in Web of Science</v>
      </c>
    </row>
    <row r="687" ht="12.75" customHeight="1">
      <c r="A687" s="1" t="s">
        <v>72</v>
      </c>
      <c r="B687" s="1" t="s">
        <v>6354</v>
      </c>
      <c r="C687" s="1" t="s">
        <v>74</v>
      </c>
      <c r="D687" s="1" t="s">
        <v>74</v>
      </c>
      <c r="E687" s="1" t="s">
        <v>74</v>
      </c>
      <c r="F687" s="1" t="s">
        <v>6355</v>
      </c>
      <c r="G687" s="1" t="s">
        <v>74</v>
      </c>
      <c r="H687" s="1" t="s">
        <v>74</v>
      </c>
      <c r="I687" s="1" t="s">
        <v>6356</v>
      </c>
      <c r="J687" s="1" t="s">
        <v>6357</v>
      </c>
      <c r="K687" s="1" t="s">
        <v>74</v>
      </c>
      <c r="L687" s="1" t="s">
        <v>74</v>
      </c>
      <c r="M687" s="1" t="s">
        <v>74</v>
      </c>
      <c r="N687" s="1" t="s">
        <v>74</v>
      </c>
      <c r="O687" s="1" t="s">
        <v>74</v>
      </c>
      <c r="P687" s="1" t="s">
        <v>74</v>
      </c>
      <c r="Q687" s="1" t="s">
        <v>74</v>
      </c>
      <c r="R687" s="1" t="s">
        <v>74</v>
      </c>
      <c r="S687" s="1" t="s">
        <v>74</v>
      </c>
      <c r="T687" s="1" t="s">
        <v>74</v>
      </c>
      <c r="U687" s="1" t="s">
        <v>74</v>
      </c>
      <c r="V687" s="1" t="s">
        <v>6358</v>
      </c>
      <c r="W687" s="1" t="s">
        <v>74</v>
      </c>
      <c r="X687" s="1" t="s">
        <v>74</v>
      </c>
      <c r="Y687" s="1" t="s">
        <v>74</v>
      </c>
      <c r="Z687" s="1" t="s">
        <v>74</v>
      </c>
      <c r="AA687" s="1" t="s">
        <v>6359</v>
      </c>
      <c r="AB687" s="1" t="s">
        <v>74</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6360</v>
      </c>
      <c r="AP687" s="1" t="s">
        <v>74</v>
      </c>
      <c r="AQ687" s="1" t="s">
        <v>74</v>
      </c>
      <c r="AR687" s="1" t="s">
        <v>74</v>
      </c>
      <c r="AS687" s="1" t="s">
        <v>74</v>
      </c>
      <c r="AT687" s="1" t="s">
        <v>6361</v>
      </c>
      <c r="AU687" s="1">
        <v>2019.0</v>
      </c>
      <c r="AV687" s="1" t="s">
        <v>74</v>
      </c>
      <c r="AW687" s="1">
        <v>1.0</v>
      </c>
      <c r="AX687" s="1" t="s">
        <v>74</v>
      </c>
      <c r="AY687" s="1" t="s">
        <v>74</v>
      </c>
      <c r="AZ687" s="1" t="s">
        <v>74</v>
      </c>
      <c r="BA687" s="1" t="s">
        <v>74</v>
      </c>
      <c r="BB687" s="1" t="s">
        <v>74</v>
      </c>
      <c r="BC687" s="1" t="s">
        <v>74</v>
      </c>
      <c r="BD687" s="1">
        <v>194.0</v>
      </c>
      <c r="BE687" s="1" t="s">
        <v>6362</v>
      </c>
      <c r="BF687" s="2" t="str">
        <f>HYPERLINK("http://dx.doi.org/10.1007/JHEP01(2019)194","http://dx.doi.org/10.1007/JHEP01(2019)194")</f>
        <v>http://dx.doi.org/10.1007/JHEP01(2019)194</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6363</v>
      </c>
      <c r="BT687" s="1" t="str">
        <f>HYPERLINK("https%3A%2F%2Fwww.webofscience.com%2Fwos%2Fwoscc%2Ffull-record%2FWOS:000462313500001","View Full Record in Web of Science")</f>
        <v>View Full Record in Web of Science</v>
      </c>
    </row>
    <row r="688" ht="12.75" customHeight="1">
      <c r="A688" s="1" t="s">
        <v>72</v>
      </c>
      <c r="B688" s="1" t="s">
        <v>6364</v>
      </c>
      <c r="C688" s="1" t="s">
        <v>74</v>
      </c>
      <c r="D688" s="1" t="s">
        <v>74</v>
      </c>
      <c r="E688" s="1" t="s">
        <v>74</v>
      </c>
      <c r="F688" s="1" t="s">
        <v>6365</v>
      </c>
      <c r="G688" s="1" t="s">
        <v>74</v>
      </c>
      <c r="H688" s="1" t="s">
        <v>74</v>
      </c>
      <c r="I688" s="1" t="s">
        <v>6366</v>
      </c>
      <c r="J688" s="1" t="s">
        <v>6367</v>
      </c>
      <c r="K688" s="1" t="s">
        <v>74</v>
      </c>
      <c r="L688" s="1" t="s">
        <v>74</v>
      </c>
      <c r="M688" s="1" t="s">
        <v>74</v>
      </c>
      <c r="N688" s="1" t="s">
        <v>74</v>
      </c>
      <c r="O688" s="1" t="s">
        <v>74</v>
      </c>
      <c r="P688" s="1" t="s">
        <v>74</v>
      </c>
      <c r="Q688" s="1" t="s">
        <v>74</v>
      </c>
      <c r="R688" s="1" t="s">
        <v>74</v>
      </c>
      <c r="S688" s="1" t="s">
        <v>74</v>
      </c>
      <c r="T688" s="1" t="s">
        <v>74</v>
      </c>
      <c r="U688" s="1" t="s">
        <v>74</v>
      </c>
      <c r="V688" s="1" t="s">
        <v>6368</v>
      </c>
      <c r="W688" s="1" t="s">
        <v>74</v>
      </c>
      <c r="X688" s="1" t="s">
        <v>74</v>
      </c>
      <c r="Y688" s="1" t="s">
        <v>74</v>
      </c>
      <c r="Z688" s="1" t="s">
        <v>74</v>
      </c>
      <c r="AA688" s="1" t="s">
        <v>6369</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6370</v>
      </c>
      <c r="AP688" s="1" t="s">
        <v>6371</v>
      </c>
      <c r="AQ688" s="1" t="s">
        <v>74</v>
      </c>
      <c r="AR688" s="1" t="s">
        <v>74</v>
      </c>
      <c r="AS688" s="1" t="s">
        <v>74</v>
      </c>
      <c r="AT688" s="1" t="s">
        <v>501</v>
      </c>
      <c r="AU688" s="1">
        <v>2017.0</v>
      </c>
      <c r="AV688" s="1">
        <v>24.0</v>
      </c>
      <c r="AW688" s="1" t="s">
        <v>74</v>
      </c>
      <c r="AX688" s="1" t="s">
        <v>74</v>
      </c>
      <c r="AY688" s="1" t="s">
        <v>1857</v>
      </c>
      <c r="AZ688" s="1" t="s">
        <v>74</v>
      </c>
      <c r="BA688" s="1" t="s">
        <v>74</v>
      </c>
      <c r="BB688" s="1" t="s">
        <v>74</v>
      </c>
      <c r="BC688" s="1" t="s">
        <v>74</v>
      </c>
      <c r="BD688" s="1" t="s">
        <v>74</v>
      </c>
      <c r="BE688" s="1" t="s">
        <v>6372</v>
      </c>
      <c r="BF688" s="2" t="str">
        <f>HYPERLINK("http://dx.doi.org/10.1590/S0104-59702017000400009","http://dx.doi.org/10.1590/S0104-59702017000400009")</f>
        <v>http://dx.doi.org/10.1590/S0104-59702017000400009</v>
      </c>
      <c r="BG688" s="1" t="s">
        <v>74</v>
      </c>
      <c r="BH688" s="1" t="s">
        <v>74</v>
      </c>
      <c r="BI688" s="1" t="s">
        <v>74</v>
      </c>
      <c r="BJ688" s="1" t="s">
        <v>74</v>
      </c>
      <c r="BK688" s="1" t="s">
        <v>74</v>
      </c>
      <c r="BL688" s="1" t="s">
        <v>74</v>
      </c>
      <c r="BM688" s="1" t="s">
        <v>74</v>
      </c>
      <c r="BN688" s="1">
        <v>2.9236812E7</v>
      </c>
      <c r="BO688" s="1" t="s">
        <v>74</v>
      </c>
      <c r="BP688" s="1" t="s">
        <v>74</v>
      </c>
      <c r="BQ688" s="1" t="s">
        <v>74</v>
      </c>
      <c r="BR688" s="1" t="s">
        <v>74</v>
      </c>
      <c r="BS688" s="1" t="s">
        <v>6373</v>
      </c>
      <c r="BT688" s="1" t="str">
        <f>HYPERLINK("https%3A%2F%2Fwww.webofscience.com%2Fwos%2Fwoscc%2Ffull-record%2FWOS:000417859400009","View Full Record in Web of Science")</f>
        <v>View Full Record in Web of Science</v>
      </c>
    </row>
    <row r="689" ht="12.75" customHeight="1">
      <c r="A689" s="1" t="s">
        <v>72</v>
      </c>
      <c r="B689" s="1" t="s">
        <v>6374</v>
      </c>
      <c r="C689" s="1" t="s">
        <v>74</v>
      </c>
      <c r="D689" s="1" t="s">
        <v>74</v>
      </c>
      <c r="E689" s="1" t="s">
        <v>74</v>
      </c>
      <c r="F689" s="1" t="s">
        <v>6375</v>
      </c>
      <c r="G689" s="1" t="s">
        <v>74</v>
      </c>
      <c r="H689" s="1" t="s">
        <v>74</v>
      </c>
      <c r="I689" s="1" t="s">
        <v>6376</v>
      </c>
      <c r="J689" s="1" t="s">
        <v>6377</v>
      </c>
      <c r="K689" s="1" t="s">
        <v>74</v>
      </c>
      <c r="L689" s="1" t="s">
        <v>74</v>
      </c>
      <c r="M689" s="1" t="s">
        <v>74</v>
      </c>
      <c r="N689" s="1" t="s">
        <v>74</v>
      </c>
      <c r="O689" s="1" t="s">
        <v>74</v>
      </c>
      <c r="P689" s="1" t="s">
        <v>74</v>
      </c>
      <c r="Q689" s="1" t="s">
        <v>74</v>
      </c>
      <c r="R689" s="1" t="s">
        <v>74</v>
      </c>
      <c r="S689" s="1" t="s">
        <v>74</v>
      </c>
      <c r="T689" s="1" t="s">
        <v>74</v>
      </c>
      <c r="U689" s="1" t="s">
        <v>74</v>
      </c>
      <c r="V689" s="1" t="s">
        <v>6378</v>
      </c>
      <c r="W689" s="1" t="s">
        <v>74</v>
      </c>
      <c r="X689" s="1" t="s">
        <v>74</v>
      </c>
      <c r="Y689" s="1" t="s">
        <v>74</v>
      </c>
      <c r="Z689" s="1" t="s">
        <v>74</v>
      </c>
      <c r="AA689" s="1" t="s">
        <v>6379</v>
      </c>
      <c r="AB689" s="1" t="s">
        <v>6380</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6381</v>
      </c>
      <c r="AP689" s="1" t="s">
        <v>6382</v>
      </c>
      <c r="AQ689" s="1" t="s">
        <v>74</v>
      </c>
      <c r="AR689" s="1" t="s">
        <v>74</v>
      </c>
      <c r="AS689" s="1" t="s">
        <v>74</v>
      </c>
      <c r="AT689" s="1" t="s">
        <v>501</v>
      </c>
      <c r="AU689" s="1">
        <v>2017.0</v>
      </c>
      <c r="AV689" s="1">
        <v>145.0</v>
      </c>
      <c r="AW689" s="1" t="s">
        <v>74</v>
      </c>
      <c r="AX689" s="1" t="s">
        <v>74</v>
      </c>
      <c r="AY689" s="1" t="s">
        <v>74</v>
      </c>
      <c r="AZ689" s="1" t="s">
        <v>74</v>
      </c>
      <c r="BA689" s="1" t="s">
        <v>74</v>
      </c>
      <c r="BB689" s="1">
        <v>69.0</v>
      </c>
      <c r="BC689" s="1">
        <v>77.0</v>
      </c>
      <c r="BD689" s="1" t="s">
        <v>74</v>
      </c>
      <c r="BE689" s="1" t="s">
        <v>6383</v>
      </c>
      <c r="BF689" s="2" t="str">
        <f>HYPERLINK("http://dx.doi.org/10.1016/j.ecoenv.2017.07.004","http://dx.doi.org/10.1016/j.ecoenv.2017.07.004")</f>
        <v>http://dx.doi.org/10.1016/j.ecoenv.2017.07.004</v>
      </c>
      <c r="BG689" s="1" t="s">
        <v>74</v>
      </c>
      <c r="BH689" s="1" t="s">
        <v>74</v>
      </c>
      <c r="BI689" s="1" t="s">
        <v>74</v>
      </c>
      <c r="BJ689" s="1" t="s">
        <v>74</v>
      </c>
      <c r="BK689" s="1" t="s">
        <v>74</v>
      </c>
      <c r="BL689" s="1" t="s">
        <v>74</v>
      </c>
      <c r="BM689" s="1" t="s">
        <v>74</v>
      </c>
      <c r="BN689" s="1">
        <v>2.8708983E7</v>
      </c>
      <c r="BO689" s="1" t="s">
        <v>74</v>
      </c>
      <c r="BP689" s="1" t="s">
        <v>74</v>
      </c>
      <c r="BQ689" s="1" t="s">
        <v>74</v>
      </c>
      <c r="BR689" s="1" t="s">
        <v>74</v>
      </c>
      <c r="BS689" s="1" t="s">
        <v>6384</v>
      </c>
      <c r="BT689" s="1" t="str">
        <f>HYPERLINK("https%3A%2F%2Fwww.webofscience.com%2Fwos%2Fwoscc%2Ffull-record%2FWOS:000411917100009","View Full Record in Web of Science")</f>
        <v>View Full Record in Web of Science</v>
      </c>
    </row>
    <row r="690" ht="12.75" customHeight="1">
      <c r="A690" s="1" t="s">
        <v>72</v>
      </c>
      <c r="B690" s="1" t="s">
        <v>6385</v>
      </c>
      <c r="C690" s="1" t="s">
        <v>74</v>
      </c>
      <c r="D690" s="1" t="s">
        <v>74</v>
      </c>
      <c r="E690" s="1" t="s">
        <v>74</v>
      </c>
      <c r="F690" s="1" t="s">
        <v>6386</v>
      </c>
      <c r="G690" s="1" t="s">
        <v>74</v>
      </c>
      <c r="H690" s="1" t="s">
        <v>74</v>
      </c>
      <c r="I690" s="1" t="s">
        <v>6387</v>
      </c>
      <c r="J690" s="1" t="s">
        <v>6388</v>
      </c>
      <c r="K690" s="1" t="s">
        <v>74</v>
      </c>
      <c r="L690" s="1" t="s">
        <v>74</v>
      </c>
      <c r="M690" s="1" t="s">
        <v>74</v>
      </c>
      <c r="N690" s="1" t="s">
        <v>74</v>
      </c>
      <c r="O690" s="1" t="s">
        <v>74</v>
      </c>
      <c r="P690" s="1" t="s">
        <v>74</v>
      </c>
      <c r="Q690" s="1" t="s">
        <v>74</v>
      </c>
      <c r="R690" s="1" t="s">
        <v>74</v>
      </c>
      <c r="S690" s="1" t="s">
        <v>74</v>
      </c>
      <c r="T690" s="1" t="s">
        <v>74</v>
      </c>
      <c r="U690" s="1" t="s">
        <v>74</v>
      </c>
      <c r="V690" s="1" t="s">
        <v>6389</v>
      </c>
      <c r="W690" s="1" t="s">
        <v>74</v>
      </c>
      <c r="X690" s="1" t="s">
        <v>74</v>
      </c>
      <c r="Y690" s="1" t="s">
        <v>74</v>
      </c>
      <c r="Z690" s="1" t="s">
        <v>74</v>
      </c>
      <c r="AA690" s="1" t="s">
        <v>6390</v>
      </c>
      <c r="AB690" s="1" t="s">
        <v>6391</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6392</v>
      </c>
      <c r="AP690" s="1" t="s">
        <v>6393</v>
      </c>
      <c r="AQ690" s="1" t="s">
        <v>74</v>
      </c>
      <c r="AR690" s="1" t="s">
        <v>74</v>
      </c>
      <c r="AS690" s="1" t="s">
        <v>74</v>
      </c>
      <c r="AT690" s="1" t="s">
        <v>94</v>
      </c>
      <c r="AU690" s="1">
        <v>2017.0</v>
      </c>
      <c r="AV690" s="1">
        <v>13.0</v>
      </c>
      <c r="AW690" s="1">
        <v>1.0</v>
      </c>
      <c r="AX690" s="1" t="s">
        <v>74</v>
      </c>
      <c r="AY690" s="1" t="s">
        <v>74</v>
      </c>
      <c r="AZ690" s="1" t="s">
        <v>74</v>
      </c>
      <c r="BA690" s="1" t="s">
        <v>74</v>
      </c>
      <c r="BB690" s="1">
        <v>9.0</v>
      </c>
      <c r="BC690" s="1">
        <v>22.0</v>
      </c>
      <c r="BD690" s="1" t="s">
        <v>74</v>
      </c>
      <c r="BE690" s="1" t="s">
        <v>6394</v>
      </c>
      <c r="BF690" s="2" t="str">
        <f>HYPERLINK("http://dx.doi.org/10.1027/1614-2241/a000124","http://dx.doi.org/10.1027/1614-2241/a000124")</f>
        <v>http://dx.doi.org/10.1027/1614-2241/a000124</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6395</v>
      </c>
      <c r="BT690" s="1" t="str">
        <f>HYPERLINK("https%3A%2F%2Fwww.webofscience.com%2Fwos%2Fwoscc%2Ffull-record%2FWOS:000397417500002","View Full Record in Web of Science")</f>
        <v>View Full Record in Web of Science</v>
      </c>
    </row>
    <row r="691" ht="12.75" customHeight="1">
      <c r="A691" s="1" t="s">
        <v>72</v>
      </c>
      <c r="B691" s="1" t="s">
        <v>5649</v>
      </c>
      <c r="C691" s="1" t="s">
        <v>74</v>
      </c>
      <c r="D691" s="1" t="s">
        <v>74</v>
      </c>
      <c r="E691" s="1" t="s">
        <v>74</v>
      </c>
      <c r="F691" s="1" t="s">
        <v>5650</v>
      </c>
      <c r="G691" s="1" t="s">
        <v>74</v>
      </c>
      <c r="H691" s="1" t="s">
        <v>74</v>
      </c>
      <c r="I691" s="1" t="s">
        <v>6396</v>
      </c>
      <c r="J691" s="1" t="s">
        <v>5358</v>
      </c>
      <c r="K691" s="1" t="s">
        <v>74</v>
      </c>
      <c r="L691" s="1" t="s">
        <v>74</v>
      </c>
      <c r="M691" s="1" t="s">
        <v>74</v>
      </c>
      <c r="N691" s="1" t="s">
        <v>74</v>
      </c>
      <c r="O691" s="1" t="s">
        <v>74</v>
      </c>
      <c r="P691" s="1" t="s">
        <v>74</v>
      </c>
      <c r="Q691" s="1" t="s">
        <v>74</v>
      </c>
      <c r="R691" s="1" t="s">
        <v>74</v>
      </c>
      <c r="S691" s="1" t="s">
        <v>74</v>
      </c>
      <c r="T691" s="1" t="s">
        <v>74</v>
      </c>
      <c r="U691" s="1" t="s">
        <v>74</v>
      </c>
      <c r="V691" s="1" t="s">
        <v>6397</v>
      </c>
      <c r="W691" s="1" t="s">
        <v>74</v>
      </c>
      <c r="X691" s="1" t="s">
        <v>74</v>
      </c>
      <c r="Y691" s="1" t="s">
        <v>74</v>
      </c>
      <c r="Z691" s="1" t="s">
        <v>74</v>
      </c>
      <c r="AA691" s="1" t="s">
        <v>5654</v>
      </c>
      <c r="AB691" s="1" t="s">
        <v>6398</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5360</v>
      </c>
      <c r="AP691" s="1" t="s">
        <v>74</v>
      </c>
      <c r="AQ691" s="1" t="s">
        <v>74</v>
      </c>
      <c r="AR691" s="1" t="s">
        <v>74</v>
      </c>
      <c r="AS691" s="1" t="s">
        <v>74</v>
      </c>
      <c r="AT691" s="1" t="s">
        <v>94</v>
      </c>
      <c r="AU691" s="1">
        <v>2017.0</v>
      </c>
      <c r="AV691" s="1">
        <v>11.0</v>
      </c>
      <c r="AW691" s="1">
        <v>1.0</v>
      </c>
      <c r="AX691" s="1" t="s">
        <v>74</v>
      </c>
      <c r="AY691" s="1" t="s">
        <v>74</v>
      </c>
      <c r="AZ691" s="1" t="s">
        <v>74</v>
      </c>
      <c r="BA691" s="1" t="s">
        <v>74</v>
      </c>
      <c r="BB691" s="1">
        <v>188.0</v>
      </c>
      <c r="BC691" s="1">
        <v>206.0</v>
      </c>
      <c r="BD691" s="1" t="s">
        <v>74</v>
      </c>
      <c r="BE691" s="1" t="s">
        <v>6399</v>
      </c>
      <c r="BF691" s="2" t="str">
        <f>HYPERLINK("http://dx.doi.org/10.1215/17358787-3784616","http://dx.doi.org/10.1215/17358787-3784616")</f>
        <v>http://dx.doi.org/10.1215/17358787-3784616</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6400</v>
      </c>
      <c r="BT691" s="1" t="str">
        <f>HYPERLINK("https%3A%2F%2Fwww.webofscience.com%2Fwos%2Fwoscc%2Ffull-record%2FWOS:000397944000010","View Full Record in Web of Science")</f>
        <v>View Full Record in Web of Science</v>
      </c>
    </row>
    <row r="692" ht="12.75" customHeight="1">
      <c r="A692" s="1" t="s">
        <v>72</v>
      </c>
      <c r="B692" s="1" t="s">
        <v>6401</v>
      </c>
      <c r="C692" s="1" t="s">
        <v>74</v>
      </c>
      <c r="D692" s="1" t="s">
        <v>74</v>
      </c>
      <c r="E692" s="1" t="s">
        <v>74</v>
      </c>
      <c r="F692" s="1" t="s">
        <v>6402</v>
      </c>
      <c r="G692" s="1" t="s">
        <v>74</v>
      </c>
      <c r="H692" s="1" t="s">
        <v>74</v>
      </c>
      <c r="I692" s="1" t="s">
        <v>6403</v>
      </c>
      <c r="J692" s="1" t="s">
        <v>4142</v>
      </c>
      <c r="K692" s="1" t="s">
        <v>74</v>
      </c>
      <c r="L692" s="1" t="s">
        <v>74</v>
      </c>
      <c r="M692" s="1" t="s">
        <v>74</v>
      </c>
      <c r="N692" s="1" t="s">
        <v>74</v>
      </c>
      <c r="O692" s="1" t="s">
        <v>74</v>
      </c>
      <c r="P692" s="1" t="s">
        <v>74</v>
      </c>
      <c r="Q692" s="1" t="s">
        <v>74</v>
      </c>
      <c r="R692" s="1" t="s">
        <v>74</v>
      </c>
      <c r="S692" s="1" t="s">
        <v>74</v>
      </c>
      <c r="T692" s="1" t="s">
        <v>74</v>
      </c>
      <c r="U692" s="1" t="s">
        <v>74</v>
      </c>
      <c r="V692" s="1" t="s">
        <v>6404</v>
      </c>
      <c r="W692" s="1" t="s">
        <v>74</v>
      </c>
      <c r="X692" s="1" t="s">
        <v>74</v>
      </c>
      <c r="Y692" s="1" t="s">
        <v>74</v>
      </c>
      <c r="Z692" s="1" t="s">
        <v>74</v>
      </c>
      <c r="AA692" s="1" t="s">
        <v>74</v>
      </c>
      <c r="AB692" s="1" t="s">
        <v>6405</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4146</v>
      </c>
      <c r="AP692" s="1" t="s">
        <v>4147</v>
      </c>
      <c r="AQ692" s="1" t="s">
        <v>74</v>
      </c>
      <c r="AR692" s="1" t="s">
        <v>74</v>
      </c>
      <c r="AS692" s="1" t="s">
        <v>74</v>
      </c>
      <c r="AT692" s="1" t="s">
        <v>501</v>
      </c>
      <c r="AU692" s="1">
        <v>2016.0</v>
      </c>
      <c r="AV692" s="1">
        <v>53.0</v>
      </c>
      <c r="AW692" s="1">
        <v>11.0</v>
      </c>
      <c r="AX692" s="1" t="s">
        <v>74</v>
      </c>
      <c r="AY692" s="1" t="s">
        <v>74</v>
      </c>
      <c r="AZ692" s="1" t="s">
        <v>74</v>
      </c>
      <c r="BA692" s="1" t="s">
        <v>74</v>
      </c>
      <c r="BB692" s="1">
        <v>4110.0</v>
      </c>
      <c r="BC692" s="1">
        <v>4115.0</v>
      </c>
      <c r="BD692" s="1" t="s">
        <v>74</v>
      </c>
      <c r="BE692" s="1" t="s">
        <v>6406</v>
      </c>
      <c r="BF692" s="2" t="str">
        <f>HYPERLINK("http://dx.doi.org/10.1007/s13197-016-2386-6","http://dx.doi.org/10.1007/s13197-016-2386-6")</f>
        <v>http://dx.doi.org/10.1007/s13197-016-2386-6</v>
      </c>
      <c r="BG692" s="1" t="s">
        <v>74</v>
      </c>
      <c r="BH692" s="1" t="s">
        <v>74</v>
      </c>
      <c r="BI692" s="1" t="s">
        <v>74</v>
      </c>
      <c r="BJ692" s="1" t="s">
        <v>74</v>
      </c>
      <c r="BK692" s="1" t="s">
        <v>74</v>
      </c>
      <c r="BL692" s="1" t="s">
        <v>74</v>
      </c>
      <c r="BM692" s="1" t="s">
        <v>74</v>
      </c>
      <c r="BN692" s="1">
        <v>2.8035167E7</v>
      </c>
      <c r="BO692" s="1" t="s">
        <v>74</v>
      </c>
      <c r="BP692" s="1" t="s">
        <v>74</v>
      </c>
      <c r="BQ692" s="1" t="s">
        <v>74</v>
      </c>
      <c r="BR692" s="1" t="s">
        <v>74</v>
      </c>
      <c r="BS692" s="1" t="s">
        <v>6407</v>
      </c>
      <c r="BT692" s="1" t="str">
        <f>HYPERLINK("https%3A%2F%2Fwww.webofscience.com%2Fwos%2Fwoscc%2Ffull-record%2FWOS:000390011200026","View Full Record in Web of Science")</f>
        <v>View Full Record in Web of Science</v>
      </c>
    </row>
    <row r="693" ht="12.75" customHeight="1">
      <c r="A693" s="1" t="s">
        <v>72</v>
      </c>
      <c r="B693" s="1" t="s">
        <v>6408</v>
      </c>
      <c r="C693" s="1" t="s">
        <v>74</v>
      </c>
      <c r="D693" s="1" t="s">
        <v>74</v>
      </c>
      <c r="E693" s="1" t="s">
        <v>74</v>
      </c>
      <c r="F693" s="1" t="s">
        <v>6409</v>
      </c>
      <c r="G693" s="1" t="s">
        <v>74</v>
      </c>
      <c r="H693" s="1" t="s">
        <v>74</v>
      </c>
      <c r="I693" s="1" t="s">
        <v>6410</v>
      </c>
      <c r="J693" s="1" t="s">
        <v>6411</v>
      </c>
      <c r="K693" s="1" t="s">
        <v>74</v>
      </c>
      <c r="L693" s="1" t="s">
        <v>74</v>
      </c>
      <c r="M693" s="1" t="s">
        <v>74</v>
      </c>
      <c r="N693" s="1" t="s">
        <v>74</v>
      </c>
      <c r="O693" s="1" t="s">
        <v>74</v>
      </c>
      <c r="P693" s="1" t="s">
        <v>74</v>
      </c>
      <c r="Q693" s="1" t="s">
        <v>74</v>
      </c>
      <c r="R693" s="1" t="s">
        <v>74</v>
      </c>
      <c r="S693" s="1" t="s">
        <v>74</v>
      </c>
      <c r="T693" s="1" t="s">
        <v>74</v>
      </c>
      <c r="U693" s="1" t="s">
        <v>74</v>
      </c>
      <c r="V693" s="1" t="s">
        <v>6412</v>
      </c>
      <c r="W693" s="1" t="s">
        <v>74</v>
      </c>
      <c r="X693" s="1" t="s">
        <v>74</v>
      </c>
      <c r="Y693" s="1" t="s">
        <v>74</v>
      </c>
      <c r="Z693" s="1" t="s">
        <v>74</v>
      </c>
      <c r="AA693" s="1" t="s">
        <v>5937</v>
      </c>
      <c r="AB693" s="1" t="s">
        <v>5938</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6413</v>
      </c>
      <c r="AP693" s="1" t="s">
        <v>6414</v>
      </c>
      <c r="AQ693" s="1" t="s">
        <v>74</v>
      </c>
      <c r="AR693" s="1" t="s">
        <v>74</v>
      </c>
      <c r="AS693" s="1" t="s">
        <v>74</v>
      </c>
      <c r="AT693" s="1" t="s">
        <v>319</v>
      </c>
      <c r="AU693" s="1">
        <v>2016.0</v>
      </c>
      <c r="AV693" s="1">
        <v>108.0</v>
      </c>
      <c r="AW693" s="1" t="s">
        <v>74</v>
      </c>
      <c r="AX693" s="1" t="s">
        <v>74</v>
      </c>
      <c r="AY693" s="1" t="s">
        <v>74</v>
      </c>
      <c r="AZ693" s="1" t="s">
        <v>74</v>
      </c>
      <c r="BA693" s="1" t="s">
        <v>74</v>
      </c>
      <c r="BB693" s="1">
        <v>158.0</v>
      </c>
      <c r="BC693" s="1">
        <v>165.0</v>
      </c>
      <c r="BD693" s="1" t="s">
        <v>74</v>
      </c>
      <c r="BE693" s="1" t="s">
        <v>6415</v>
      </c>
      <c r="BF693" s="2" t="str">
        <f>HYPERLINK("http://dx.doi.org/10.1016/j.ibiod.2015.12.022","http://dx.doi.org/10.1016/j.ibiod.2015.12.022")</f>
        <v>http://dx.doi.org/10.1016/j.ibiod.2015.12.022</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6416</v>
      </c>
      <c r="BT693" s="1" t="str">
        <f>HYPERLINK("https%3A%2F%2Fwww.webofscience.com%2Fwos%2Fwoscc%2Ffull-record%2FWOS:000371552500021","View Full Record in Web of Science")</f>
        <v>View Full Record in Web of Science</v>
      </c>
    </row>
    <row r="694" ht="12.75" customHeight="1">
      <c r="A694" s="1" t="s">
        <v>72</v>
      </c>
      <c r="B694" s="1" t="s">
        <v>6417</v>
      </c>
      <c r="C694" s="1" t="s">
        <v>74</v>
      </c>
      <c r="D694" s="1" t="s">
        <v>74</v>
      </c>
      <c r="E694" s="1" t="s">
        <v>74</v>
      </c>
      <c r="F694" s="1" t="s">
        <v>6418</v>
      </c>
      <c r="G694" s="1" t="s">
        <v>74</v>
      </c>
      <c r="H694" s="1" t="s">
        <v>74</v>
      </c>
      <c r="I694" s="1" t="s">
        <v>6419</v>
      </c>
      <c r="J694" s="1" t="s">
        <v>6420</v>
      </c>
      <c r="K694" s="1" t="s">
        <v>74</v>
      </c>
      <c r="L694" s="1" t="s">
        <v>74</v>
      </c>
      <c r="M694" s="1" t="s">
        <v>74</v>
      </c>
      <c r="N694" s="1" t="s">
        <v>74</v>
      </c>
      <c r="O694" s="1" t="s">
        <v>74</v>
      </c>
      <c r="P694" s="1" t="s">
        <v>74</v>
      </c>
      <c r="Q694" s="1" t="s">
        <v>74</v>
      </c>
      <c r="R694" s="1" t="s">
        <v>74</v>
      </c>
      <c r="S694" s="1" t="s">
        <v>74</v>
      </c>
      <c r="T694" s="1" t="s">
        <v>74</v>
      </c>
      <c r="U694" s="1" t="s">
        <v>74</v>
      </c>
      <c r="V694" s="1" t="s">
        <v>6421</v>
      </c>
      <c r="W694" s="1" t="s">
        <v>74</v>
      </c>
      <c r="X694" s="1" t="s">
        <v>74</v>
      </c>
      <c r="Y694" s="1" t="s">
        <v>74</v>
      </c>
      <c r="Z694" s="1" t="s">
        <v>74</v>
      </c>
      <c r="AA694" s="1" t="s">
        <v>74</v>
      </c>
      <c r="AB694" s="1" t="s">
        <v>74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6422</v>
      </c>
      <c r="AP694" s="1" t="s">
        <v>6423</v>
      </c>
      <c r="AQ694" s="1" t="s">
        <v>74</v>
      </c>
      <c r="AR694" s="1" t="s">
        <v>74</v>
      </c>
      <c r="AS694" s="1" t="s">
        <v>74</v>
      </c>
      <c r="AT694" s="1" t="s">
        <v>6424</v>
      </c>
      <c r="AU694" s="1">
        <v>2016.0</v>
      </c>
      <c r="AV694" s="1">
        <v>46.0</v>
      </c>
      <c r="AW694" s="1">
        <v>2.0</v>
      </c>
      <c r="AX694" s="1" t="s">
        <v>74</v>
      </c>
      <c r="AY694" s="1" t="s">
        <v>74</v>
      </c>
      <c r="AZ694" s="1" t="s">
        <v>74</v>
      </c>
      <c r="BA694" s="1" t="s">
        <v>74</v>
      </c>
      <c r="BB694" s="1">
        <v>200.0</v>
      </c>
      <c r="BC694" s="1">
        <v>207.0</v>
      </c>
      <c r="BD694" s="1" t="s">
        <v>74</v>
      </c>
      <c r="BE694" s="1" t="s">
        <v>6425</v>
      </c>
      <c r="BF694" s="2" t="str">
        <f>HYPERLINK("http://dx.doi.org/10.1080/10826068.2015.1084513","http://dx.doi.org/10.1080/10826068.2015.1084513")</f>
        <v>http://dx.doi.org/10.1080/10826068.2015.1084513</v>
      </c>
      <c r="BG694" s="1" t="s">
        <v>74</v>
      </c>
      <c r="BH694" s="1" t="s">
        <v>74</v>
      </c>
      <c r="BI694" s="1" t="s">
        <v>74</v>
      </c>
      <c r="BJ694" s="1" t="s">
        <v>74</v>
      </c>
      <c r="BK694" s="1" t="s">
        <v>74</v>
      </c>
      <c r="BL694" s="1" t="s">
        <v>74</v>
      </c>
      <c r="BM694" s="1" t="s">
        <v>74</v>
      </c>
      <c r="BN694" s="1">
        <v>2.6444982E7</v>
      </c>
      <c r="BO694" s="1" t="s">
        <v>74</v>
      </c>
      <c r="BP694" s="1" t="s">
        <v>74</v>
      </c>
      <c r="BQ694" s="1" t="s">
        <v>74</v>
      </c>
      <c r="BR694" s="1" t="s">
        <v>74</v>
      </c>
      <c r="BS694" s="1" t="s">
        <v>6426</v>
      </c>
      <c r="BT694" s="1" t="str">
        <f>HYPERLINK("https%3A%2F%2Fwww.webofscience.com%2Fwos%2Fwoscc%2Ffull-record%2FWOS:000367817000014","View Full Record in Web of Science")</f>
        <v>View Full Record in Web of Science</v>
      </c>
    </row>
    <row r="695" ht="12.75" customHeight="1">
      <c r="A695" s="1" t="s">
        <v>72</v>
      </c>
      <c r="B695" s="1" t="s">
        <v>6427</v>
      </c>
      <c r="C695" s="1" t="s">
        <v>74</v>
      </c>
      <c r="D695" s="1" t="s">
        <v>74</v>
      </c>
      <c r="E695" s="1" t="s">
        <v>74</v>
      </c>
      <c r="F695" s="1" t="s">
        <v>6428</v>
      </c>
      <c r="G695" s="1" t="s">
        <v>74</v>
      </c>
      <c r="H695" s="1" t="s">
        <v>74</v>
      </c>
      <c r="I695" s="1" t="s">
        <v>6429</v>
      </c>
      <c r="J695" s="1" t="s">
        <v>6430</v>
      </c>
      <c r="K695" s="1" t="s">
        <v>74</v>
      </c>
      <c r="L695" s="1" t="s">
        <v>74</v>
      </c>
      <c r="M695" s="1" t="s">
        <v>74</v>
      </c>
      <c r="N695" s="1" t="s">
        <v>74</v>
      </c>
      <c r="O695" s="1" t="s">
        <v>74</v>
      </c>
      <c r="P695" s="1" t="s">
        <v>74</v>
      </c>
      <c r="Q695" s="1" t="s">
        <v>74</v>
      </c>
      <c r="R695" s="1" t="s">
        <v>74</v>
      </c>
      <c r="S695" s="1" t="s">
        <v>74</v>
      </c>
      <c r="T695" s="1" t="s">
        <v>74</v>
      </c>
      <c r="U695" s="1" t="s">
        <v>74</v>
      </c>
      <c r="V695" s="1" t="s">
        <v>6431</v>
      </c>
      <c r="W695" s="1" t="s">
        <v>74</v>
      </c>
      <c r="X695" s="1" t="s">
        <v>74</v>
      </c>
      <c r="Y695" s="1" t="s">
        <v>74</v>
      </c>
      <c r="Z695" s="1" t="s">
        <v>74</v>
      </c>
      <c r="AA695" s="1" t="s">
        <v>74</v>
      </c>
      <c r="AB695" s="1" t="s">
        <v>74</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6432</v>
      </c>
      <c r="AP695" s="1" t="s">
        <v>6433</v>
      </c>
      <c r="AQ695" s="1" t="s">
        <v>74</v>
      </c>
      <c r="AR695" s="1" t="s">
        <v>74</v>
      </c>
      <c r="AS695" s="1" t="s">
        <v>74</v>
      </c>
      <c r="AT695" s="1" t="s">
        <v>74</v>
      </c>
      <c r="AU695" s="1">
        <v>2016.0</v>
      </c>
      <c r="AV695" s="1">
        <v>48.0</v>
      </c>
      <c r="AW695" s="1">
        <v>2.0</v>
      </c>
      <c r="AX695" s="1" t="s">
        <v>74</v>
      </c>
      <c r="AY695" s="1" t="s">
        <v>74</v>
      </c>
      <c r="AZ695" s="1" t="s">
        <v>74</v>
      </c>
      <c r="BA695" s="1" t="s">
        <v>74</v>
      </c>
      <c r="BB695" s="1">
        <v>1512.0</v>
      </c>
      <c r="BC695" s="1">
        <v>1547.0</v>
      </c>
      <c r="BD695" s="1" t="s">
        <v>74</v>
      </c>
      <c r="BE695" s="1" t="s">
        <v>6434</v>
      </c>
      <c r="BF695" s="2" t="str">
        <f>HYPERLINK("http://dx.doi.org/10.1137/140967192","http://dx.doi.org/10.1137/140967192")</f>
        <v>http://dx.doi.org/10.1137/140967192</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6435</v>
      </c>
      <c r="BT695" s="1" t="str">
        <f>HYPERLINK("https%3A%2F%2Fwww.webofscience.com%2Fwos%2Fwoscc%2Ffull-record%2FWOS:000375490000029","View Full Record in Web of Science")</f>
        <v>View Full Record in Web of Science</v>
      </c>
    </row>
    <row r="696" ht="12.75" customHeight="1">
      <c r="A696" s="1" t="s">
        <v>72</v>
      </c>
      <c r="B696" s="1" t="s">
        <v>3199</v>
      </c>
      <c r="C696" s="1" t="s">
        <v>74</v>
      </c>
      <c r="D696" s="1" t="s">
        <v>74</v>
      </c>
      <c r="E696" s="1" t="s">
        <v>74</v>
      </c>
      <c r="F696" s="1" t="s">
        <v>3200</v>
      </c>
      <c r="G696" s="1" t="s">
        <v>74</v>
      </c>
      <c r="H696" s="1" t="s">
        <v>74</v>
      </c>
      <c r="I696" s="1" t="s">
        <v>6436</v>
      </c>
      <c r="J696" s="1" t="s">
        <v>6437</v>
      </c>
      <c r="K696" s="1" t="s">
        <v>74</v>
      </c>
      <c r="L696" s="1" t="s">
        <v>74</v>
      </c>
      <c r="M696" s="1" t="s">
        <v>74</v>
      </c>
      <c r="N696" s="1" t="s">
        <v>74</v>
      </c>
      <c r="O696" s="1" t="s">
        <v>74</v>
      </c>
      <c r="P696" s="1" t="s">
        <v>74</v>
      </c>
      <c r="Q696" s="1" t="s">
        <v>74</v>
      </c>
      <c r="R696" s="1" t="s">
        <v>74</v>
      </c>
      <c r="S696" s="1" t="s">
        <v>74</v>
      </c>
      <c r="T696" s="1" t="s">
        <v>74</v>
      </c>
      <c r="U696" s="1" t="s">
        <v>74</v>
      </c>
      <c r="V696" s="1" t="s">
        <v>6438</v>
      </c>
      <c r="W696" s="1" t="s">
        <v>74</v>
      </c>
      <c r="X696" s="1" t="s">
        <v>74</v>
      </c>
      <c r="Y696" s="1" t="s">
        <v>74</v>
      </c>
      <c r="Z696" s="1" t="s">
        <v>74</v>
      </c>
      <c r="AA696" s="1" t="s">
        <v>5490</v>
      </c>
      <c r="AB696" s="1" t="s">
        <v>6439</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6440</v>
      </c>
      <c r="AP696" s="1" t="s">
        <v>6441</v>
      </c>
      <c r="AQ696" s="1" t="s">
        <v>74</v>
      </c>
      <c r="AR696" s="1" t="s">
        <v>74</v>
      </c>
      <c r="AS696" s="1" t="s">
        <v>74</v>
      </c>
      <c r="AT696" s="1" t="s">
        <v>719</v>
      </c>
      <c r="AU696" s="1">
        <v>2015.0</v>
      </c>
      <c r="AV696" s="1">
        <v>271.0</v>
      </c>
      <c r="AW696" s="1" t="s">
        <v>74</v>
      </c>
      <c r="AX696" s="1" t="s">
        <v>74</v>
      </c>
      <c r="AY696" s="1" t="s">
        <v>74</v>
      </c>
      <c r="AZ696" s="1" t="s">
        <v>74</v>
      </c>
      <c r="BA696" s="1" t="s">
        <v>74</v>
      </c>
      <c r="BB696" s="1">
        <v>154.0</v>
      </c>
      <c r="BC696" s="1">
        <v>167.0</v>
      </c>
      <c r="BD696" s="1" t="s">
        <v>74</v>
      </c>
      <c r="BE696" s="1" t="s">
        <v>6442</v>
      </c>
      <c r="BF696" s="2" t="str">
        <f>HYPERLINK("http://dx.doi.org/10.1016/j.amc.2015.08.132","http://dx.doi.org/10.1016/j.amc.2015.08.132")</f>
        <v>http://dx.doi.org/10.1016/j.amc.2015.08.132</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6443</v>
      </c>
      <c r="BT696" s="1" t="str">
        <f>HYPERLINK("https%3A%2F%2Fwww.webofscience.com%2Fwos%2Fwoscc%2Ffull-record%2FWOS:000364538300015","View Full Record in Web of Science")</f>
        <v>View Full Record in Web of Science</v>
      </c>
    </row>
    <row r="697" ht="12.75" customHeight="1">
      <c r="A697" s="1" t="s">
        <v>72</v>
      </c>
      <c r="B697" s="1" t="s">
        <v>6444</v>
      </c>
      <c r="C697" s="1" t="s">
        <v>74</v>
      </c>
      <c r="D697" s="1" t="s">
        <v>74</v>
      </c>
      <c r="E697" s="1" t="s">
        <v>74</v>
      </c>
      <c r="F697" s="1" t="s">
        <v>6445</v>
      </c>
      <c r="G697" s="1" t="s">
        <v>74</v>
      </c>
      <c r="H697" s="1" t="s">
        <v>6446</v>
      </c>
      <c r="I697" s="1" t="s">
        <v>6447</v>
      </c>
      <c r="J697" s="1" t="s">
        <v>2400</v>
      </c>
      <c r="K697" s="1" t="s">
        <v>74</v>
      </c>
      <c r="L697" s="1" t="s">
        <v>74</v>
      </c>
      <c r="M697" s="1" t="s">
        <v>74</v>
      </c>
      <c r="N697" s="1" t="s">
        <v>74</v>
      </c>
      <c r="O697" s="1" t="s">
        <v>74</v>
      </c>
      <c r="P697" s="1" t="s">
        <v>74</v>
      </c>
      <c r="Q697" s="1" t="s">
        <v>74</v>
      </c>
      <c r="R697" s="1" t="s">
        <v>74</v>
      </c>
      <c r="S697" s="1" t="s">
        <v>74</v>
      </c>
      <c r="T697" s="1" t="s">
        <v>74</v>
      </c>
      <c r="U697" s="1" t="s">
        <v>74</v>
      </c>
      <c r="V697" s="1" t="s">
        <v>6448</v>
      </c>
      <c r="W697" s="1" t="s">
        <v>74</v>
      </c>
      <c r="X697" s="1" t="s">
        <v>74</v>
      </c>
      <c r="Y697" s="1" t="s">
        <v>74</v>
      </c>
      <c r="Z697" s="1" t="s">
        <v>74</v>
      </c>
      <c r="AA697" s="1" t="s">
        <v>6449</v>
      </c>
      <c r="AB697" s="1" t="s">
        <v>6450</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2403</v>
      </c>
      <c r="AP697" s="1" t="s">
        <v>2404</v>
      </c>
      <c r="AQ697" s="1" t="s">
        <v>74</v>
      </c>
      <c r="AR697" s="1" t="s">
        <v>74</v>
      </c>
      <c r="AS697" s="1" t="s">
        <v>74</v>
      </c>
      <c r="AT697" s="1" t="s">
        <v>638</v>
      </c>
      <c r="AU697" s="1">
        <v>2015.0</v>
      </c>
      <c r="AV697" s="1">
        <v>43.0</v>
      </c>
      <c r="AW697" s="1">
        <v>6.0</v>
      </c>
      <c r="AX697" s="1" t="s">
        <v>74</v>
      </c>
      <c r="AY697" s="1" t="s">
        <v>74</v>
      </c>
      <c r="AZ697" s="1" t="s">
        <v>74</v>
      </c>
      <c r="BA697" s="1" t="s">
        <v>74</v>
      </c>
      <c r="BB697" s="1">
        <v>562.0</v>
      </c>
      <c r="BC697" s="1">
        <v>567.0</v>
      </c>
      <c r="BD697" s="1" t="s">
        <v>74</v>
      </c>
      <c r="BE697" s="1" t="s">
        <v>6451</v>
      </c>
      <c r="BF697" s="2" t="str">
        <f>HYPERLINK("http://dx.doi.org/10.1016/j.aller.2014.10.002","http://dx.doi.org/10.1016/j.aller.2014.10.002")</f>
        <v>http://dx.doi.org/10.1016/j.aller.2014.10.002</v>
      </c>
      <c r="BG697" s="1" t="s">
        <v>74</v>
      </c>
      <c r="BH697" s="1" t="s">
        <v>74</v>
      </c>
      <c r="BI697" s="1" t="s">
        <v>74</v>
      </c>
      <c r="BJ697" s="1" t="s">
        <v>74</v>
      </c>
      <c r="BK697" s="1" t="s">
        <v>74</v>
      </c>
      <c r="BL697" s="1" t="s">
        <v>74</v>
      </c>
      <c r="BM697" s="1" t="s">
        <v>74</v>
      </c>
      <c r="BN697" s="1">
        <v>2.5796306E7</v>
      </c>
      <c r="BO697" s="1" t="s">
        <v>74</v>
      </c>
      <c r="BP697" s="1" t="s">
        <v>74</v>
      </c>
      <c r="BQ697" s="1" t="s">
        <v>74</v>
      </c>
      <c r="BR697" s="1" t="s">
        <v>74</v>
      </c>
      <c r="BS697" s="1" t="s">
        <v>6452</v>
      </c>
      <c r="BT697" s="1" t="str">
        <f>HYPERLINK("https%3A%2F%2Fwww.webofscience.com%2Fwos%2Fwoscc%2Ffull-record%2FWOS:000365454200007","View Full Record in Web of Science")</f>
        <v>View Full Record in Web of Science</v>
      </c>
    </row>
    <row r="698" ht="12.75" customHeight="1">
      <c r="A698" s="1" t="s">
        <v>72</v>
      </c>
      <c r="B698" s="1" t="s">
        <v>6453</v>
      </c>
      <c r="C698" s="1" t="s">
        <v>74</v>
      </c>
      <c r="D698" s="1" t="s">
        <v>74</v>
      </c>
      <c r="E698" s="1" t="s">
        <v>74</v>
      </c>
      <c r="F698" s="1" t="s">
        <v>6454</v>
      </c>
      <c r="G698" s="1" t="s">
        <v>74</v>
      </c>
      <c r="H698" s="1" t="s">
        <v>74</v>
      </c>
      <c r="I698" s="1" t="s">
        <v>6455</v>
      </c>
      <c r="J698" s="1" t="s">
        <v>6456</v>
      </c>
      <c r="K698" s="1" t="s">
        <v>74</v>
      </c>
      <c r="L698" s="1" t="s">
        <v>74</v>
      </c>
      <c r="M698" s="1" t="s">
        <v>74</v>
      </c>
      <c r="N698" s="1" t="s">
        <v>74</v>
      </c>
      <c r="O698" s="1" t="s">
        <v>74</v>
      </c>
      <c r="P698" s="1" t="s">
        <v>74</v>
      </c>
      <c r="Q698" s="1" t="s">
        <v>74</v>
      </c>
      <c r="R698" s="1" t="s">
        <v>74</v>
      </c>
      <c r="S698" s="1" t="s">
        <v>74</v>
      </c>
      <c r="T698" s="1" t="s">
        <v>74</v>
      </c>
      <c r="U698" s="1" t="s">
        <v>74</v>
      </c>
      <c r="V698" s="1" t="s">
        <v>6457</v>
      </c>
      <c r="W698" s="1" t="s">
        <v>74</v>
      </c>
      <c r="X698" s="1" t="s">
        <v>74</v>
      </c>
      <c r="Y698" s="1" t="s">
        <v>74</v>
      </c>
      <c r="Z698" s="1" t="s">
        <v>74</v>
      </c>
      <c r="AA698" s="1" t="s">
        <v>6458</v>
      </c>
      <c r="AB698" s="1" t="s">
        <v>6459</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6460</v>
      </c>
      <c r="AP698" s="1" t="s">
        <v>6461</v>
      </c>
      <c r="AQ698" s="1" t="s">
        <v>74</v>
      </c>
      <c r="AR698" s="1" t="s">
        <v>74</v>
      </c>
      <c r="AS698" s="1" t="s">
        <v>74</v>
      </c>
      <c r="AT698" s="1" t="s">
        <v>106</v>
      </c>
      <c r="AU698" s="1">
        <v>2015.0</v>
      </c>
      <c r="AV698" s="1">
        <v>31.0</v>
      </c>
      <c r="AW698" s="1">
        <v>9.0</v>
      </c>
      <c r="AX698" s="1" t="s">
        <v>74</v>
      </c>
      <c r="AY698" s="1" t="s">
        <v>74</v>
      </c>
      <c r="AZ698" s="1" t="s">
        <v>74</v>
      </c>
      <c r="BA698" s="1" t="s">
        <v>74</v>
      </c>
      <c r="BB698" s="1">
        <v>1975.0</v>
      </c>
      <c r="BC698" s="1">
        <v>1982.0</v>
      </c>
      <c r="BD698" s="1" t="s">
        <v>74</v>
      </c>
      <c r="BE698" s="1" t="s">
        <v>6462</v>
      </c>
      <c r="BF698" s="2" t="str">
        <f>HYPERLINK("http://dx.doi.org/10.1590/0102-311X00194313","http://dx.doi.org/10.1590/0102-311X00194313")</f>
        <v>http://dx.doi.org/10.1590/0102-311X00194313</v>
      </c>
      <c r="BG698" s="1" t="s">
        <v>74</v>
      </c>
      <c r="BH698" s="1" t="s">
        <v>74</v>
      </c>
      <c r="BI698" s="1" t="s">
        <v>74</v>
      </c>
      <c r="BJ698" s="1" t="s">
        <v>74</v>
      </c>
      <c r="BK698" s="1" t="s">
        <v>74</v>
      </c>
      <c r="BL698" s="1" t="s">
        <v>74</v>
      </c>
      <c r="BM698" s="1" t="s">
        <v>74</v>
      </c>
      <c r="BN698" s="1">
        <v>2.6578021E7</v>
      </c>
      <c r="BO698" s="1" t="s">
        <v>74</v>
      </c>
      <c r="BP698" s="1" t="s">
        <v>74</v>
      </c>
      <c r="BQ698" s="1" t="s">
        <v>74</v>
      </c>
      <c r="BR698" s="1" t="s">
        <v>74</v>
      </c>
      <c r="BS698" s="1" t="s">
        <v>6463</v>
      </c>
      <c r="BT698" s="1" t="str">
        <f>HYPERLINK("https%3A%2F%2Fwww.webofscience.com%2Fwos%2Fwoscc%2Ffull-record%2FWOS:000365289700018","View Full Record in Web of Science")</f>
        <v>View Full Record in Web of Science</v>
      </c>
    </row>
    <row r="699" ht="12.75" customHeight="1">
      <c r="A699" s="1" t="s">
        <v>72</v>
      </c>
      <c r="B699" s="1" t="s">
        <v>6464</v>
      </c>
      <c r="C699" s="1" t="s">
        <v>74</v>
      </c>
      <c r="D699" s="1" t="s">
        <v>74</v>
      </c>
      <c r="E699" s="1" t="s">
        <v>74</v>
      </c>
      <c r="F699" s="1" t="s">
        <v>6465</v>
      </c>
      <c r="G699" s="1" t="s">
        <v>74</v>
      </c>
      <c r="H699" s="1" t="s">
        <v>74</v>
      </c>
      <c r="I699" s="1" t="s">
        <v>6466</v>
      </c>
      <c r="J699" s="1" t="s">
        <v>6467</v>
      </c>
      <c r="K699" s="1" t="s">
        <v>74</v>
      </c>
      <c r="L699" s="1" t="s">
        <v>74</v>
      </c>
      <c r="M699" s="1" t="s">
        <v>74</v>
      </c>
      <c r="N699" s="1" t="s">
        <v>74</v>
      </c>
      <c r="O699" s="1" t="s">
        <v>74</v>
      </c>
      <c r="P699" s="1" t="s">
        <v>74</v>
      </c>
      <c r="Q699" s="1" t="s">
        <v>74</v>
      </c>
      <c r="R699" s="1" t="s">
        <v>74</v>
      </c>
      <c r="S699" s="1" t="s">
        <v>74</v>
      </c>
      <c r="T699" s="1" t="s">
        <v>74</v>
      </c>
      <c r="U699" s="1" t="s">
        <v>74</v>
      </c>
      <c r="V699" s="1" t="s">
        <v>6468</v>
      </c>
      <c r="W699" s="1" t="s">
        <v>74</v>
      </c>
      <c r="X699" s="1" t="s">
        <v>74</v>
      </c>
      <c r="Y699" s="1" t="s">
        <v>74</v>
      </c>
      <c r="Z699" s="1" t="s">
        <v>74</v>
      </c>
      <c r="AA699" s="1" t="s">
        <v>6469</v>
      </c>
      <c r="AB699" s="1" t="s">
        <v>6470</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6471</v>
      </c>
      <c r="AP699" s="1" t="s">
        <v>6472</v>
      </c>
      <c r="AQ699" s="1" t="s">
        <v>74</v>
      </c>
      <c r="AR699" s="1" t="s">
        <v>74</v>
      </c>
      <c r="AS699" s="1" t="s">
        <v>74</v>
      </c>
      <c r="AT699" s="1" t="s">
        <v>800</v>
      </c>
      <c r="AU699" s="1">
        <v>2015.0</v>
      </c>
      <c r="AV699" s="1">
        <v>156.0</v>
      </c>
      <c r="AW699" s="1" t="s">
        <v>74</v>
      </c>
      <c r="AX699" s="1" t="s">
        <v>74</v>
      </c>
      <c r="AY699" s="1" t="s">
        <v>74</v>
      </c>
      <c r="AZ699" s="1" t="s">
        <v>74</v>
      </c>
      <c r="BA699" s="1" t="s">
        <v>74</v>
      </c>
      <c r="BB699" s="1">
        <v>113.0</v>
      </c>
      <c r="BC699" s="1">
        <v>120.0</v>
      </c>
      <c r="BD699" s="1" t="s">
        <v>74</v>
      </c>
      <c r="BE699" s="1" t="s">
        <v>6473</v>
      </c>
      <c r="BF699" s="2" t="str">
        <f>HYPERLINK("http://dx.doi.org/10.1016/j.matchemphys.2015.02.033","http://dx.doi.org/10.1016/j.matchemphys.2015.02.033")</f>
        <v>http://dx.doi.org/10.1016/j.matchemphys.2015.02.033</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6474</v>
      </c>
      <c r="BT699" s="1" t="str">
        <f>HYPERLINK("https%3A%2F%2Fwww.webofscience.com%2Fwos%2Fwoscc%2Ffull-record%2FWOS:000352667300015","View Full Record in Web of Science")</f>
        <v>View Full Record in Web of Science</v>
      </c>
    </row>
    <row r="700" ht="12.75" customHeight="1">
      <c r="A700" s="1" t="s">
        <v>72</v>
      </c>
      <c r="B700" s="1" t="s">
        <v>6475</v>
      </c>
      <c r="C700" s="1" t="s">
        <v>74</v>
      </c>
      <c r="D700" s="1" t="s">
        <v>74</v>
      </c>
      <c r="E700" s="1" t="s">
        <v>74</v>
      </c>
      <c r="F700" s="1" t="s">
        <v>6476</v>
      </c>
      <c r="G700" s="1" t="s">
        <v>74</v>
      </c>
      <c r="H700" s="1" t="s">
        <v>74</v>
      </c>
      <c r="I700" s="1" t="s">
        <v>6477</v>
      </c>
      <c r="J700" s="1" t="s">
        <v>4640</v>
      </c>
      <c r="K700" s="1" t="s">
        <v>74</v>
      </c>
      <c r="L700" s="1" t="s">
        <v>74</v>
      </c>
      <c r="M700" s="1" t="s">
        <v>74</v>
      </c>
      <c r="N700" s="1" t="s">
        <v>74</v>
      </c>
      <c r="O700" s="1" t="s">
        <v>74</v>
      </c>
      <c r="P700" s="1" t="s">
        <v>74</v>
      </c>
      <c r="Q700" s="1" t="s">
        <v>74</v>
      </c>
      <c r="R700" s="1" t="s">
        <v>74</v>
      </c>
      <c r="S700" s="1" t="s">
        <v>74</v>
      </c>
      <c r="T700" s="1" t="s">
        <v>74</v>
      </c>
      <c r="U700" s="1" t="s">
        <v>74</v>
      </c>
      <c r="V700" s="1" t="s">
        <v>6478</v>
      </c>
      <c r="W700" s="1" t="s">
        <v>74</v>
      </c>
      <c r="X700" s="1" t="s">
        <v>74</v>
      </c>
      <c r="Y700" s="1" t="s">
        <v>74</v>
      </c>
      <c r="Z700" s="1" t="s">
        <v>74</v>
      </c>
      <c r="AA700" s="1" t="s">
        <v>6479</v>
      </c>
      <c r="AB700" s="1" t="s">
        <v>6480</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4645</v>
      </c>
      <c r="AP700" s="1" t="s">
        <v>4646</v>
      </c>
      <c r="AQ700" s="1" t="s">
        <v>74</v>
      </c>
      <c r="AR700" s="1" t="s">
        <v>74</v>
      </c>
      <c r="AS700" s="1" t="s">
        <v>74</v>
      </c>
      <c r="AT700" s="1" t="s">
        <v>574</v>
      </c>
      <c r="AU700" s="1">
        <v>2015.0</v>
      </c>
      <c r="AV700" s="1">
        <v>26.0</v>
      </c>
      <c r="AW700" s="1">
        <v>7.0</v>
      </c>
      <c r="AX700" s="1" t="s">
        <v>74</v>
      </c>
      <c r="AY700" s="1" t="s">
        <v>74</v>
      </c>
      <c r="AZ700" s="1" t="s">
        <v>74</v>
      </c>
      <c r="BA700" s="1" t="s">
        <v>74</v>
      </c>
      <c r="BB700" s="1">
        <v>1286.0</v>
      </c>
      <c r="BC700" s="1">
        <v>1295.0</v>
      </c>
      <c r="BD700" s="1" t="s">
        <v>74</v>
      </c>
      <c r="BE700" s="1" t="s">
        <v>6481</v>
      </c>
      <c r="BF700" s="2" t="str">
        <f>HYPERLINK("http://dx.doi.org/10.1091/mbc.E14-08-1330","http://dx.doi.org/10.1091/mbc.E14-08-1330")</f>
        <v>http://dx.doi.org/10.1091/mbc.E14-08-1330</v>
      </c>
      <c r="BG700" s="1" t="s">
        <v>74</v>
      </c>
      <c r="BH700" s="1" t="s">
        <v>74</v>
      </c>
      <c r="BI700" s="1" t="s">
        <v>74</v>
      </c>
      <c r="BJ700" s="1" t="s">
        <v>74</v>
      </c>
      <c r="BK700" s="1" t="s">
        <v>74</v>
      </c>
      <c r="BL700" s="1" t="s">
        <v>74</v>
      </c>
      <c r="BM700" s="1" t="s">
        <v>74</v>
      </c>
      <c r="BN700" s="1">
        <v>2.565732E7</v>
      </c>
      <c r="BO700" s="1" t="s">
        <v>74</v>
      </c>
      <c r="BP700" s="1" t="s">
        <v>74</v>
      </c>
      <c r="BQ700" s="1" t="s">
        <v>74</v>
      </c>
      <c r="BR700" s="1" t="s">
        <v>74</v>
      </c>
      <c r="BS700" s="1" t="s">
        <v>6482</v>
      </c>
      <c r="BT700" s="1" t="str">
        <f>HYPERLINK("https%3A%2F%2Fwww.webofscience.com%2Fwos%2Fwoscc%2Ffull-record%2FWOS:000351946100008","View Full Record in Web of Science")</f>
        <v>View Full Record in Web of Science</v>
      </c>
    </row>
    <row r="701" ht="12.75" customHeight="1">
      <c r="A701" s="1" t="s">
        <v>72</v>
      </c>
      <c r="B701" s="1" t="s">
        <v>6483</v>
      </c>
      <c r="C701" s="1" t="s">
        <v>74</v>
      </c>
      <c r="D701" s="1" t="s">
        <v>74</v>
      </c>
      <c r="E701" s="1" t="s">
        <v>74</v>
      </c>
      <c r="F701" s="1" t="s">
        <v>6484</v>
      </c>
      <c r="G701" s="1" t="s">
        <v>74</v>
      </c>
      <c r="H701" s="1" t="s">
        <v>74</v>
      </c>
      <c r="I701" s="1" t="s">
        <v>6485</v>
      </c>
      <c r="J701" s="1" t="s">
        <v>3608</v>
      </c>
      <c r="K701" s="1" t="s">
        <v>74</v>
      </c>
      <c r="L701" s="1" t="s">
        <v>74</v>
      </c>
      <c r="M701" s="1" t="s">
        <v>74</v>
      </c>
      <c r="N701" s="1" t="s">
        <v>74</v>
      </c>
      <c r="O701" s="1" t="s">
        <v>74</v>
      </c>
      <c r="P701" s="1" t="s">
        <v>74</v>
      </c>
      <c r="Q701" s="1" t="s">
        <v>74</v>
      </c>
      <c r="R701" s="1" t="s">
        <v>74</v>
      </c>
      <c r="S701" s="1" t="s">
        <v>74</v>
      </c>
      <c r="T701" s="1" t="s">
        <v>74</v>
      </c>
      <c r="U701" s="1" t="s">
        <v>74</v>
      </c>
      <c r="V701" s="1" t="s">
        <v>6486</v>
      </c>
      <c r="W701" s="1" t="s">
        <v>74</v>
      </c>
      <c r="X701" s="1" t="s">
        <v>74</v>
      </c>
      <c r="Y701" s="1" t="s">
        <v>74</v>
      </c>
      <c r="Z701" s="1" t="s">
        <v>74</v>
      </c>
      <c r="AA701" s="1" t="s">
        <v>74</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3609</v>
      </c>
      <c r="AP701" s="1" t="s">
        <v>74</v>
      </c>
      <c r="AQ701" s="1" t="s">
        <v>74</v>
      </c>
      <c r="AR701" s="1" t="s">
        <v>74</v>
      </c>
      <c r="AS701" s="1" t="s">
        <v>74</v>
      </c>
      <c r="AT701" s="1" t="s">
        <v>74</v>
      </c>
      <c r="AU701" s="1">
        <v>2015.0</v>
      </c>
      <c r="AV701" s="1">
        <v>72.0</v>
      </c>
      <c r="AW701" s="1">
        <v>2.0</v>
      </c>
      <c r="AX701" s="1" t="s">
        <v>74</v>
      </c>
      <c r="AY701" s="1" t="s">
        <v>74</v>
      </c>
      <c r="AZ701" s="1" t="s">
        <v>74</v>
      </c>
      <c r="BA701" s="1" t="s">
        <v>74</v>
      </c>
      <c r="BB701" s="1">
        <v>192.0</v>
      </c>
      <c r="BC701" s="1">
        <v>202.0</v>
      </c>
      <c r="BD701" s="1" t="s">
        <v>74</v>
      </c>
      <c r="BE701" s="1" t="s">
        <v>74</v>
      </c>
      <c r="BF701" s="1" t="s">
        <v>74</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6487</v>
      </c>
      <c r="BT701" s="1" t="str">
        <f>HYPERLINK("https%3A%2F%2Fwww.webofscience.com%2Fwos%2Fwoscc%2Ffull-record%2FWOS:000368564800003","View Full Record in Web of Science")</f>
        <v>View Full Record in Web of Science</v>
      </c>
    </row>
    <row r="702" ht="12.75" customHeight="1">
      <c r="A702" s="1" t="s">
        <v>241</v>
      </c>
      <c r="B702" s="1" t="s">
        <v>6488</v>
      </c>
      <c r="C702" s="1" t="s">
        <v>74</v>
      </c>
      <c r="D702" s="1" t="s">
        <v>3619</v>
      </c>
      <c r="E702" s="1" t="s">
        <v>74</v>
      </c>
      <c r="F702" s="1" t="s">
        <v>6489</v>
      </c>
      <c r="G702" s="1" t="s">
        <v>74</v>
      </c>
      <c r="H702" s="1" t="s">
        <v>74</v>
      </c>
      <c r="I702" s="1" t="s">
        <v>6490</v>
      </c>
      <c r="J702" s="1" t="s">
        <v>3622</v>
      </c>
      <c r="K702" s="1" t="s">
        <v>1326</v>
      </c>
      <c r="L702" s="1" t="s">
        <v>74</v>
      </c>
      <c r="M702" s="1" t="s">
        <v>74</v>
      </c>
      <c r="N702" s="1" t="s">
        <v>74</v>
      </c>
      <c r="O702" s="1" t="s">
        <v>3623</v>
      </c>
      <c r="P702" s="1" t="s">
        <v>3624</v>
      </c>
      <c r="Q702" s="1" t="s">
        <v>3625</v>
      </c>
      <c r="R702" s="1" t="s">
        <v>3626</v>
      </c>
      <c r="S702" s="1" t="s">
        <v>74</v>
      </c>
      <c r="T702" s="1" t="s">
        <v>74</v>
      </c>
      <c r="U702" s="1" t="s">
        <v>74</v>
      </c>
      <c r="V702" s="1" t="s">
        <v>6491</v>
      </c>
      <c r="W702" s="1" t="s">
        <v>74</v>
      </c>
      <c r="X702" s="1" t="s">
        <v>74</v>
      </c>
      <c r="Y702" s="1" t="s">
        <v>74</v>
      </c>
      <c r="Z702" s="1" t="s">
        <v>74</v>
      </c>
      <c r="AA702" s="1" t="s">
        <v>6492</v>
      </c>
      <c r="AB702" s="1" t="s">
        <v>6493</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1333</v>
      </c>
      <c r="AP702" s="1" t="s">
        <v>74</v>
      </c>
      <c r="AQ702" s="1" t="s">
        <v>74</v>
      </c>
      <c r="AR702" s="1" t="s">
        <v>74</v>
      </c>
      <c r="AS702" s="1" t="s">
        <v>74</v>
      </c>
      <c r="AT702" s="1" t="s">
        <v>74</v>
      </c>
      <c r="AU702" s="1">
        <v>2015.0</v>
      </c>
      <c r="AV702" s="1">
        <v>55.0</v>
      </c>
      <c r="AW702" s="1" t="s">
        <v>74</v>
      </c>
      <c r="AX702" s="1" t="s">
        <v>74</v>
      </c>
      <c r="AY702" s="1" t="s">
        <v>74</v>
      </c>
      <c r="AZ702" s="1" t="s">
        <v>74</v>
      </c>
      <c r="BA702" s="1" t="s">
        <v>74</v>
      </c>
      <c r="BB702" s="1">
        <v>1060.0</v>
      </c>
      <c r="BC702" s="1">
        <v>1068.0</v>
      </c>
      <c r="BD702" s="1" t="s">
        <v>74</v>
      </c>
      <c r="BE702" s="1" t="s">
        <v>6494</v>
      </c>
      <c r="BF702" s="2" t="str">
        <f>HYPERLINK("http://dx.doi.org/10.1016/j.procs.2015.07.068","http://dx.doi.org/10.1016/j.procs.2015.07.068")</f>
        <v>http://dx.doi.org/10.1016/j.procs.2015.07.068</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6495</v>
      </c>
      <c r="BT702" s="1" t="str">
        <f>HYPERLINK("https%3A%2F%2Fwww.webofscience.com%2Fwos%2Fwoscc%2Ffull-record%2FWOS:000360101400119","View Full Record in Web of Science")</f>
        <v>View Full Record in Web of Science</v>
      </c>
    </row>
    <row r="703" ht="12.75" customHeight="1">
      <c r="A703" s="1" t="s">
        <v>241</v>
      </c>
      <c r="B703" s="1" t="s">
        <v>6496</v>
      </c>
      <c r="C703" s="1" t="s">
        <v>74</v>
      </c>
      <c r="D703" s="1" t="s">
        <v>74</v>
      </c>
      <c r="E703" s="1" t="s">
        <v>427</v>
      </c>
      <c r="F703" s="1" t="s">
        <v>6497</v>
      </c>
      <c r="G703" s="1" t="s">
        <v>74</v>
      </c>
      <c r="H703" s="1" t="s">
        <v>74</v>
      </c>
      <c r="I703" s="1" t="s">
        <v>6498</v>
      </c>
      <c r="J703" s="1" t="s">
        <v>6499</v>
      </c>
      <c r="K703" s="1" t="s">
        <v>74</v>
      </c>
      <c r="L703" s="1" t="s">
        <v>74</v>
      </c>
      <c r="M703" s="1" t="s">
        <v>74</v>
      </c>
      <c r="N703" s="1" t="s">
        <v>74</v>
      </c>
      <c r="O703" s="1" t="s">
        <v>6500</v>
      </c>
      <c r="P703" s="1" t="s">
        <v>6501</v>
      </c>
      <c r="Q703" s="1" t="s">
        <v>6502</v>
      </c>
      <c r="R703" s="1" t="s">
        <v>427</v>
      </c>
      <c r="S703" s="1" t="s">
        <v>74</v>
      </c>
      <c r="T703" s="1" t="s">
        <v>74</v>
      </c>
      <c r="U703" s="1" t="s">
        <v>74</v>
      </c>
      <c r="V703" s="1" t="s">
        <v>6503</v>
      </c>
      <c r="W703" s="1" t="s">
        <v>74</v>
      </c>
      <c r="X703" s="1" t="s">
        <v>74</v>
      </c>
      <c r="Y703" s="1" t="s">
        <v>74</v>
      </c>
      <c r="Z703" s="1" t="s">
        <v>74</v>
      </c>
      <c r="AA703" s="1" t="s">
        <v>6504</v>
      </c>
      <c r="AB703" s="1" t="s">
        <v>74</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74</v>
      </c>
      <c r="AP703" s="1" t="s">
        <v>74</v>
      </c>
      <c r="AQ703" s="1" t="s">
        <v>6505</v>
      </c>
      <c r="AR703" s="1" t="s">
        <v>74</v>
      </c>
      <c r="AS703" s="1" t="s">
        <v>74</v>
      </c>
      <c r="AT703" s="1" t="s">
        <v>74</v>
      </c>
      <c r="AU703" s="1">
        <v>2014.0</v>
      </c>
      <c r="AV703" s="1" t="s">
        <v>74</v>
      </c>
      <c r="AW703" s="1" t="s">
        <v>74</v>
      </c>
      <c r="AX703" s="1" t="s">
        <v>74</v>
      </c>
      <c r="AY703" s="1" t="s">
        <v>74</v>
      </c>
      <c r="AZ703" s="1" t="s">
        <v>74</v>
      </c>
      <c r="BA703" s="1" t="s">
        <v>74</v>
      </c>
      <c r="BB703" s="1" t="s">
        <v>74</v>
      </c>
      <c r="BC703" s="1" t="s">
        <v>74</v>
      </c>
      <c r="BD703" s="1" t="s">
        <v>74</v>
      </c>
      <c r="BE703" s="1" t="s">
        <v>74</v>
      </c>
      <c r="BF703" s="1" t="s">
        <v>74</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6506</v>
      </c>
      <c r="BT703" s="1" t="str">
        <f>HYPERLINK("https%3A%2F%2Fwww.webofscience.com%2Fwos%2Fwoscc%2Ffull-record%2FWOS:000392917500048","View Full Record in Web of Science")</f>
        <v>View Full Record in Web of Science</v>
      </c>
    </row>
    <row r="704" ht="12.75" customHeight="1">
      <c r="A704" s="1" t="s">
        <v>72</v>
      </c>
      <c r="B704" s="1" t="s">
        <v>6507</v>
      </c>
      <c r="C704" s="1" t="s">
        <v>74</v>
      </c>
      <c r="D704" s="1" t="s">
        <v>74</v>
      </c>
      <c r="E704" s="1" t="s">
        <v>74</v>
      </c>
      <c r="F704" s="1" t="s">
        <v>6508</v>
      </c>
      <c r="G704" s="1" t="s">
        <v>74</v>
      </c>
      <c r="H704" s="1" t="s">
        <v>74</v>
      </c>
      <c r="I704" s="1" t="s">
        <v>6509</v>
      </c>
      <c r="J704" s="1" t="s">
        <v>3191</v>
      </c>
      <c r="K704" s="1" t="s">
        <v>74</v>
      </c>
      <c r="L704" s="1" t="s">
        <v>74</v>
      </c>
      <c r="M704" s="1" t="s">
        <v>74</v>
      </c>
      <c r="N704" s="1" t="s">
        <v>74</v>
      </c>
      <c r="O704" s="1" t="s">
        <v>74</v>
      </c>
      <c r="P704" s="1" t="s">
        <v>74</v>
      </c>
      <c r="Q704" s="1" t="s">
        <v>74</v>
      </c>
      <c r="R704" s="1" t="s">
        <v>74</v>
      </c>
      <c r="S704" s="1" t="s">
        <v>74</v>
      </c>
      <c r="T704" s="1" t="s">
        <v>74</v>
      </c>
      <c r="U704" s="1" t="s">
        <v>74</v>
      </c>
      <c r="V704" s="1" t="s">
        <v>6510</v>
      </c>
      <c r="W704" s="1" t="s">
        <v>74</v>
      </c>
      <c r="X704" s="1" t="s">
        <v>74</v>
      </c>
      <c r="Y704" s="1" t="s">
        <v>74</v>
      </c>
      <c r="Z704" s="1" t="s">
        <v>74</v>
      </c>
      <c r="AA704" s="1" t="s">
        <v>6511</v>
      </c>
      <c r="AB704" s="1" t="s">
        <v>6512</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3195</v>
      </c>
      <c r="AP704" s="1" t="s">
        <v>3196</v>
      </c>
      <c r="AQ704" s="1" t="s">
        <v>74</v>
      </c>
      <c r="AR704" s="1" t="s">
        <v>74</v>
      </c>
      <c r="AS704" s="1" t="s">
        <v>74</v>
      </c>
      <c r="AT704" s="1" t="s">
        <v>6513</v>
      </c>
      <c r="AU704" s="1">
        <v>2013.0</v>
      </c>
      <c r="AV704" s="1">
        <v>25.0</v>
      </c>
      <c r="AW704" s="1">
        <v>1.0</v>
      </c>
      <c r="AX704" s="1" t="s">
        <v>74</v>
      </c>
      <c r="AY704" s="1" t="s">
        <v>74</v>
      </c>
      <c r="AZ704" s="1" t="s">
        <v>74</v>
      </c>
      <c r="BA704" s="1" t="s">
        <v>74</v>
      </c>
      <c r="BB704" s="1">
        <v>47.0</v>
      </c>
      <c r="BC704" s="1">
        <v>77.0</v>
      </c>
      <c r="BD704" s="1" t="s">
        <v>74</v>
      </c>
      <c r="BE704" s="1" t="s">
        <v>6514</v>
      </c>
      <c r="BF704" s="2" t="str">
        <f>HYPERLINK("http://dx.doi.org/10.1216/JIE-2013-25-1-47","http://dx.doi.org/10.1216/JIE-2013-25-1-47")</f>
        <v>http://dx.doi.org/10.1216/JIE-2013-25-1-47</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6515</v>
      </c>
      <c r="BT704" s="1" t="str">
        <f>HYPERLINK("https%3A%2F%2Fwww.webofscience.com%2Fwos%2Fwoscc%2Ffull-record%2FWOS:000318689900003","View Full Record in Web of Science")</f>
        <v>View Full Record in Web of Science</v>
      </c>
    </row>
    <row r="705" ht="12.75" customHeight="1">
      <c r="A705" s="1" t="s">
        <v>72</v>
      </c>
      <c r="B705" s="1" t="s">
        <v>6516</v>
      </c>
      <c r="C705" s="1" t="s">
        <v>74</v>
      </c>
      <c r="D705" s="1" t="s">
        <v>74</v>
      </c>
      <c r="E705" s="1" t="s">
        <v>74</v>
      </c>
      <c r="F705" s="1" t="s">
        <v>6517</v>
      </c>
      <c r="G705" s="1" t="s">
        <v>74</v>
      </c>
      <c r="H705" s="1" t="s">
        <v>74</v>
      </c>
      <c r="I705" s="1" t="s">
        <v>6518</v>
      </c>
      <c r="J705" s="1" t="s">
        <v>6519</v>
      </c>
      <c r="K705" s="1" t="s">
        <v>74</v>
      </c>
      <c r="L705" s="1" t="s">
        <v>74</v>
      </c>
      <c r="M705" s="1" t="s">
        <v>74</v>
      </c>
      <c r="N705" s="1" t="s">
        <v>74</v>
      </c>
      <c r="O705" s="1" t="s">
        <v>74</v>
      </c>
      <c r="P705" s="1" t="s">
        <v>74</v>
      </c>
      <c r="Q705" s="1" t="s">
        <v>74</v>
      </c>
      <c r="R705" s="1" t="s">
        <v>74</v>
      </c>
      <c r="S705" s="1" t="s">
        <v>74</v>
      </c>
      <c r="T705" s="1" t="s">
        <v>74</v>
      </c>
      <c r="U705" s="1" t="s">
        <v>74</v>
      </c>
      <c r="V705" s="1" t="s">
        <v>6520</v>
      </c>
      <c r="W705" s="1" t="s">
        <v>74</v>
      </c>
      <c r="X705" s="1" t="s">
        <v>74</v>
      </c>
      <c r="Y705" s="1" t="s">
        <v>74</v>
      </c>
      <c r="Z705" s="1" t="s">
        <v>74</v>
      </c>
      <c r="AA705" s="1" t="s">
        <v>6521</v>
      </c>
      <c r="AB705" s="1" t="s">
        <v>6522</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6523</v>
      </c>
      <c r="AP705" s="1" t="s">
        <v>6524</v>
      </c>
      <c r="AQ705" s="1" t="s">
        <v>74</v>
      </c>
      <c r="AR705" s="1" t="s">
        <v>74</v>
      </c>
      <c r="AS705" s="1" t="s">
        <v>74</v>
      </c>
      <c r="AT705" s="1" t="s">
        <v>74</v>
      </c>
      <c r="AU705" s="1">
        <v>2013.0</v>
      </c>
      <c r="AV705" s="1">
        <v>2.0</v>
      </c>
      <c r="AW705" s="1">
        <v>4.0</v>
      </c>
      <c r="AX705" s="1" t="s">
        <v>74</v>
      </c>
      <c r="AY705" s="1" t="s">
        <v>74</v>
      </c>
      <c r="AZ705" s="1" t="s">
        <v>74</v>
      </c>
      <c r="BA705" s="1" t="s">
        <v>74</v>
      </c>
      <c r="BB705" s="1" t="s">
        <v>6525</v>
      </c>
      <c r="BC705" s="1" t="s">
        <v>6526</v>
      </c>
      <c r="BD705" s="1" t="s">
        <v>74</v>
      </c>
      <c r="BE705" s="1" t="s">
        <v>6527</v>
      </c>
      <c r="BF705" s="2" t="str">
        <f>HYPERLINK("http://dx.doi.org/10.1149/2.003304eel","http://dx.doi.org/10.1149/2.003304eel")</f>
        <v>http://dx.doi.org/10.1149/2.003304eel</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6528</v>
      </c>
      <c r="BT705" s="1" t="str">
        <f>HYPERLINK("https%3A%2F%2Fwww.webofscience.com%2Fwos%2Fwoscc%2Ffull-record%2FWOS:000318556400008","View Full Record in Web of Science")</f>
        <v>View Full Record in Web of Science</v>
      </c>
    </row>
    <row r="706" ht="12.75" customHeight="1">
      <c r="A706" s="1" t="s">
        <v>72</v>
      </c>
      <c r="B706" s="1" t="s">
        <v>6529</v>
      </c>
      <c r="C706" s="1" t="s">
        <v>74</v>
      </c>
      <c r="D706" s="1" t="s">
        <v>74</v>
      </c>
      <c r="E706" s="1" t="s">
        <v>74</v>
      </c>
      <c r="F706" s="1" t="s">
        <v>6530</v>
      </c>
      <c r="G706" s="1" t="s">
        <v>74</v>
      </c>
      <c r="H706" s="1" t="s">
        <v>74</v>
      </c>
      <c r="I706" s="1" t="s">
        <v>6531</v>
      </c>
      <c r="J706" s="1" t="s">
        <v>6532</v>
      </c>
      <c r="K706" s="1" t="s">
        <v>74</v>
      </c>
      <c r="L706" s="1" t="s">
        <v>74</v>
      </c>
      <c r="M706" s="1" t="s">
        <v>74</v>
      </c>
      <c r="N706" s="1" t="s">
        <v>74</v>
      </c>
      <c r="O706" s="1" t="s">
        <v>74</v>
      </c>
      <c r="P706" s="1" t="s">
        <v>74</v>
      </c>
      <c r="Q706" s="1" t="s">
        <v>74</v>
      </c>
      <c r="R706" s="1" t="s">
        <v>74</v>
      </c>
      <c r="S706" s="1" t="s">
        <v>74</v>
      </c>
      <c r="T706" s="1" t="s">
        <v>74</v>
      </c>
      <c r="U706" s="1" t="s">
        <v>74</v>
      </c>
      <c r="V706" s="1" t="s">
        <v>6533</v>
      </c>
      <c r="W706" s="1" t="s">
        <v>74</v>
      </c>
      <c r="X706" s="1" t="s">
        <v>74</v>
      </c>
      <c r="Y706" s="1" t="s">
        <v>74</v>
      </c>
      <c r="Z706" s="1" t="s">
        <v>74</v>
      </c>
      <c r="AA706" s="1" t="s">
        <v>6534</v>
      </c>
      <c r="AB706" s="1" t="s">
        <v>6535</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6536</v>
      </c>
      <c r="AP706" s="1" t="s">
        <v>74</v>
      </c>
      <c r="AQ706" s="1" t="s">
        <v>74</v>
      </c>
      <c r="AR706" s="1" t="s">
        <v>74</v>
      </c>
      <c r="AS706" s="1" t="s">
        <v>74</v>
      </c>
      <c r="AT706" s="1" t="s">
        <v>6537</v>
      </c>
      <c r="AU706" s="1">
        <v>2012.0</v>
      </c>
      <c r="AV706" s="1">
        <v>11.0</v>
      </c>
      <c r="AW706" s="1">
        <v>3.0</v>
      </c>
      <c r="AX706" s="1" t="s">
        <v>74</v>
      </c>
      <c r="AY706" s="1" t="s">
        <v>74</v>
      </c>
      <c r="AZ706" s="1" t="s">
        <v>74</v>
      </c>
      <c r="BA706" s="1" t="s">
        <v>74</v>
      </c>
      <c r="BB706" s="1">
        <v>719.0</v>
      </c>
      <c r="BC706" s="1">
        <v>727.0</v>
      </c>
      <c r="BD706" s="1" t="s">
        <v>74</v>
      </c>
      <c r="BE706" s="1" t="s">
        <v>74</v>
      </c>
      <c r="BF706" s="1" t="s">
        <v>74</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6538</v>
      </c>
      <c r="BT706" s="1" t="str">
        <f>HYPERLINK("https%3A%2F%2Fwww.webofscience.com%2Fwos%2Fwoscc%2Ffull-record%2FWOS:000310793300003","View Full Record in Web of Science")</f>
        <v>View Full Record in Web of Science</v>
      </c>
    </row>
    <row r="707" ht="12.75" customHeight="1">
      <c r="A707" s="1" t="s">
        <v>72</v>
      </c>
      <c r="B707" s="1" t="s">
        <v>6539</v>
      </c>
      <c r="C707" s="1" t="s">
        <v>74</v>
      </c>
      <c r="D707" s="1" t="s">
        <v>74</v>
      </c>
      <c r="E707" s="1" t="s">
        <v>74</v>
      </c>
      <c r="F707" s="1" t="s">
        <v>6540</v>
      </c>
      <c r="G707" s="1" t="s">
        <v>74</v>
      </c>
      <c r="H707" s="1" t="s">
        <v>74</v>
      </c>
      <c r="I707" s="1" t="s">
        <v>6541</v>
      </c>
      <c r="J707" s="1" t="s">
        <v>6542</v>
      </c>
      <c r="K707" s="1" t="s">
        <v>74</v>
      </c>
      <c r="L707" s="1" t="s">
        <v>74</v>
      </c>
      <c r="M707" s="1" t="s">
        <v>74</v>
      </c>
      <c r="N707" s="1" t="s">
        <v>74</v>
      </c>
      <c r="O707" s="1" t="s">
        <v>74</v>
      </c>
      <c r="P707" s="1" t="s">
        <v>74</v>
      </c>
      <c r="Q707" s="1" t="s">
        <v>74</v>
      </c>
      <c r="R707" s="1" t="s">
        <v>74</v>
      </c>
      <c r="S707" s="1" t="s">
        <v>74</v>
      </c>
      <c r="T707" s="1" t="s">
        <v>74</v>
      </c>
      <c r="U707" s="1" t="s">
        <v>74</v>
      </c>
      <c r="V707" s="1" t="s">
        <v>6543</v>
      </c>
      <c r="W707" s="1" t="s">
        <v>74</v>
      </c>
      <c r="X707" s="1" t="s">
        <v>74</v>
      </c>
      <c r="Y707" s="1" t="s">
        <v>74</v>
      </c>
      <c r="Z707" s="1" t="s">
        <v>74</v>
      </c>
      <c r="AA707" s="1" t="s">
        <v>6544</v>
      </c>
      <c r="AB707" s="1" t="s">
        <v>6545</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6546</v>
      </c>
      <c r="AP707" s="1" t="s">
        <v>6547</v>
      </c>
      <c r="AQ707" s="1" t="s">
        <v>74</v>
      </c>
      <c r="AR707" s="1" t="s">
        <v>74</v>
      </c>
      <c r="AS707" s="1" t="s">
        <v>74</v>
      </c>
      <c r="AT707" s="1" t="s">
        <v>6548</v>
      </c>
      <c r="AU707" s="1">
        <v>2012.0</v>
      </c>
      <c r="AV707" s="1">
        <v>116.0</v>
      </c>
      <c r="AW707" s="1">
        <v>12.0</v>
      </c>
      <c r="AX707" s="1" t="s">
        <v>74</v>
      </c>
      <c r="AY707" s="1" t="s">
        <v>74</v>
      </c>
      <c r="AZ707" s="1" t="s">
        <v>74</v>
      </c>
      <c r="BA707" s="1" t="s">
        <v>74</v>
      </c>
      <c r="BB707" s="1">
        <v>7091.0</v>
      </c>
      <c r="BC707" s="1">
        <v>7098.0</v>
      </c>
      <c r="BD707" s="1" t="s">
        <v>74</v>
      </c>
      <c r="BE707" s="1" t="s">
        <v>6549</v>
      </c>
      <c r="BF707" s="2" t="str">
        <f>HYPERLINK("http://dx.doi.org/10.1021/jp300764n","http://dx.doi.org/10.1021/jp300764n")</f>
        <v>http://dx.doi.org/10.1021/jp300764n</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6550</v>
      </c>
      <c r="BT707" s="1" t="str">
        <f>HYPERLINK("https%3A%2F%2Fwww.webofscience.com%2Fwos%2Fwoscc%2Ffull-record%2FWOS:000302051100037","View Full Record in Web of Science")</f>
        <v>View Full Record in Web of Science</v>
      </c>
    </row>
    <row r="708" ht="12.75" customHeight="1">
      <c r="A708" s="1" t="s">
        <v>241</v>
      </c>
      <c r="B708" s="1" t="s">
        <v>6551</v>
      </c>
      <c r="C708" s="1" t="s">
        <v>74</v>
      </c>
      <c r="D708" s="1" t="s">
        <v>6552</v>
      </c>
      <c r="E708" s="1" t="s">
        <v>74</v>
      </c>
      <c r="F708" s="1" t="s">
        <v>6553</v>
      </c>
      <c r="G708" s="1" t="s">
        <v>74</v>
      </c>
      <c r="H708" s="1" t="s">
        <v>74</v>
      </c>
      <c r="I708" s="1" t="s">
        <v>6554</v>
      </c>
      <c r="J708" s="1" t="s">
        <v>6555</v>
      </c>
      <c r="K708" s="1" t="s">
        <v>6556</v>
      </c>
      <c r="L708" s="1" t="s">
        <v>74</v>
      </c>
      <c r="M708" s="1" t="s">
        <v>74</v>
      </c>
      <c r="N708" s="1" t="s">
        <v>74</v>
      </c>
      <c r="O708" s="1" t="s">
        <v>6557</v>
      </c>
      <c r="P708" s="1" t="s">
        <v>6558</v>
      </c>
      <c r="Q708" s="1" t="s">
        <v>6559</v>
      </c>
      <c r="R708" s="1" t="s">
        <v>6560</v>
      </c>
      <c r="S708" s="1" t="s">
        <v>74</v>
      </c>
      <c r="T708" s="1" t="s">
        <v>74</v>
      </c>
      <c r="U708" s="1" t="s">
        <v>74</v>
      </c>
      <c r="V708" s="1" t="s">
        <v>6561</v>
      </c>
      <c r="W708" s="1" t="s">
        <v>74</v>
      </c>
      <c r="X708" s="1" t="s">
        <v>74</v>
      </c>
      <c r="Y708" s="1" t="s">
        <v>74</v>
      </c>
      <c r="Z708" s="1" t="s">
        <v>74</v>
      </c>
      <c r="AA708" s="1" t="s">
        <v>4712</v>
      </c>
      <c r="AB708" s="1" t="s">
        <v>4713</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6562</v>
      </c>
      <c r="AP708" s="1" t="s">
        <v>74</v>
      </c>
      <c r="AQ708" s="1" t="s">
        <v>6563</v>
      </c>
      <c r="AR708" s="1" t="s">
        <v>74</v>
      </c>
      <c r="AS708" s="1" t="s">
        <v>74</v>
      </c>
      <c r="AT708" s="1" t="s">
        <v>74</v>
      </c>
      <c r="AU708" s="1">
        <v>2012.0</v>
      </c>
      <c r="AV708" s="1">
        <v>1093.0</v>
      </c>
      <c r="AW708" s="1" t="s">
        <v>74</v>
      </c>
      <c r="AX708" s="1" t="s">
        <v>74</v>
      </c>
      <c r="AY708" s="1" t="s">
        <v>74</v>
      </c>
      <c r="AZ708" s="1" t="s">
        <v>74</v>
      </c>
      <c r="BA708" s="1" t="s">
        <v>74</v>
      </c>
      <c r="BB708" s="1">
        <v>417.0</v>
      </c>
      <c r="BC708" s="1" t="s">
        <v>1748</v>
      </c>
      <c r="BD708" s="1" t="s">
        <v>74</v>
      </c>
      <c r="BE708" s="1" t="s">
        <v>74</v>
      </c>
      <c r="BF708" s="1" t="s">
        <v>74</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6564</v>
      </c>
      <c r="BT708" s="1" t="str">
        <f>HYPERLINK("https%3A%2F%2Fwww.webofscience.com%2Fwos%2Fwoscc%2Ffull-record%2FWOS:000313024100024","View Full Record in Web of Science")</f>
        <v>View Full Record in Web of Science</v>
      </c>
    </row>
    <row r="709" ht="12.75" customHeight="1">
      <c r="A709" s="1" t="s">
        <v>72</v>
      </c>
      <c r="B709" s="1" t="s">
        <v>6565</v>
      </c>
      <c r="C709" s="1" t="s">
        <v>74</v>
      </c>
      <c r="D709" s="1" t="s">
        <v>74</v>
      </c>
      <c r="E709" s="1" t="s">
        <v>74</v>
      </c>
      <c r="F709" s="1" t="s">
        <v>6566</v>
      </c>
      <c r="G709" s="1" t="s">
        <v>74</v>
      </c>
      <c r="H709" s="1" t="s">
        <v>74</v>
      </c>
      <c r="I709" s="1" t="s">
        <v>6567</v>
      </c>
      <c r="J709" s="1" t="s">
        <v>6568</v>
      </c>
      <c r="K709" s="1" t="s">
        <v>74</v>
      </c>
      <c r="L709" s="1" t="s">
        <v>74</v>
      </c>
      <c r="M709" s="1" t="s">
        <v>74</v>
      </c>
      <c r="N709" s="1" t="s">
        <v>74</v>
      </c>
      <c r="O709" s="1" t="s">
        <v>74</v>
      </c>
      <c r="P709" s="1" t="s">
        <v>74</v>
      </c>
      <c r="Q709" s="1" t="s">
        <v>74</v>
      </c>
      <c r="R709" s="1" t="s">
        <v>74</v>
      </c>
      <c r="S709" s="1" t="s">
        <v>74</v>
      </c>
      <c r="T709" s="1" t="s">
        <v>74</v>
      </c>
      <c r="U709" s="1" t="s">
        <v>74</v>
      </c>
      <c r="V709" s="1" t="s">
        <v>6569</v>
      </c>
      <c r="W709" s="1" t="s">
        <v>74</v>
      </c>
      <c r="X709" s="1" t="s">
        <v>74</v>
      </c>
      <c r="Y709" s="1" t="s">
        <v>74</v>
      </c>
      <c r="Z709" s="1" t="s">
        <v>74</v>
      </c>
      <c r="AA709" s="1" t="s">
        <v>6570</v>
      </c>
      <c r="AB709" s="1" t="s">
        <v>6571</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6572</v>
      </c>
      <c r="AP709" s="1" t="s">
        <v>6573</v>
      </c>
      <c r="AQ709" s="1" t="s">
        <v>74</v>
      </c>
      <c r="AR709" s="1" t="s">
        <v>74</v>
      </c>
      <c r="AS709" s="1" t="s">
        <v>74</v>
      </c>
      <c r="AT709" s="1" t="s">
        <v>160</v>
      </c>
      <c r="AU709" s="1">
        <v>2011.0</v>
      </c>
      <c r="AV709" s="1">
        <v>3.0</v>
      </c>
      <c r="AW709" s="1" t="s">
        <v>5997</v>
      </c>
      <c r="AX709" s="1" t="s">
        <v>74</v>
      </c>
      <c r="AY709" s="1" t="s">
        <v>74</v>
      </c>
      <c r="AZ709" s="1" t="s">
        <v>74</v>
      </c>
      <c r="BA709" s="1" t="s">
        <v>74</v>
      </c>
      <c r="BB709" s="1">
        <v>121.0</v>
      </c>
      <c r="BC709" s="1">
        <v>135.0</v>
      </c>
      <c r="BD709" s="1" t="s">
        <v>74</v>
      </c>
      <c r="BE709" s="1" t="s">
        <v>6574</v>
      </c>
      <c r="BF709" s="2" t="str">
        <f>HYPERLINK("http://dx.doi.org/10.1007/s12393-011-9040-x","http://dx.doi.org/10.1007/s12393-011-9040-x")</f>
        <v>http://dx.doi.org/10.1007/s12393-011-9040-x</v>
      </c>
      <c r="BG709" s="1" t="s">
        <v>74</v>
      </c>
      <c r="BH709" s="1" t="s">
        <v>74</v>
      </c>
      <c r="BI709" s="1" t="s">
        <v>74</v>
      </c>
      <c r="BJ709" s="1" t="s">
        <v>74</v>
      </c>
      <c r="BK709" s="1" t="s">
        <v>74</v>
      </c>
      <c r="BL709" s="1" t="s">
        <v>74</v>
      </c>
      <c r="BM709" s="1" t="s">
        <v>74</v>
      </c>
      <c r="BN709" s="1" t="s">
        <v>74</v>
      </c>
      <c r="BO709" s="1" t="s">
        <v>74</v>
      </c>
      <c r="BP709" s="1" t="s">
        <v>74</v>
      </c>
      <c r="BQ709" s="1" t="s">
        <v>74</v>
      </c>
      <c r="BR709" s="1" t="s">
        <v>74</v>
      </c>
      <c r="BS709" s="1" t="s">
        <v>6575</v>
      </c>
      <c r="BT709" s="1" t="str">
        <f>HYPERLINK("https%3A%2F%2Fwww.webofscience.com%2Fwos%2Fwoscc%2Ffull-record%2FWOS:000297228600001","View Full Record in Web of Science")</f>
        <v>View Full Record in Web of Science</v>
      </c>
    </row>
    <row r="710" ht="12.75" customHeight="1">
      <c r="A710" s="1" t="s">
        <v>72</v>
      </c>
      <c r="B710" s="1" t="s">
        <v>6576</v>
      </c>
      <c r="C710" s="1" t="s">
        <v>74</v>
      </c>
      <c r="D710" s="1" t="s">
        <v>74</v>
      </c>
      <c r="E710" s="1" t="s">
        <v>74</v>
      </c>
      <c r="F710" s="1" t="s">
        <v>6577</v>
      </c>
      <c r="G710" s="1" t="s">
        <v>74</v>
      </c>
      <c r="H710" s="1" t="s">
        <v>74</v>
      </c>
      <c r="I710" s="1" t="s">
        <v>6578</v>
      </c>
      <c r="J710" s="1" t="s">
        <v>6579</v>
      </c>
      <c r="K710" s="1" t="s">
        <v>74</v>
      </c>
      <c r="L710" s="1" t="s">
        <v>74</v>
      </c>
      <c r="M710" s="1" t="s">
        <v>74</v>
      </c>
      <c r="N710" s="1" t="s">
        <v>74</v>
      </c>
      <c r="O710" s="1" t="s">
        <v>74</v>
      </c>
      <c r="P710" s="1" t="s">
        <v>74</v>
      </c>
      <c r="Q710" s="1" t="s">
        <v>74</v>
      </c>
      <c r="R710" s="1" t="s">
        <v>74</v>
      </c>
      <c r="S710" s="1" t="s">
        <v>74</v>
      </c>
      <c r="T710" s="1" t="s">
        <v>74</v>
      </c>
      <c r="U710" s="1" t="s">
        <v>74</v>
      </c>
      <c r="V710" s="1" t="s">
        <v>6580</v>
      </c>
      <c r="W710" s="1" t="s">
        <v>74</v>
      </c>
      <c r="X710" s="1" t="s">
        <v>74</v>
      </c>
      <c r="Y710" s="1" t="s">
        <v>74</v>
      </c>
      <c r="Z710" s="1" t="s">
        <v>74</v>
      </c>
      <c r="AA710" s="1" t="s">
        <v>6581</v>
      </c>
      <c r="AB710" s="1" t="s">
        <v>6582</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6583</v>
      </c>
      <c r="AP710" s="1" t="s">
        <v>6584</v>
      </c>
      <c r="AQ710" s="1" t="s">
        <v>74</v>
      </c>
      <c r="AR710" s="1" t="s">
        <v>74</v>
      </c>
      <c r="AS710" s="1" t="s">
        <v>74</v>
      </c>
      <c r="AT710" s="1" t="s">
        <v>116</v>
      </c>
      <c r="AU710" s="1">
        <v>2011.0</v>
      </c>
      <c r="AV710" s="1">
        <v>16.0</v>
      </c>
      <c r="AW710" s="1">
        <v>3.0</v>
      </c>
      <c r="AX710" s="1" t="s">
        <v>74</v>
      </c>
      <c r="AY710" s="1" t="s">
        <v>74</v>
      </c>
      <c r="AZ710" s="1" t="s">
        <v>74</v>
      </c>
      <c r="BA710" s="1" t="s">
        <v>74</v>
      </c>
      <c r="BB710" s="1">
        <v>404.0</v>
      </c>
      <c r="BC710" s="1">
        <v>426.0</v>
      </c>
      <c r="BD710" s="1" t="s">
        <v>74</v>
      </c>
      <c r="BE710" s="1" t="s">
        <v>6585</v>
      </c>
      <c r="BF710" s="2" t="str">
        <f>HYPERLINK("http://dx.doi.org/10.1177/1940161211407334","http://dx.doi.org/10.1177/1940161211407334")</f>
        <v>http://dx.doi.org/10.1177/1940161211407334</v>
      </c>
      <c r="BG710" s="1" t="s">
        <v>74</v>
      </c>
      <c r="BH710" s="1" t="s">
        <v>74</v>
      </c>
      <c r="BI710" s="1" t="s">
        <v>74</v>
      </c>
      <c r="BJ710" s="1" t="s">
        <v>74</v>
      </c>
      <c r="BK710" s="1" t="s">
        <v>74</v>
      </c>
      <c r="BL710" s="1" t="s">
        <v>74</v>
      </c>
      <c r="BM710" s="1" t="s">
        <v>74</v>
      </c>
      <c r="BN710" s="1" t="s">
        <v>74</v>
      </c>
      <c r="BO710" s="1" t="s">
        <v>74</v>
      </c>
      <c r="BP710" s="1" t="s">
        <v>74</v>
      </c>
      <c r="BQ710" s="1" t="s">
        <v>74</v>
      </c>
      <c r="BR710" s="1" t="s">
        <v>74</v>
      </c>
      <c r="BS710" s="1" t="s">
        <v>6586</v>
      </c>
      <c r="BT710" s="1" t="str">
        <f>HYPERLINK("https%3A%2F%2Fwww.webofscience.com%2Fwos%2Fwoscc%2Ffull-record%2FWOS:000296778600006","View Full Record in Web of Science")</f>
        <v>View Full Record in Web of Science</v>
      </c>
    </row>
    <row r="711" ht="12.75" customHeight="1">
      <c r="A711" s="1" t="s">
        <v>72</v>
      </c>
      <c r="B711" s="1" t="s">
        <v>6587</v>
      </c>
      <c r="C711" s="1" t="s">
        <v>74</v>
      </c>
      <c r="D711" s="1" t="s">
        <v>74</v>
      </c>
      <c r="E711" s="1" t="s">
        <v>74</v>
      </c>
      <c r="F711" s="1" t="s">
        <v>6588</v>
      </c>
      <c r="G711" s="1" t="s">
        <v>74</v>
      </c>
      <c r="H711" s="1" t="s">
        <v>74</v>
      </c>
      <c r="I711" s="1" t="s">
        <v>6589</v>
      </c>
      <c r="J711" s="1" t="s">
        <v>6590</v>
      </c>
      <c r="K711" s="1" t="s">
        <v>74</v>
      </c>
      <c r="L711" s="1" t="s">
        <v>74</v>
      </c>
      <c r="M711" s="1" t="s">
        <v>74</v>
      </c>
      <c r="N711" s="1" t="s">
        <v>74</v>
      </c>
      <c r="O711" s="1" t="s">
        <v>74</v>
      </c>
      <c r="P711" s="1" t="s">
        <v>74</v>
      </c>
      <c r="Q711" s="1" t="s">
        <v>74</v>
      </c>
      <c r="R711" s="1" t="s">
        <v>74</v>
      </c>
      <c r="S711" s="1" t="s">
        <v>74</v>
      </c>
      <c r="T711" s="1" t="s">
        <v>74</v>
      </c>
      <c r="U711" s="1" t="s">
        <v>74</v>
      </c>
      <c r="V711" s="1" t="s">
        <v>6591</v>
      </c>
      <c r="W711" s="1" t="s">
        <v>74</v>
      </c>
      <c r="X711" s="1" t="s">
        <v>74</v>
      </c>
      <c r="Y711" s="1" t="s">
        <v>74</v>
      </c>
      <c r="Z711" s="1" t="s">
        <v>74</v>
      </c>
      <c r="AA711" s="1" t="s">
        <v>6592</v>
      </c>
      <c r="AB711" s="1" t="s">
        <v>6593</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6594</v>
      </c>
      <c r="AP711" s="1" t="s">
        <v>74</v>
      </c>
      <c r="AQ711" s="1" t="s">
        <v>74</v>
      </c>
      <c r="AR711" s="1" t="s">
        <v>74</v>
      </c>
      <c r="AS711" s="1" t="s">
        <v>74</v>
      </c>
      <c r="AT711" s="1" t="s">
        <v>183</v>
      </c>
      <c r="AU711" s="1">
        <v>2011.0</v>
      </c>
      <c r="AV711" s="1">
        <v>62.0</v>
      </c>
      <c r="AW711" s="1">
        <v>3.0</v>
      </c>
      <c r="AX711" s="1" t="s">
        <v>74</v>
      </c>
      <c r="AY711" s="1" t="s">
        <v>74</v>
      </c>
      <c r="AZ711" s="1" t="s">
        <v>74</v>
      </c>
      <c r="BA711" s="1" t="s">
        <v>74</v>
      </c>
      <c r="BB711" s="1">
        <v>303.0</v>
      </c>
      <c r="BC711" s="1">
        <v>306.0</v>
      </c>
      <c r="BD711" s="1" t="s">
        <v>74</v>
      </c>
      <c r="BE711" s="1" t="s">
        <v>6595</v>
      </c>
      <c r="BF711" s="2" t="str">
        <f>HYPERLINK("http://dx.doi.org/10.3109/09637486.2010.534078","http://dx.doi.org/10.3109/09637486.2010.534078")</f>
        <v>http://dx.doi.org/10.3109/09637486.2010.534078</v>
      </c>
      <c r="BG711" s="1" t="s">
        <v>74</v>
      </c>
      <c r="BH711" s="1" t="s">
        <v>74</v>
      </c>
      <c r="BI711" s="1" t="s">
        <v>74</v>
      </c>
      <c r="BJ711" s="1" t="s">
        <v>74</v>
      </c>
      <c r="BK711" s="1" t="s">
        <v>74</v>
      </c>
      <c r="BL711" s="1" t="s">
        <v>74</v>
      </c>
      <c r="BM711" s="1" t="s">
        <v>74</v>
      </c>
      <c r="BN711" s="1">
        <v>2.1214411E7</v>
      </c>
      <c r="BO711" s="1" t="s">
        <v>74</v>
      </c>
      <c r="BP711" s="1" t="s">
        <v>74</v>
      </c>
      <c r="BQ711" s="1" t="s">
        <v>74</v>
      </c>
      <c r="BR711" s="1" t="s">
        <v>74</v>
      </c>
      <c r="BS711" s="1" t="s">
        <v>6596</v>
      </c>
      <c r="BT711" s="1" t="str">
        <f>HYPERLINK("https%3A%2F%2Fwww.webofscience.com%2Fwos%2Fwoscc%2Ffull-record%2FWOS:000288754700016","View Full Record in Web of Science")</f>
        <v>View Full Record in Web of Science</v>
      </c>
    </row>
    <row r="712" ht="12.75" customHeight="1">
      <c r="A712" s="1" t="s">
        <v>72</v>
      </c>
      <c r="B712" s="1" t="s">
        <v>6597</v>
      </c>
      <c r="C712" s="1" t="s">
        <v>74</v>
      </c>
      <c r="D712" s="1" t="s">
        <v>74</v>
      </c>
      <c r="E712" s="1" t="s">
        <v>74</v>
      </c>
      <c r="F712" s="1" t="s">
        <v>6598</v>
      </c>
      <c r="G712" s="1" t="s">
        <v>74</v>
      </c>
      <c r="H712" s="1" t="s">
        <v>74</v>
      </c>
      <c r="I712" s="1" t="s">
        <v>6599</v>
      </c>
      <c r="J712" s="1" t="s">
        <v>2004</v>
      </c>
      <c r="K712" s="1" t="s">
        <v>74</v>
      </c>
      <c r="L712" s="1" t="s">
        <v>74</v>
      </c>
      <c r="M712" s="1" t="s">
        <v>74</v>
      </c>
      <c r="N712" s="1" t="s">
        <v>74</v>
      </c>
      <c r="O712" s="1" t="s">
        <v>74</v>
      </c>
      <c r="P712" s="1" t="s">
        <v>74</v>
      </c>
      <c r="Q712" s="1" t="s">
        <v>74</v>
      </c>
      <c r="R712" s="1" t="s">
        <v>74</v>
      </c>
      <c r="S712" s="1" t="s">
        <v>74</v>
      </c>
      <c r="T712" s="1" t="s">
        <v>74</v>
      </c>
      <c r="U712" s="1" t="s">
        <v>74</v>
      </c>
      <c r="V712" s="1" t="s">
        <v>6600</v>
      </c>
      <c r="W712" s="1" t="s">
        <v>74</v>
      </c>
      <c r="X712" s="1" t="s">
        <v>74</v>
      </c>
      <c r="Y712" s="1" t="s">
        <v>74</v>
      </c>
      <c r="Z712" s="1" t="s">
        <v>74</v>
      </c>
      <c r="AA712" s="1" t="s">
        <v>74</v>
      </c>
      <c r="AB712" s="1" t="s">
        <v>6601</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2008</v>
      </c>
      <c r="AP712" s="1" t="s">
        <v>2009</v>
      </c>
      <c r="AQ712" s="1" t="s">
        <v>74</v>
      </c>
      <c r="AR712" s="1" t="s">
        <v>74</v>
      </c>
      <c r="AS712" s="1" t="s">
        <v>74</v>
      </c>
      <c r="AT712" s="1" t="s">
        <v>106</v>
      </c>
      <c r="AU712" s="1">
        <v>2010.0</v>
      </c>
      <c r="AV712" s="1">
        <v>325.0</v>
      </c>
      <c r="AW712" s="1">
        <v>9.0</v>
      </c>
      <c r="AX712" s="1" t="s">
        <v>74</v>
      </c>
      <c r="AY712" s="1" t="s">
        <v>74</v>
      </c>
      <c r="AZ712" s="1" t="s">
        <v>74</v>
      </c>
      <c r="BA712" s="1" t="s">
        <v>74</v>
      </c>
      <c r="BB712" s="1">
        <v>1931.0</v>
      </c>
      <c r="BC712" s="1">
        <v>1975.0</v>
      </c>
      <c r="BD712" s="1" t="s">
        <v>74</v>
      </c>
      <c r="BE712" s="1" t="s">
        <v>6602</v>
      </c>
      <c r="BF712" s="2" t="str">
        <f>HYPERLINK("http://dx.doi.org/10.1016/j.aop.2010.02.007","http://dx.doi.org/10.1016/j.aop.2010.02.007")</f>
        <v>http://dx.doi.org/10.1016/j.aop.2010.02.007</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6603</v>
      </c>
      <c r="BT712" s="1" t="str">
        <f>HYPERLINK("https%3A%2F%2Fwww.webofscience.com%2Fwos%2Fwoscc%2Ffull-record%2FWOS:000285269200004","View Full Record in Web of Science")</f>
        <v>View Full Record in Web of Science</v>
      </c>
    </row>
    <row r="713" ht="12.75" customHeight="1">
      <c r="A713" s="1" t="s">
        <v>72</v>
      </c>
      <c r="B713" s="1" t="s">
        <v>6604</v>
      </c>
      <c r="C713" s="1" t="s">
        <v>74</v>
      </c>
      <c r="D713" s="1" t="s">
        <v>74</v>
      </c>
      <c r="E713" s="1" t="s">
        <v>74</v>
      </c>
      <c r="F713" s="1" t="s">
        <v>6605</v>
      </c>
      <c r="G713" s="1" t="s">
        <v>74</v>
      </c>
      <c r="H713" s="1" t="s">
        <v>74</v>
      </c>
      <c r="I713" s="1" t="s">
        <v>6606</v>
      </c>
      <c r="J713" s="1" t="s">
        <v>3453</v>
      </c>
      <c r="K713" s="1" t="s">
        <v>74</v>
      </c>
      <c r="L713" s="1" t="s">
        <v>74</v>
      </c>
      <c r="M713" s="1" t="s">
        <v>74</v>
      </c>
      <c r="N713" s="1" t="s">
        <v>74</v>
      </c>
      <c r="O713" s="1" t="s">
        <v>74</v>
      </c>
      <c r="P713" s="1" t="s">
        <v>74</v>
      </c>
      <c r="Q713" s="1" t="s">
        <v>74</v>
      </c>
      <c r="R713" s="1" t="s">
        <v>74</v>
      </c>
      <c r="S713" s="1" t="s">
        <v>74</v>
      </c>
      <c r="T713" s="1" t="s">
        <v>74</v>
      </c>
      <c r="U713" s="1" t="s">
        <v>74</v>
      </c>
      <c r="V713" s="1" t="s">
        <v>6607</v>
      </c>
      <c r="W713" s="1" t="s">
        <v>74</v>
      </c>
      <c r="X713" s="1" t="s">
        <v>74</v>
      </c>
      <c r="Y713" s="1" t="s">
        <v>74</v>
      </c>
      <c r="Z713" s="1" t="s">
        <v>74</v>
      </c>
      <c r="AA713" s="1" t="s">
        <v>74</v>
      </c>
      <c r="AB713" s="1" t="s">
        <v>74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3456</v>
      </c>
      <c r="AP713" s="1" t="s">
        <v>74</v>
      </c>
      <c r="AQ713" s="1" t="s">
        <v>74</v>
      </c>
      <c r="AR713" s="1" t="s">
        <v>74</v>
      </c>
      <c r="AS713" s="1" t="s">
        <v>74</v>
      </c>
      <c r="AT713" s="1" t="s">
        <v>2283</v>
      </c>
      <c r="AU713" s="1">
        <v>2010.0</v>
      </c>
      <c r="AV713" s="1">
        <v>367.0</v>
      </c>
      <c r="AW713" s="1">
        <v>1.0</v>
      </c>
      <c r="AX713" s="1" t="s">
        <v>74</v>
      </c>
      <c r="AY713" s="1" t="s">
        <v>74</v>
      </c>
      <c r="AZ713" s="1" t="s">
        <v>74</v>
      </c>
      <c r="BA713" s="1" t="s">
        <v>74</v>
      </c>
      <c r="BB713" s="1">
        <v>69.0</v>
      </c>
      <c r="BC713" s="1">
        <v>74.0</v>
      </c>
      <c r="BD713" s="1" t="s">
        <v>74</v>
      </c>
      <c r="BE713" s="1" t="s">
        <v>6608</v>
      </c>
      <c r="BF713" s="2" t="str">
        <f>HYPERLINK("http://dx.doi.org/10.1016/j.jmaa.2009.12.030","http://dx.doi.org/10.1016/j.jmaa.2009.12.030")</f>
        <v>http://dx.doi.org/10.1016/j.jmaa.2009.12.030</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6609</v>
      </c>
      <c r="BT713" s="1" t="str">
        <f>HYPERLINK("https%3A%2F%2Fwww.webofscience.com%2Fwos%2Fwoscc%2Ffull-record%2FWOS:000275385100008","View Full Record in Web of Science")</f>
        <v>View Full Record in Web of Science</v>
      </c>
    </row>
    <row r="714" ht="12.75" customHeight="1">
      <c r="A714" s="1" t="s">
        <v>72</v>
      </c>
      <c r="B714" s="1" t="s">
        <v>6610</v>
      </c>
      <c r="C714" s="1" t="s">
        <v>74</v>
      </c>
      <c r="D714" s="1" t="s">
        <v>74</v>
      </c>
      <c r="E714" s="1" t="s">
        <v>74</v>
      </c>
      <c r="F714" s="1" t="s">
        <v>6611</v>
      </c>
      <c r="G714" s="1" t="s">
        <v>74</v>
      </c>
      <c r="H714" s="1" t="s">
        <v>74</v>
      </c>
      <c r="I714" s="1" t="s">
        <v>6612</v>
      </c>
      <c r="J714" s="1" t="s">
        <v>6613</v>
      </c>
      <c r="K714" s="1" t="s">
        <v>74</v>
      </c>
      <c r="L714" s="1" t="s">
        <v>74</v>
      </c>
      <c r="M714" s="1" t="s">
        <v>74</v>
      </c>
      <c r="N714" s="1" t="s">
        <v>74</v>
      </c>
      <c r="O714" s="1" t="s">
        <v>74</v>
      </c>
      <c r="P714" s="1" t="s">
        <v>74</v>
      </c>
      <c r="Q714" s="1" t="s">
        <v>74</v>
      </c>
      <c r="R714" s="1" t="s">
        <v>74</v>
      </c>
      <c r="S714" s="1" t="s">
        <v>74</v>
      </c>
      <c r="T714" s="1" t="s">
        <v>74</v>
      </c>
      <c r="U714" s="1" t="s">
        <v>74</v>
      </c>
      <c r="V714" s="1" t="s">
        <v>6614</v>
      </c>
      <c r="W714" s="1" t="s">
        <v>74</v>
      </c>
      <c r="X714" s="1" t="s">
        <v>74</v>
      </c>
      <c r="Y714" s="1" t="s">
        <v>74</v>
      </c>
      <c r="Z714" s="1" t="s">
        <v>74</v>
      </c>
      <c r="AA714" s="1" t="s">
        <v>74</v>
      </c>
      <c r="AB714" s="1" t="s">
        <v>74</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6615</v>
      </c>
      <c r="AP714" s="1" t="s">
        <v>74</v>
      </c>
      <c r="AQ714" s="1" t="s">
        <v>74</v>
      </c>
      <c r="AR714" s="1" t="s">
        <v>74</v>
      </c>
      <c r="AS714" s="1" t="s">
        <v>74</v>
      </c>
      <c r="AT714" s="1" t="s">
        <v>319</v>
      </c>
      <c r="AU714" s="1">
        <v>2010.0</v>
      </c>
      <c r="AV714" s="1">
        <v>30.0</v>
      </c>
      <c r="AW714" s="1">
        <v>3.0</v>
      </c>
      <c r="AX714" s="1" t="s">
        <v>74</v>
      </c>
      <c r="AY714" s="1" t="s">
        <v>74</v>
      </c>
      <c r="AZ714" s="1" t="s">
        <v>74</v>
      </c>
      <c r="BA714" s="1" t="s">
        <v>74</v>
      </c>
      <c r="BB714" s="1">
        <v>256.0</v>
      </c>
      <c r="BC714" s="1">
        <v>259.0</v>
      </c>
      <c r="BD714" s="1" t="s">
        <v>74</v>
      </c>
      <c r="BE714" s="1" t="s">
        <v>6616</v>
      </c>
      <c r="BF714" s="2" t="str">
        <f>HYPERLINK("http://dx.doi.org/10.1002/pd.2462","http://dx.doi.org/10.1002/pd.2462")</f>
        <v>http://dx.doi.org/10.1002/pd.2462</v>
      </c>
      <c r="BG714" s="1" t="s">
        <v>74</v>
      </c>
      <c r="BH714" s="1" t="s">
        <v>74</v>
      </c>
      <c r="BI714" s="1" t="s">
        <v>74</v>
      </c>
      <c r="BJ714" s="1" t="s">
        <v>74</v>
      </c>
      <c r="BK714" s="1" t="s">
        <v>74</v>
      </c>
      <c r="BL714" s="1" t="s">
        <v>74</v>
      </c>
      <c r="BM714" s="1" t="s">
        <v>74</v>
      </c>
      <c r="BN714" s="1">
        <v>2.0112232E7</v>
      </c>
      <c r="BO714" s="1" t="s">
        <v>74</v>
      </c>
      <c r="BP714" s="1" t="s">
        <v>74</v>
      </c>
      <c r="BQ714" s="1" t="s">
        <v>74</v>
      </c>
      <c r="BR714" s="1" t="s">
        <v>74</v>
      </c>
      <c r="BS714" s="1" t="s">
        <v>6617</v>
      </c>
      <c r="BT714" s="1" t="str">
        <f>HYPERLINK("https%3A%2F%2Fwww.webofscience.com%2Fwos%2Fwoscc%2Ffull-record%2FWOS:000275695300012","View Full Record in Web of Science")</f>
        <v>View Full Record in Web of Science</v>
      </c>
    </row>
    <row r="715" ht="12.75" customHeight="1">
      <c r="A715" s="1" t="s">
        <v>72</v>
      </c>
      <c r="B715" s="1" t="s">
        <v>6618</v>
      </c>
      <c r="C715" s="1" t="s">
        <v>74</v>
      </c>
      <c r="D715" s="1" t="s">
        <v>74</v>
      </c>
      <c r="E715" s="1" t="s">
        <v>74</v>
      </c>
      <c r="F715" s="1" t="s">
        <v>6619</v>
      </c>
      <c r="G715" s="1" t="s">
        <v>74</v>
      </c>
      <c r="H715" s="1" t="s">
        <v>74</v>
      </c>
      <c r="I715" s="1" t="s">
        <v>6620</v>
      </c>
      <c r="J715" s="1" t="s">
        <v>6621</v>
      </c>
      <c r="K715" s="1" t="s">
        <v>74</v>
      </c>
      <c r="L715" s="1" t="s">
        <v>74</v>
      </c>
      <c r="M715" s="1" t="s">
        <v>74</v>
      </c>
      <c r="N715" s="1" t="s">
        <v>74</v>
      </c>
      <c r="O715" s="1" t="s">
        <v>74</v>
      </c>
      <c r="P715" s="1" t="s">
        <v>74</v>
      </c>
      <c r="Q715" s="1" t="s">
        <v>74</v>
      </c>
      <c r="R715" s="1" t="s">
        <v>74</v>
      </c>
      <c r="S715" s="1" t="s">
        <v>74</v>
      </c>
      <c r="T715" s="1" t="s">
        <v>74</v>
      </c>
      <c r="U715" s="1" t="s">
        <v>74</v>
      </c>
      <c r="V715" s="1" t="s">
        <v>74</v>
      </c>
      <c r="W715" s="1" t="s">
        <v>74</v>
      </c>
      <c r="X715" s="1" t="s">
        <v>74</v>
      </c>
      <c r="Y715" s="1" t="s">
        <v>74</v>
      </c>
      <c r="Z715" s="1" t="s">
        <v>74</v>
      </c>
      <c r="AA715" s="1" t="s">
        <v>6622</v>
      </c>
      <c r="AB715" s="1" t="s">
        <v>6623</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6624</v>
      </c>
      <c r="AP715" s="1" t="s">
        <v>74</v>
      </c>
      <c r="AQ715" s="1" t="s">
        <v>74</v>
      </c>
      <c r="AR715" s="1" t="s">
        <v>74</v>
      </c>
      <c r="AS715" s="1" t="s">
        <v>74</v>
      </c>
      <c r="AT715" s="1" t="s">
        <v>6625</v>
      </c>
      <c r="AU715" s="1">
        <v>2010.0</v>
      </c>
      <c r="AV715" s="1">
        <v>17.0</v>
      </c>
      <c r="AW715" s="1">
        <v>52.0</v>
      </c>
      <c r="AX715" s="1" t="s">
        <v>74</v>
      </c>
      <c r="AY715" s="1" t="s">
        <v>74</v>
      </c>
      <c r="AZ715" s="1" t="s">
        <v>74</v>
      </c>
      <c r="BA715" s="1" t="s">
        <v>74</v>
      </c>
      <c r="BB715" s="1">
        <v>261.0</v>
      </c>
      <c r="BC715" s="1">
        <v>288.0</v>
      </c>
      <c r="BD715" s="1" t="s">
        <v>74</v>
      </c>
      <c r="BE715" s="1" t="s">
        <v>74</v>
      </c>
      <c r="BF715" s="1" t="s">
        <v>74</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6626</v>
      </c>
      <c r="BT715" s="1" t="str">
        <f>HYPERLINK("https%3A%2F%2Fwww.webofscience.com%2Fwos%2Fwoscc%2Ffull-record%2FWOS:000291626900011","View Full Record in Web of Science")</f>
        <v>View Full Record in Web of Science</v>
      </c>
    </row>
    <row r="716" ht="12.75" customHeight="1">
      <c r="A716" s="1" t="s">
        <v>72</v>
      </c>
      <c r="B716" s="1" t="s">
        <v>6627</v>
      </c>
      <c r="C716" s="1" t="s">
        <v>74</v>
      </c>
      <c r="D716" s="1" t="s">
        <v>74</v>
      </c>
      <c r="E716" s="1" t="s">
        <v>74</v>
      </c>
      <c r="F716" s="1" t="s">
        <v>6628</v>
      </c>
      <c r="G716" s="1" t="s">
        <v>74</v>
      </c>
      <c r="H716" s="1" t="s">
        <v>6629</v>
      </c>
      <c r="I716" s="1" t="s">
        <v>6630</v>
      </c>
      <c r="J716" s="1" t="s">
        <v>6631</v>
      </c>
      <c r="K716" s="1" t="s">
        <v>74</v>
      </c>
      <c r="L716" s="1" t="s">
        <v>74</v>
      </c>
      <c r="M716" s="1" t="s">
        <v>74</v>
      </c>
      <c r="N716" s="1" t="s">
        <v>74</v>
      </c>
      <c r="O716" s="1" t="s">
        <v>74</v>
      </c>
      <c r="P716" s="1" t="s">
        <v>74</v>
      </c>
      <c r="Q716" s="1" t="s">
        <v>74</v>
      </c>
      <c r="R716" s="1" t="s">
        <v>74</v>
      </c>
      <c r="S716" s="1" t="s">
        <v>74</v>
      </c>
      <c r="T716" s="1" t="s">
        <v>74</v>
      </c>
      <c r="U716" s="1" t="s">
        <v>74</v>
      </c>
      <c r="V716" s="1" t="s">
        <v>6632</v>
      </c>
      <c r="W716" s="1" t="s">
        <v>74</v>
      </c>
      <c r="X716" s="1" t="s">
        <v>74</v>
      </c>
      <c r="Y716" s="1" t="s">
        <v>74</v>
      </c>
      <c r="Z716" s="1" t="s">
        <v>74</v>
      </c>
      <c r="AA716" s="1" t="s">
        <v>6633</v>
      </c>
      <c r="AB716" s="1" t="s">
        <v>6634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6635</v>
      </c>
      <c r="AP716" s="1" t="s">
        <v>6636</v>
      </c>
      <c r="AQ716" s="1" t="s">
        <v>74</v>
      </c>
      <c r="AR716" s="1" t="s">
        <v>74</v>
      </c>
      <c r="AS716" s="1" t="s">
        <v>74</v>
      </c>
      <c r="AT716" s="1" t="s">
        <v>74</v>
      </c>
      <c r="AU716" s="1">
        <v>2010.0</v>
      </c>
      <c r="AV716" s="1">
        <v>20.0</v>
      </c>
      <c r="AW716" s="1">
        <v>4.0</v>
      </c>
      <c r="AX716" s="1" t="s">
        <v>74</v>
      </c>
      <c r="AY716" s="1" t="s">
        <v>74</v>
      </c>
      <c r="AZ716" s="1" t="s">
        <v>74</v>
      </c>
      <c r="BA716" s="1" t="s">
        <v>74</v>
      </c>
      <c r="BB716" s="1">
        <v>311.0</v>
      </c>
      <c r="BC716" s="1">
        <v>323.0</v>
      </c>
      <c r="BD716" s="1" t="s">
        <v>74</v>
      </c>
      <c r="BE716" s="1" t="s">
        <v>74</v>
      </c>
      <c r="BF716" s="1" t="s">
        <v>74</v>
      </c>
      <c r="BG716" s="1" t="s">
        <v>74</v>
      </c>
      <c r="BH716" s="1" t="s">
        <v>74</v>
      </c>
      <c r="BI716" s="1" t="s">
        <v>74</v>
      </c>
      <c r="BJ716" s="1" t="s">
        <v>74</v>
      </c>
      <c r="BK716" s="1" t="s">
        <v>74</v>
      </c>
      <c r="BL716" s="1" t="s">
        <v>74</v>
      </c>
      <c r="BM716" s="1" t="s">
        <v>74</v>
      </c>
      <c r="BN716" s="1">
        <v>2.0815309E7</v>
      </c>
      <c r="BO716" s="1" t="s">
        <v>74</v>
      </c>
      <c r="BP716" s="1" t="s">
        <v>74</v>
      </c>
      <c r="BQ716" s="1" t="s">
        <v>74</v>
      </c>
      <c r="BR716" s="1" t="s">
        <v>74</v>
      </c>
      <c r="BS716" s="1" t="s">
        <v>6637</v>
      </c>
      <c r="BT716" s="1" t="str">
        <f>HYPERLINK("https%3A%2F%2Fwww.webofscience.com%2Fwos%2Fwoscc%2Ffull-record%2FWOS:000280498000007","View Full Record in Web of Science")</f>
        <v>View Full Record in Web of Science</v>
      </c>
    </row>
    <row r="717" ht="12.75" customHeight="1">
      <c r="A717" s="1" t="s">
        <v>72</v>
      </c>
      <c r="B717" s="1" t="s">
        <v>6638</v>
      </c>
      <c r="C717" s="1" t="s">
        <v>74</v>
      </c>
      <c r="D717" s="1" t="s">
        <v>74</v>
      </c>
      <c r="E717" s="1" t="s">
        <v>74</v>
      </c>
      <c r="F717" s="1" t="s">
        <v>6639</v>
      </c>
      <c r="G717" s="1" t="s">
        <v>74</v>
      </c>
      <c r="H717" s="1" t="s">
        <v>74</v>
      </c>
      <c r="I717" s="1" t="s">
        <v>6640</v>
      </c>
      <c r="J717" s="1" t="s">
        <v>3502</v>
      </c>
      <c r="K717" s="1" t="s">
        <v>74</v>
      </c>
      <c r="L717" s="1" t="s">
        <v>74</v>
      </c>
      <c r="M717" s="1" t="s">
        <v>74</v>
      </c>
      <c r="N717" s="1" t="s">
        <v>74</v>
      </c>
      <c r="O717" s="1" t="s">
        <v>74</v>
      </c>
      <c r="P717" s="1" t="s">
        <v>74</v>
      </c>
      <c r="Q717" s="1" t="s">
        <v>74</v>
      </c>
      <c r="R717" s="1" t="s">
        <v>74</v>
      </c>
      <c r="S717" s="1" t="s">
        <v>74</v>
      </c>
      <c r="T717" s="1" t="s">
        <v>74</v>
      </c>
      <c r="U717" s="1" t="s">
        <v>74</v>
      </c>
      <c r="V717" s="1" t="s">
        <v>6641</v>
      </c>
      <c r="W717" s="1" t="s">
        <v>74</v>
      </c>
      <c r="X717" s="1" t="s">
        <v>74</v>
      </c>
      <c r="Y717" s="1" t="s">
        <v>74</v>
      </c>
      <c r="Z717" s="1" t="s">
        <v>74</v>
      </c>
      <c r="AA717" s="1" t="s">
        <v>6642</v>
      </c>
      <c r="AB717" s="1" t="s">
        <v>6643</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3505</v>
      </c>
      <c r="AP717" s="1" t="s">
        <v>3506</v>
      </c>
      <c r="AQ717" s="1" t="s">
        <v>74</v>
      </c>
      <c r="AR717" s="1" t="s">
        <v>74</v>
      </c>
      <c r="AS717" s="1" t="s">
        <v>74</v>
      </c>
      <c r="AT717" s="1" t="s">
        <v>2921</v>
      </c>
      <c r="AU717" s="1">
        <v>2009.0</v>
      </c>
      <c r="AV717" s="1">
        <v>147.0</v>
      </c>
      <c r="AW717" s="1">
        <v>3.0</v>
      </c>
      <c r="AX717" s="1" t="s">
        <v>74</v>
      </c>
      <c r="AY717" s="1" t="s">
        <v>74</v>
      </c>
      <c r="AZ717" s="1" t="s">
        <v>74</v>
      </c>
      <c r="BA717" s="1" t="s">
        <v>74</v>
      </c>
      <c r="BB717" s="1">
        <v>166.0</v>
      </c>
      <c r="BC717" s="1">
        <v>169.0</v>
      </c>
      <c r="BD717" s="1" t="s">
        <v>74</v>
      </c>
      <c r="BE717" s="1" t="s">
        <v>6644</v>
      </c>
      <c r="BF717" s="2" t="str">
        <f>HYPERLINK("http://dx.doi.org/10.1016/j.molliq.2009.03.003","http://dx.doi.org/10.1016/j.molliq.2009.03.003")</f>
        <v>http://dx.doi.org/10.1016/j.molliq.2009.03.003</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6645</v>
      </c>
      <c r="BT717" s="1" t="str">
        <f>HYPERLINK("https%3A%2F%2Fwww.webofscience.com%2Fwos%2Fwoscc%2Ffull-record%2FWOS:000267455600005","View Full Record in Web of Science")</f>
        <v>View Full Record in Web of Science</v>
      </c>
    </row>
    <row r="718" ht="12.75" customHeight="1">
      <c r="A718" s="1" t="s">
        <v>72</v>
      </c>
      <c r="B718" s="1" t="s">
        <v>6646</v>
      </c>
      <c r="C718" s="1" t="s">
        <v>74</v>
      </c>
      <c r="D718" s="1" t="s">
        <v>74</v>
      </c>
      <c r="E718" s="1" t="s">
        <v>74</v>
      </c>
      <c r="F718" s="1" t="s">
        <v>6647</v>
      </c>
      <c r="G718" s="1" t="s">
        <v>74</v>
      </c>
      <c r="H718" s="1" t="s">
        <v>74</v>
      </c>
      <c r="I718" s="1" t="s">
        <v>6648</v>
      </c>
      <c r="J718" s="1" t="s">
        <v>3164</v>
      </c>
      <c r="K718" s="1" t="s">
        <v>74</v>
      </c>
      <c r="L718" s="1" t="s">
        <v>74</v>
      </c>
      <c r="M718" s="1" t="s">
        <v>74</v>
      </c>
      <c r="N718" s="1" t="s">
        <v>74</v>
      </c>
      <c r="O718" s="1" t="s">
        <v>74</v>
      </c>
      <c r="P718" s="1" t="s">
        <v>74</v>
      </c>
      <c r="Q718" s="1" t="s">
        <v>74</v>
      </c>
      <c r="R718" s="1" t="s">
        <v>74</v>
      </c>
      <c r="S718" s="1" t="s">
        <v>74</v>
      </c>
      <c r="T718" s="1" t="s">
        <v>74</v>
      </c>
      <c r="U718" s="1" t="s">
        <v>74</v>
      </c>
      <c r="V718" s="1" t="s">
        <v>6649</v>
      </c>
      <c r="W718" s="1" t="s">
        <v>74</v>
      </c>
      <c r="X718" s="1" t="s">
        <v>74</v>
      </c>
      <c r="Y718" s="1" t="s">
        <v>74</v>
      </c>
      <c r="Z718" s="1" t="s">
        <v>74</v>
      </c>
      <c r="AA718" s="1" t="s">
        <v>74</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3168</v>
      </c>
      <c r="AP718" s="1" t="s">
        <v>3169</v>
      </c>
      <c r="AQ718" s="1" t="s">
        <v>74</v>
      </c>
      <c r="AR718" s="1" t="s">
        <v>74</v>
      </c>
      <c r="AS718" s="1" t="s">
        <v>74</v>
      </c>
      <c r="AT718" s="1" t="s">
        <v>160</v>
      </c>
      <c r="AU718" s="1">
        <v>2008.0</v>
      </c>
      <c r="AV718" s="1">
        <v>81.0</v>
      </c>
      <c r="AW718" s="1">
        <v>4.0</v>
      </c>
      <c r="AX718" s="1" t="s">
        <v>74</v>
      </c>
      <c r="AY718" s="1" t="s">
        <v>74</v>
      </c>
      <c r="AZ718" s="1" t="s">
        <v>74</v>
      </c>
      <c r="BA718" s="1" t="s">
        <v>74</v>
      </c>
      <c r="BB718" s="1">
        <v>489.0</v>
      </c>
      <c r="BC718" s="1">
        <v>499.0</v>
      </c>
      <c r="BD718" s="1" t="s">
        <v>74</v>
      </c>
      <c r="BE718" s="1" t="s">
        <v>74</v>
      </c>
      <c r="BF718" s="1" t="s">
        <v>74</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6650</v>
      </c>
      <c r="BT718" s="1" t="str">
        <f>HYPERLINK("https%3A%2F%2Fwww.webofscience.com%2Fwos%2Fwoscc%2Ffull-record%2FWOS:000263164300004","View Full Record in Web of Science")</f>
        <v>View Full Record in Web of Science</v>
      </c>
    </row>
    <row r="719" ht="12.75" customHeight="1">
      <c r="A719" s="1" t="s">
        <v>72</v>
      </c>
      <c r="B719" s="1" t="s">
        <v>6651</v>
      </c>
      <c r="C719" s="1" t="s">
        <v>74</v>
      </c>
      <c r="D719" s="1" t="s">
        <v>74</v>
      </c>
      <c r="E719" s="1" t="s">
        <v>74</v>
      </c>
      <c r="F719" s="1" t="s">
        <v>6652</v>
      </c>
      <c r="G719" s="1" t="s">
        <v>74</v>
      </c>
      <c r="H719" s="1" t="s">
        <v>74</v>
      </c>
      <c r="I719" s="1" t="s">
        <v>6653</v>
      </c>
      <c r="J719" s="1" t="s">
        <v>134</v>
      </c>
      <c r="K719" s="1" t="s">
        <v>74</v>
      </c>
      <c r="L719" s="1" t="s">
        <v>74</v>
      </c>
      <c r="M719" s="1" t="s">
        <v>74</v>
      </c>
      <c r="N719" s="1" t="s">
        <v>74</v>
      </c>
      <c r="O719" s="1" t="s">
        <v>74</v>
      </c>
      <c r="P719" s="1" t="s">
        <v>74</v>
      </c>
      <c r="Q719" s="1" t="s">
        <v>74</v>
      </c>
      <c r="R719" s="1" t="s">
        <v>74</v>
      </c>
      <c r="S719" s="1" t="s">
        <v>74</v>
      </c>
      <c r="T719" s="1" t="s">
        <v>74</v>
      </c>
      <c r="U719" s="1" t="s">
        <v>74</v>
      </c>
      <c r="V719" s="1" t="s">
        <v>6654</v>
      </c>
      <c r="W719" s="1" t="s">
        <v>74</v>
      </c>
      <c r="X719" s="1" t="s">
        <v>74</v>
      </c>
      <c r="Y719" s="1" t="s">
        <v>74</v>
      </c>
      <c r="Z719" s="1" t="s">
        <v>74</v>
      </c>
      <c r="AA719" s="1" t="s">
        <v>136</v>
      </c>
      <c r="AB719" s="1" t="s">
        <v>137</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138</v>
      </c>
      <c r="AP719" s="1" t="s">
        <v>139</v>
      </c>
      <c r="AQ719" s="1" t="s">
        <v>74</v>
      </c>
      <c r="AR719" s="1" t="s">
        <v>74</v>
      </c>
      <c r="AS719" s="1" t="s">
        <v>74</v>
      </c>
      <c r="AT719" s="1" t="s">
        <v>116</v>
      </c>
      <c r="AU719" s="1">
        <v>2008.0</v>
      </c>
      <c r="AV719" s="1">
        <v>87.0</v>
      </c>
      <c r="AW719" s="1">
        <v>2.0</v>
      </c>
      <c r="AX719" s="1" t="s">
        <v>74</v>
      </c>
      <c r="AY719" s="1" t="s">
        <v>74</v>
      </c>
      <c r="AZ719" s="1" t="s">
        <v>74</v>
      </c>
      <c r="BA719" s="1" t="s">
        <v>74</v>
      </c>
      <c r="BB719" s="1">
        <v>200.0</v>
      </c>
      <c r="BC719" s="1">
        <v>212.0</v>
      </c>
      <c r="BD719" s="1" t="s">
        <v>74</v>
      </c>
      <c r="BE719" s="1" t="s">
        <v>6655</v>
      </c>
      <c r="BF719" s="2" t="str">
        <f>HYPERLINK("http://dx.doi.org/10.1016/j.jfoodeng.2007.11.031","http://dx.doi.org/10.1016/j.jfoodeng.2007.11.031")</f>
        <v>http://dx.doi.org/10.1016/j.jfoodeng.2007.11.031</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6656</v>
      </c>
      <c r="BT719" s="1" t="str">
        <f>HYPERLINK("https%3A%2F%2Fwww.webofscience.com%2Fwos%2Fwoscc%2Ffull-record%2FWOS:000254722500006","View Full Record in Web of Science")</f>
        <v>View Full Record in Web of Science</v>
      </c>
    </row>
    <row r="720" ht="12.75" customHeight="1">
      <c r="A720" s="1" t="s">
        <v>72</v>
      </c>
      <c r="B720" s="1" t="s">
        <v>6597</v>
      </c>
      <c r="C720" s="1" t="s">
        <v>74</v>
      </c>
      <c r="D720" s="1" t="s">
        <v>74</v>
      </c>
      <c r="E720" s="1" t="s">
        <v>74</v>
      </c>
      <c r="F720" s="1" t="s">
        <v>6598</v>
      </c>
      <c r="G720" s="1" t="s">
        <v>74</v>
      </c>
      <c r="H720" s="1" t="s">
        <v>74</v>
      </c>
      <c r="I720" s="1" t="s">
        <v>6657</v>
      </c>
      <c r="J720" s="1" t="s">
        <v>4823</v>
      </c>
      <c r="K720" s="1" t="s">
        <v>74</v>
      </c>
      <c r="L720" s="1" t="s">
        <v>74</v>
      </c>
      <c r="M720" s="1" t="s">
        <v>74</v>
      </c>
      <c r="N720" s="1" t="s">
        <v>74</v>
      </c>
      <c r="O720" s="1" t="s">
        <v>74</v>
      </c>
      <c r="P720" s="1" t="s">
        <v>74</v>
      </c>
      <c r="Q720" s="1" t="s">
        <v>74</v>
      </c>
      <c r="R720" s="1" t="s">
        <v>74</v>
      </c>
      <c r="S720" s="1" t="s">
        <v>74</v>
      </c>
      <c r="T720" s="1" t="s">
        <v>74</v>
      </c>
      <c r="U720" s="1" t="s">
        <v>74</v>
      </c>
      <c r="V720" s="1" t="s">
        <v>6658</v>
      </c>
      <c r="W720" s="1" t="s">
        <v>74</v>
      </c>
      <c r="X720" s="1" t="s">
        <v>74</v>
      </c>
      <c r="Y720" s="1" t="s">
        <v>74</v>
      </c>
      <c r="Z720" s="1" t="s">
        <v>74</v>
      </c>
      <c r="AA720" s="1" t="s">
        <v>74</v>
      </c>
      <c r="AB720" s="1" t="s">
        <v>6659</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4826</v>
      </c>
      <c r="AP720" s="1" t="s">
        <v>4827</v>
      </c>
      <c r="AQ720" s="1" t="s">
        <v>74</v>
      </c>
      <c r="AR720" s="1" t="s">
        <v>74</v>
      </c>
      <c r="AS720" s="1" t="s">
        <v>74</v>
      </c>
      <c r="AT720" s="1" t="s">
        <v>6660</v>
      </c>
      <c r="AU720" s="1">
        <v>2007.0</v>
      </c>
      <c r="AV720" s="1">
        <v>768.0</v>
      </c>
      <c r="AW720" s="1">
        <v>3.0</v>
      </c>
      <c r="AX720" s="1" t="s">
        <v>74</v>
      </c>
      <c r="AY720" s="1" t="s">
        <v>74</v>
      </c>
      <c r="AZ720" s="1" t="s">
        <v>74</v>
      </c>
      <c r="BA720" s="1" t="s">
        <v>74</v>
      </c>
      <c r="BB720" s="1">
        <v>247.0</v>
      </c>
      <c r="BC720" s="1">
        <v>262.0</v>
      </c>
      <c r="BD720" s="1" t="s">
        <v>74</v>
      </c>
      <c r="BE720" s="1" t="s">
        <v>6661</v>
      </c>
      <c r="BF720" s="2" t="str">
        <f>HYPERLINK("http://dx.doi.org/10.1016/j.nuclphysb.2007.01.021","http://dx.doi.org/10.1016/j.nuclphysb.2007.01.021")</f>
        <v>http://dx.doi.org/10.1016/j.nuclphysb.2007.01.021</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6662</v>
      </c>
      <c r="BT720" s="1" t="str">
        <f>HYPERLINK("https%3A%2F%2Fwww.webofscience.com%2Fwos%2Fwoscc%2Ffull-record%2FWOS:000245994600005","View Full Record in Web of Science")</f>
        <v>View Full Record in Web of Science</v>
      </c>
    </row>
    <row r="721" ht="12.75" customHeight="1">
      <c r="A721" s="1" t="s">
        <v>72</v>
      </c>
      <c r="B721" s="1" t="s">
        <v>6663</v>
      </c>
      <c r="C721" s="1" t="s">
        <v>74</v>
      </c>
      <c r="D721" s="1" t="s">
        <v>74</v>
      </c>
      <c r="E721" s="1" t="s">
        <v>74</v>
      </c>
      <c r="F721" s="1" t="s">
        <v>6664</v>
      </c>
      <c r="G721" s="1" t="s">
        <v>74</v>
      </c>
      <c r="H721" s="1" t="s">
        <v>74</v>
      </c>
      <c r="I721" s="1" t="s">
        <v>6665</v>
      </c>
      <c r="J721" s="1" t="s">
        <v>6666</v>
      </c>
      <c r="K721" s="1" t="s">
        <v>74</v>
      </c>
      <c r="L721" s="1" t="s">
        <v>74</v>
      </c>
      <c r="M721" s="1" t="s">
        <v>74</v>
      </c>
      <c r="N721" s="1" t="s">
        <v>74</v>
      </c>
      <c r="O721" s="1" t="s">
        <v>74</v>
      </c>
      <c r="P721" s="1" t="s">
        <v>74</v>
      </c>
      <c r="Q721" s="1" t="s">
        <v>74</v>
      </c>
      <c r="R721" s="1" t="s">
        <v>74</v>
      </c>
      <c r="S721" s="1" t="s">
        <v>74</v>
      </c>
      <c r="T721" s="1" t="s">
        <v>74</v>
      </c>
      <c r="U721" s="1" t="s">
        <v>74</v>
      </c>
      <c r="V721" s="1" t="s">
        <v>6667</v>
      </c>
      <c r="W721" s="1" t="s">
        <v>74</v>
      </c>
      <c r="X721" s="1" t="s">
        <v>74</v>
      </c>
      <c r="Y721" s="1" t="s">
        <v>74</v>
      </c>
      <c r="Z721" s="1" t="s">
        <v>74</v>
      </c>
      <c r="AA721" s="1" t="s">
        <v>6668</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6669</v>
      </c>
      <c r="AP721" s="1" t="s">
        <v>6670</v>
      </c>
      <c r="AQ721" s="1" t="s">
        <v>74</v>
      </c>
      <c r="AR721" s="1" t="s">
        <v>74</v>
      </c>
      <c r="AS721" s="1" t="s">
        <v>74</v>
      </c>
      <c r="AT721" s="1" t="s">
        <v>319</v>
      </c>
      <c r="AU721" s="1">
        <v>2006.0</v>
      </c>
      <c r="AV721" s="1">
        <v>56.0</v>
      </c>
      <c r="AW721" s="1">
        <v>1.0</v>
      </c>
      <c r="AX721" s="1" t="s">
        <v>74</v>
      </c>
      <c r="AY721" s="1" t="s">
        <v>74</v>
      </c>
      <c r="AZ721" s="1" t="s">
        <v>74</v>
      </c>
      <c r="BA721" s="1" t="s">
        <v>74</v>
      </c>
      <c r="BB721" s="1">
        <v>69.0</v>
      </c>
      <c r="BC721" s="1">
        <v>76.0</v>
      </c>
      <c r="BD721" s="1" t="s">
        <v>74</v>
      </c>
      <c r="BE721" s="1" t="s">
        <v>74</v>
      </c>
      <c r="BF721" s="1" t="s">
        <v>74</v>
      </c>
      <c r="BG721" s="1" t="s">
        <v>74</v>
      </c>
      <c r="BH721" s="1" t="s">
        <v>74</v>
      </c>
      <c r="BI721" s="1" t="s">
        <v>74</v>
      </c>
      <c r="BJ721" s="1" t="s">
        <v>74</v>
      </c>
      <c r="BK721" s="1" t="s">
        <v>74</v>
      </c>
      <c r="BL721" s="1" t="s">
        <v>74</v>
      </c>
      <c r="BM721" s="1" t="s">
        <v>74</v>
      </c>
      <c r="BN721" s="1">
        <v>1.6786736E7</v>
      </c>
      <c r="BO721" s="1" t="s">
        <v>74</v>
      </c>
      <c r="BP721" s="1" t="s">
        <v>74</v>
      </c>
      <c r="BQ721" s="1" t="s">
        <v>74</v>
      </c>
      <c r="BR721" s="1" t="s">
        <v>74</v>
      </c>
      <c r="BS721" s="1" t="s">
        <v>6671</v>
      </c>
      <c r="BT721" s="1" t="str">
        <f>HYPERLINK("https%3A%2F%2Fwww.webofscience.com%2Fwos%2Fwoscc%2Ffull-record%2FWOS:000238267200010","View Full Record in Web of Science")</f>
        <v>View Full Record in Web of Science</v>
      </c>
    </row>
    <row r="722" ht="12.75" customHeight="1">
      <c r="A722" s="1" t="s">
        <v>72</v>
      </c>
      <c r="B722" s="1" t="s">
        <v>6672</v>
      </c>
      <c r="C722" s="1" t="s">
        <v>74</v>
      </c>
      <c r="D722" s="1" t="s">
        <v>74</v>
      </c>
      <c r="E722" s="1" t="s">
        <v>74</v>
      </c>
      <c r="F722" s="1" t="s">
        <v>6672</v>
      </c>
      <c r="G722" s="1" t="s">
        <v>74</v>
      </c>
      <c r="H722" s="1" t="s">
        <v>74</v>
      </c>
      <c r="I722" s="1" t="s">
        <v>6673</v>
      </c>
      <c r="J722" s="1" t="s">
        <v>6674</v>
      </c>
      <c r="K722" s="1" t="s">
        <v>74</v>
      </c>
      <c r="L722" s="1" t="s">
        <v>74</v>
      </c>
      <c r="M722" s="1" t="s">
        <v>74</v>
      </c>
      <c r="N722" s="1" t="s">
        <v>74</v>
      </c>
      <c r="O722" s="1" t="s">
        <v>6675</v>
      </c>
      <c r="P722" s="1" t="s">
        <v>6676</v>
      </c>
      <c r="Q722" s="1" t="s">
        <v>1265</v>
      </c>
      <c r="R722" s="1" t="s">
        <v>6677</v>
      </c>
      <c r="S722" s="1" t="s">
        <v>74</v>
      </c>
      <c r="T722" s="1" t="s">
        <v>74</v>
      </c>
      <c r="U722" s="1" t="s">
        <v>74</v>
      </c>
      <c r="V722" s="1" t="s">
        <v>74</v>
      </c>
      <c r="W722" s="1" t="s">
        <v>74</v>
      </c>
      <c r="X722" s="1" t="s">
        <v>74</v>
      </c>
      <c r="Y722" s="1" t="s">
        <v>74</v>
      </c>
      <c r="Z722" s="1" t="s">
        <v>74</v>
      </c>
      <c r="AA722" s="1" t="s">
        <v>74</v>
      </c>
      <c r="AB722" s="1" t="s">
        <v>74</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6678</v>
      </c>
      <c r="AP722" s="1" t="s">
        <v>74</v>
      </c>
      <c r="AQ722" s="1" t="s">
        <v>74</v>
      </c>
      <c r="AR722" s="1" t="s">
        <v>74</v>
      </c>
      <c r="AS722" s="1" t="s">
        <v>74</v>
      </c>
      <c r="AT722" s="1" t="s">
        <v>94</v>
      </c>
      <c r="AU722" s="1">
        <v>2006.0</v>
      </c>
      <c r="AV722" s="1">
        <v>27.0</v>
      </c>
      <c r="AW722" s="1">
        <v>1.0</v>
      </c>
      <c r="AX722" s="1" t="s">
        <v>74</v>
      </c>
      <c r="AY722" s="1" t="s">
        <v>74</v>
      </c>
      <c r="AZ722" s="1" t="s">
        <v>74</v>
      </c>
      <c r="BA722" s="1" t="s">
        <v>74</v>
      </c>
      <c r="BB722" s="1" t="s">
        <v>6679</v>
      </c>
      <c r="BC722" s="1" t="s">
        <v>6679</v>
      </c>
      <c r="BD722" s="1" t="s">
        <v>74</v>
      </c>
      <c r="BE722" s="1" t="s">
        <v>74</v>
      </c>
      <c r="BF722" s="1" t="s">
        <v>74</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6680</v>
      </c>
      <c r="BT722" s="1" t="str">
        <f>HYPERLINK("https%3A%2F%2Fwww.webofscience.com%2Fwos%2Fwoscc%2Ffull-record%2FWOS:000233996200155","View Full Record in Web of Science")</f>
        <v>View Full Record in Web of Science</v>
      </c>
    </row>
    <row r="723" ht="12.75" customHeight="1">
      <c r="A723" s="1" t="s">
        <v>72</v>
      </c>
      <c r="B723" s="1" t="s">
        <v>6681</v>
      </c>
      <c r="C723" s="1" t="s">
        <v>74</v>
      </c>
      <c r="D723" s="1" t="s">
        <v>74</v>
      </c>
      <c r="E723" s="1" t="s">
        <v>74</v>
      </c>
      <c r="F723" s="1" t="s">
        <v>6681</v>
      </c>
      <c r="G723" s="1" t="s">
        <v>74</v>
      </c>
      <c r="H723" s="1" t="s">
        <v>74</v>
      </c>
      <c r="I723" s="1" t="s">
        <v>6682</v>
      </c>
      <c r="J723" s="1" t="s">
        <v>562</v>
      </c>
      <c r="K723" s="1" t="s">
        <v>74</v>
      </c>
      <c r="L723" s="1" t="s">
        <v>74</v>
      </c>
      <c r="M723" s="1" t="s">
        <v>74</v>
      </c>
      <c r="N723" s="1" t="s">
        <v>74</v>
      </c>
      <c r="O723" s="1" t="s">
        <v>74</v>
      </c>
      <c r="P723" s="1" t="s">
        <v>74</v>
      </c>
      <c r="Q723" s="1" t="s">
        <v>74</v>
      </c>
      <c r="R723" s="1" t="s">
        <v>74</v>
      </c>
      <c r="S723" s="1" t="s">
        <v>74</v>
      </c>
      <c r="T723" s="1" t="s">
        <v>74</v>
      </c>
      <c r="U723" s="1" t="s">
        <v>74</v>
      </c>
      <c r="V723" s="1" t="s">
        <v>6683</v>
      </c>
      <c r="W723" s="1" t="s">
        <v>74</v>
      </c>
      <c r="X723" s="1" t="s">
        <v>74</v>
      </c>
      <c r="Y723" s="1" t="s">
        <v>74</v>
      </c>
      <c r="Z723" s="1" t="s">
        <v>74</v>
      </c>
      <c r="AA723" s="1" t="s">
        <v>6684</v>
      </c>
      <c r="AB723" s="1" t="s">
        <v>6685</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564</v>
      </c>
      <c r="AP723" s="1" t="s">
        <v>74</v>
      </c>
      <c r="AQ723" s="1" t="s">
        <v>74</v>
      </c>
      <c r="AR723" s="1" t="s">
        <v>74</v>
      </c>
      <c r="AS723" s="1" t="s">
        <v>74</v>
      </c>
      <c r="AT723" s="1" t="s">
        <v>343</v>
      </c>
      <c r="AU723" s="1">
        <v>2005.0</v>
      </c>
      <c r="AV723" s="1">
        <v>18.0</v>
      </c>
      <c r="AW723" s="1">
        <v>10.0</v>
      </c>
      <c r="AX723" s="1" t="s">
        <v>74</v>
      </c>
      <c r="AY723" s="1" t="s">
        <v>74</v>
      </c>
      <c r="AZ723" s="1" t="s">
        <v>74</v>
      </c>
      <c r="BA723" s="1" t="s">
        <v>74</v>
      </c>
      <c r="BB723" s="1">
        <v>1032.0</v>
      </c>
      <c r="BC723" s="1">
        <v>1036.0</v>
      </c>
      <c r="BD723" s="1" t="s">
        <v>74</v>
      </c>
      <c r="BE723" s="1" t="s">
        <v>6686</v>
      </c>
      <c r="BF723" s="2" t="str">
        <f>HYPERLINK("http://dx.doi.org/10.1016/j.mineng.2005.01.016","http://dx.doi.org/10.1016/j.mineng.2005.01.016")</f>
        <v>http://dx.doi.org/10.1016/j.mineng.2005.01.016</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6687</v>
      </c>
      <c r="BT723" s="1" t="str">
        <f>HYPERLINK("https%3A%2F%2Fwww.webofscience.com%2Fwos%2Fwoscc%2Ffull-record%2FWOS:000232130000005","View Full Record in Web of Science")</f>
        <v>View Full Record in Web of Science</v>
      </c>
    </row>
    <row r="724" ht="12.75" customHeight="1">
      <c r="A724" s="1" t="s">
        <v>72</v>
      </c>
      <c r="B724" s="1" t="s">
        <v>6688</v>
      </c>
      <c r="C724" s="1" t="s">
        <v>74</v>
      </c>
      <c r="D724" s="1" t="s">
        <v>74</v>
      </c>
      <c r="E724" s="1" t="s">
        <v>74</v>
      </c>
      <c r="F724" s="1" t="s">
        <v>6688</v>
      </c>
      <c r="G724" s="1" t="s">
        <v>74</v>
      </c>
      <c r="H724" s="1" t="s">
        <v>74</v>
      </c>
      <c r="I724" s="1" t="s">
        <v>6689</v>
      </c>
      <c r="J724" s="1" t="s">
        <v>6690</v>
      </c>
      <c r="K724" s="1" t="s">
        <v>74</v>
      </c>
      <c r="L724" s="1" t="s">
        <v>74</v>
      </c>
      <c r="M724" s="1" t="s">
        <v>74</v>
      </c>
      <c r="N724" s="1" t="s">
        <v>74</v>
      </c>
      <c r="O724" s="1" t="s">
        <v>74</v>
      </c>
      <c r="P724" s="1" t="s">
        <v>74</v>
      </c>
      <c r="Q724" s="1" t="s">
        <v>74</v>
      </c>
      <c r="R724" s="1" t="s">
        <v>74</v>
      </c>
      <c r="S724" s="1" t="s">
        <v>74</v>
      </c>
      <c r="T724" s="1" t="s">
        <v>74</v>
      </c>
      <c r="U724" s="1" t="s">
        <v>74</v>
      </c>
      <c r="V724" s="1" t="s">
        <v>6691</v>
      </c>
      <c r="W724" s="1" t="s">
        <v>74</v>
      </c>
      <c r="X724" s="1" t="s">
        <v>74</v>
      </c>
      <c r="Y724" s="1" t="s">
        <v>74</v>
      </c>
      <c r="Z724" s="1" t="s">
        <v>74</v>
      </c>
      <c r="AA724" s="1" t="s">
        <v>74</v>
      </c>
      <c r="AB724" s="1" t="s">
        <v>74</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6692</v>
      </c>
      <c r="AP724" s="1" t="s">
        <v>74</v>
      </c>
      <c r="AQ724" s="1" t="s">
        <v>74</v>
      </c>
      <c r="AR724" s="1" t="s">
        <v>74</v>
      </c>
      <c r="AS724" s="1" t="s">
        <v>74</v>
      </c>
      <c r="AT724" s="1" t="s">
        <v>183</v>
      </c>
      <c r="AU724" s="1">
        <v>2005.0</v>
      </c>
      <c r="AV724" s="1">
        <v>12.0</v>
      </c>
      <c r="AW724" s="1">
        <v>5.0</v>
      </c>
      <c r="AX724" s="1" t="s">
        <v>74</v>
      </c>
      <c r="AY724" s="1" t="s">
        <v>74</v>
      </c>
      <c r="AZ724" s="1" t="s">
        <v>74</v>
      </c>
      <c r="BA724" s="1" t="s">
        <v>74</v>
      </c>
      <c r="BB724" s="1">
        <v>887.0</v>
      </c>
      <c r="BC724" s="1">
        <v>904.0</v>
      </c>
      <c r="BD724" s="1" t="s">
        <v>74</v>
      </c>
      <c r="BE724" s="1" t="s">
        <v>74</v>
      </c>
      <c r="BF724" s="1" t="s">
        <v>74</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6693</v>
      </c>
      <c r="BT724" s="1" t="str">
        <f>HYPERLINK("https%3A%2F%2Fwww.webofscience.com%2Fwos%2Fwoscc%2Ffull-record%2FWOS:000228560800006","View Full Record in Web of Science")</f>
        <v>View Full Record in Web of Science</v>
      </c>
    </row>
    <row r="725" ht="12.75" customHeight="1">
      <c r="A725" s="1" t="s">
        <v>72</v>
      </c>
      <c r="B725" s="1" t="s">
        <v>6694</v>
      </c>
      <c r="C725" s="1" t="s">
        <v>74</v>
      </c>
      <c r="D725" s="1" t="s">
        <v>74</v>
      </c>
      <c r="E725" s="1" t="s">
        <v>74</v>
      </c>
      <c r="F725" s="1" t="s">
        <v>6694</v>
      </c>
      <c r="G725" s="1" t="s">
        <v>74</v>
      </c>
      <c r="H725" s="1" t="s">
        <v>74</v>
      </c>
      <c r="I725" s="1" t="s">
        <v>6695</v>
      </c>
      <c r="J725" s="1" t="s">
        <v>6696</v>
      </c>
      <c r="K725" s="1" t="s">
        <v>74</v>
      </c>
      <c r="L725" s="1" t="s">
        <v>74</v>
      </c>
      <c r="M725" s="1" t="s">
        <v>74</v>
      </c>
      <c r="N725" s="1" t="s">
        <v>74</v>
      </c>
      <c r="O725" s="1" t="s">
        <v>74</v>
      </c>
      <c r="P725" s="1" t="s">
        <v>74</v>
      </c>
      <c r="Q725" s="1" t="s">
        <v>74</v>
      </c>
      <c r="R725" s="1" t="s">
        <v>74</v>
      </c>
      <c r="S725" s="1" t="s">
        <v>74</v>
      </c>
      <c r="T725" s="1" t="s">
        <v>74</v>
      </c>
      <c r="U725" s="1" t="s">
        <v>74</v>
      </c>
      <c r="V725" s="1" t="s">
        <v>6697</v>
      </c>
      <c r="W725" s="1" t="s">
        <v>74</v>
      </c>
      <c r="X725" s="1" t="s">
        <v>74</v>
      </c>
      <c r="Y725" s="1" t="s">
        <v>74</v>
      </c>
      <c r="Z725" s="1" t="s">
        <v>74</v>
      </c>
      <c r="AA725" s="1" t="s">
        <v>2435</v>
      </c>
      <c r="AB725" s="1" t="s">
        <v>2436</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6698</v>
      </c>
      <c r="AP725" s="1" t="s">
        <v>6699</v>
      </c>
      <c r="AQ725" s="1" t="s">
        <v>74</v>
      </c>
      <c r="AR725" s="1" t="s">
        <v>74</v>
      </c>
      <c r="AS725" s="1" t="s">
        <v>74</v>
      </c>
      <c r="AT725" s="1" t="s">
        <v>800</v>
      </c>
      <c r="AU725" s="1">
        <v>2004.0</v>
      </c>
      <c r="AV725" s="1">
        <v>227.0</v>
      </c>
      <c r="AW725" s="1" t="s">
        <v>6700</v>
      </c>
      <c r="AX725" s="1" t="s">
        <v>74</v>
      </c>
      <c r="AY725" s="1" t="s">
        <v>74</v>
      </c>
      <c r="AZ725" s="1" t="s">
        <v>74</v>
      </c>
      <c r="BA725" s="1" t="s">
        <v>74</v>
      </c>
      <c r="BB725" s="1">
        <v>175.0</v>
      </c>
      <c r="BC725" s="1">
        <v>186.0</v>
      </c>
      <c r="BD725" s="1" t="s">
        <v>74</v>
      </c>
      <c r="BE725" s="1" t="s">
        <v>6701</v>
      </c>
      <c r="BF725" s="2" t="str">
        <f>HYPERLINK("http://dx.doi.org/10.1016/j.apsusc.2003.11.065","http://dx.doi.org/10.1016/j.apsusc.2003.11.065")</f>
        <v>http://dx.doi.org/10.1016/j.apsusc.2003.11.065</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6702</v>
      </c>
      <c r="BT725" s="1" t="str">
        <f>HYPERLINK("https%3A%2F%2Fwww.webofscience.com%2Fwos%2Fwoscc%2Ffull-record%2FWOS:000220944100020","View Full Record in Web of Science")</f>
        <v>View Full Record in Web of Science</v>
      </c>
    </row>
    <row r="726" ht="12.75" customHeight="1">
      <c r="A726" s="1" t="s">
        <v>72</v>
      </c>
      <c r="B726" s="1" t="s">
        <v>6703</v>
      </c>
      <c r="C726" s="1" t="s">
        <v>74</v>
      </c>
      <c r="D726" s="1" t="s">
        <v>74</v>
      </c>
      <c r="E726" s="1" t="s">
        <v>74</v>
      </c>
      <c r="F726" s="1" t="s">
        <v>6703</v>
      </c>
      <c r="G726" s="1" t="s">
        <v>74</v>
      </c>
      <c r="H726" s="1" t="s">
        <v>74</v>
      </c>
      <c r="I726" s="1" t="s">
        <v>6704</v>
      </c>
      <c r="J726" s="1" t="s">
        <v>6705</v>
      </c>
      <c r="K726" s="1" t="s">
        <v>74</v>
      </c>
      <c r="L726" s="1" t="s">
        <v>74</v>
      </c>
      <c r="M726" s="1" t="s">
        <v>74</v>
      </c>
      <c r="N726" s="1" t="s">
        <v>74</v>
      </c>
      <c r="O726" s="1" t="s">
        <v>74</v>
      </c>
      <c r="P726" s="1" t="s">
        <v>74</v>
      </c>
      <c r="Q726" s="1" t="s">
        <v>74</v>
      </c>
      <c r="R726" s="1" t="s">
        <v>74</v>
      </c>
      <c r="S726" s="1" t="s">
        <v>74</v>
      </c>
      <c r="T726" s="1" t="s">
        <v>74</v>
      </c>
      <c r="U726" s="1" t="s">
        <v>74</v>
      </c>
      <c r="V726" s="1" t="s">
        <v>6706</v>
      </c>
      <c r="W726" s="1" t="s">
        <v>74</v>
      </c>
      <c r="X726" s="1" t="s">
        <v>74</v>
      </c>
      <c r="Y726" s="1" t="s">
        <v>74</v>
      </c>
      <c r="Z726" s="1" t="s">
        <v>74</v>
      </c>
      <c r="AA726" s="1" t="s">
        <v>6707</v>
      </c>
      <c r="AB726" s="1" t="s">
        <v>6708</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6709</v>
      </c>
      <c r="AP726" s="1" t="s">
        <v>74</v>
      </c>
      <c r="AQ726" s="1" t="s">
        <v>74</v>
      </c>
      <c r="AR726" s="1" t="s">
        <v>74</v>
      </c>
      <c r="AS726" s="1" t="s">
        <v>74</v>
      </c>
      <c r="AT726" s="1" t="s">
        <v>4526</v>
      </c>
      <c r="AU726" s="1">
        <v>2002.0</v>
      </c>
      <c r="AV726" s="1">
        <v>106.0</v>
      </c>
      <c r="AW726" s="1">
        <v>49.0</v>
      </c>
      <c r="AX726" s="1" t="s">
        <v>74</v>
      </c>
      <c r="AY726" s="1" t="s">
        <v>74</v>
      </c>
      <c r="AZ726" s="1" t="s">
        <v>74</v>
      </c>
      <c r="BA726" s="1" t="s">
        <v>74</v>
      </c>
      <c r="BB726" s="1">
        <v>11938.0</v>
      </c>
      <c r="BC726" s="1">
        <v>11944.0</v>
      </c>
      <c r="BD726" s="1" t="s">
        <v>74</v>
      </c>
      <c r="BE726" s="1" t="s">
        <v>6710</v>
      </c>
      <c r="BF726" s="2" t="str">
        <f>HYPERLINK("http://dx.doi.org/10.1021/jp0215973","http://dx.doi.org/10.1021/jp0215973")</f>
        <v>http://dx.doi.org/10.1021/jp0215973</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6711</v>
      </c>
      <c r="BT726" s="1" t="str">
        <f>HYPERLINK("https%3A%2F%2Fwww.webofscience.com%2Fwos%2Fwoscc%2Ffull-record%2FWOS:000179732000011","View Full Record in Web of Science")</f>
        <v>View Full Record in Web of Science</v>
      </c>
    </row>
    <row r="727" ht="12.75" customHeight="1">
      <c r="A727" s="1" t="s">
        <v>72</v>
      </c>
      <c r="B727" s="1" t="s">
        <v>6712</v>
      </c>
      <c r="C727" s="1" t="s">
        <v>74</v>
      </c>
      <c r="D727" s="1" t="s">
        <v>74</v>
      </c>
      <c r="E727" s="1" t="s">
        <v>74</v>
      </c>
      <c r="F727" s="1" t="s">
        <v>6712</v>
      </c>
      <c r="G727" s="1" t="s">
        <v>74</v>
      </c>
      <c r="H727" s="1" t="s">
        <v>74</v>
      </c>
      <c r="I727" s="1" t="s">
        <v>6713</v>
      </c>
      <c r="J727" s="1" t="s">
        <v>6714</v>
      </c>
      <c r="K727" s="1" t="s">
        <v>74</v>
      </c>
      <c r="L727" s="1" t="s">
        <v>74</v>
      </c>
      <c r="M727" s="1" t="s">
        <v>74</v>
      </c>
      <c r="N727" s="1" t="s">
        <v>74</v>
      </c>
      <c r="O727" s="1" t="s">
        <v>74</v>
      </c>
      <c r="P727" s="1" t="s">
        <v>74</v>
      </c>
      <c r="Q727" s="1" t="s">
        <v>74</v>
      </c>
      <c r="R727" s="1" t="s">
        <v>74</v>
      </c>
      <c r="S727" s="1" t="s">
        <v>74</v>
      </c>
      <c r="T727" s="1" t="s">
        <v>74</v>
      </c>
      <c r="U727" s="1" t="s">
        <v>74</v>
      </c>
      <c r="V727" s="1" t="s">
        <v>6715</v>
      </c>
      <c r="W727" s="1" t="s">
        <v>74</v>
      </c>
      <c r="X727" s="1" t="s">
        <v>74</v>
      </c>
      <c r="Y727" s="1" t="s">
        <v>74</v>
      </c>
      <c r="Z727" s="1" t="s">
        <v>74</v>
      </c>
      <c r="AA727" s="1" t="s">
        <v>6716</v>
      </c>
      <c r="AB727" s="1" t="s">
        <v>1018</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6717</v>
      </c>
      <c r="AP727" s="1" t="s">
        <v>74</v>
      </c>
      <c r="AQ727" s="1" t="s">
        <v>74</v>
      </c>
      <c r="AR727" s="1" t="s">
        <v>74</v>
      </c>
      <c r="AS727" s="1" t="s">
        <v>74</v>
      </c>
      <c r="AT727" s="1" t="s">
        <v>4578</v>
      </c>
      <c r="AU727" s="1">
        <v>2002.0</v>
      </c>
      <c r="AV727" s="1">
        <v>207.0</v>
      </c>
      <c r="AW727" s="1">
        <v>1.0</v>
      </c>
      <c r="AX727" s="1" t="s">
        <v>74</v>
      </c>
      <c r="AY727" s="1" t="s">
        <v>74</v>
      </c>
      <c r="AZ727" s="1" t="s">
        <v>74</v>
      </c>
      <c r="BA727" s="1" t="s">
        <v>74</v>
      </c>
      <c r="BB727" s="1">
        <v>1.0</v>
      </c>
      <c r="BC727" s="1">
        <v>16.0</v>
      </c>
      <c r="BD727" s="1" t="s">
        <v>6718</v>
      </c>
      <c r="BE727" s="1" t="s">
        <v>6719</v>
      </c>
      <c r="BF727" s="2" t="str">
        <f>HYPERLINK("http://dx.doi.org/10.1016/S0376-7388(01)00733-5","http://dx.doi.org/10.1016/S0376-7388(01)00733-5")</f>
        <v>http://dx.doi.org/10.1016/S0376-7388(01)00733-5</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6720</v>
      </c>
      <c r="BT727" s="1" t="str">
        <f>HYPERLINK("https%3A%2F%2Fwww.webofscience.com%2Fwos%2Fwoscc%2Ffull-record%2FWOS:000176872700001","View Full Record in Web of Science")</f>
        <v>View Full Record in Web of Science</v>
      </c>
    </row>
    <row r="728" ht="12.75" customHeight="1">
      <c r="A728" s="1" t="s">
        <v>72</v>
      </c>
      <c r="B728" s="1" t="s">
        <v>6721</v>
      </c>
      <c r="C728" s="1" t="s">
        <v>74</v>
      </c>
      <c r="D728" s="1" t="s">
        <v>74</v>
      </c>
      <c r="E728" s="1" t="s">
        <v>74</v>
      </c>
      <c r="F728" s="1" t="s">
        <v>6721</v>
      </c>
      <c r="G728" s="1" t="s">
        <v>74</v>
      </c>
      <c r="H728" s="1" t="s">
        <v>74</v>
      </c>
      <c r="I728" s="1" t="s">
        <v>6722</v>
      </c>
      <c r="J728" s="1" t="s">
        <v>1042</v>
      </c>
      <c r="K728" s="1" t="s">
        <v>74</v>
      </c>
      <c r="L728" s="1" t="s">
        <v>74</v>
      </c>
      <c r="M728" s="1" t="s">
        <v>74</v>
      </c>
      <c r="N728" s="1" t="s">
        <v>74</v>
      </c>
      <c r="O728" s="1" t="s">
        <v>74</v>
      </c>
      <c r="P728" s="1" t="s">
        <v>74</v>
      </c>
      <c r="Q728" s="1" t="s">
        <v>74</v>
      </c>
      <c r="R728" s="1" t="s">
        <v>74</v>
      </c>
      <c r="S728" s="1" t="s">
        <v>74</v>
      </c>
      <c r="T728" s="1" t="s">
        <v>74</v>
      </c>
      <c r="U728" s="1" t="s">
        <v>74</v>
      </c>
      <c r="V728" s="1" t="s">
        <v>6723</v>
      </c>
      <c r="W728" s="1" t="s">
        <v>74</v>
      </c>
      <c r="X728" s="1" t="s">
        <v>74</v>
      </c>
      <c r="Y728" s="1" t="s">
        <v>74</v>
      </c>
      <c r="Z728" s="1" t="s">
        <v>74</v>
      </c>
      <c r="AA728" s="1" t="s">
        <v>6724</v>
      </c>
      <c r="AB728" s="1" t="s">
        <v>6725</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1043</v>
      </c>
      <c r="AP728" s="1" t="s">
        <v>74</v>
      </c>
      <c r="AQ728" s="1" t="s">
        <v>74</v>
      </c>
      <c r="AR728" s="1" t="s">
        <v>74</v>
      </c>
      <c r="AS728" s="1" t="s">
        <v>74</v>
      </c>
      <c r="AT728" s="1" t="s">
        <v>106</v>
      </c>
      <c r="AU728" s="1">
        <v>2001.0</v>
      </c>
      <c r="AV728" s="1">
        <v>46.0</v>
      </c>
      <c r="AW728" s="1">
        <v>3.0</v>
      </c>
      <c r="AX728" s="1" t="s">
        <v>74</v>
      </c>
      <c r="AY728" s="1" t="s">
        <v>74</v>
      </c>
      <c r="AZ728" s="1" t="s">
        <v>74</v>
      </c>
      <c r="BA728" s="1" t="s">
        <v>74</v>
      </c>
      <c r="BB728" s="1">
        <v>247.0</v>
      </c>
      <c r="BC728" s="1">
        <v>255.0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6726</v>
      </c>
      <c r="BT728" s="1" t="str">
        <f>HYPERLINK("https%3A%2F%2Fwww.webofscience.com%2Fwos%2Fwoscc%2Ffull-record%2FWOS:000172210200003","View Full Record in Web of Science")</f>
        <v>View Full Record in Web of Science</v>
      </c>
    </row>
    <row r="729" ht="12.75" customHeight="1">
      <c r="A729" s="1" t="s">
        <v>72</v>
      </c>
      <c r="B729" s="1" t="s">
        <v>6727</v>
      </c>
      <c r="C729" s="1" t="s">
        <v>74</v>
      </c>
      <c r="D729" s="1" t="s">
        <v>74</v>
      </c>
      <c r="E729" s="1" t="s">
        <v>74</v>
      </c>
      <c r="F729" s="1" t="s">
        <v>6727</v>
      </c>
      <c r="G729" s="1" t="s">
        <v>74</v>
      </c>
      <c r="H729" s="1" t="s">
        <v>74</v>
      </c>
      <c r="I729" s="1" t="s">
        <v>6728</v>
      </c>
      <c r="J729" s="1" t="s">
        <v>6729</v>
      </c>
      <c r="K729" s="1" t="s">
        <v>74</v>
      </c>
      <c r="L729" s="1" t="s">
        <v>74</v>
      </c>
      <c r="M729" s="1" t="s">
        <v>74</v>
      </c>
      <c r="N729" s="1" t="s">
        <v>74</v>
      </c>
      <c r="O729" s="1" t="s">
        <v>74</v>
      </c>
      <c r="P729" s="1" t="s">
        <v>74</v>
      </c>
      <c r="Q729" s="1" t="s">
        <v>74</v>
      </c>
      <c r="R729" s="1" t="s">
        <v>74</v>
      </c>
      <c r="S729" s="1" t="s">
        <v>74</v>
      </c>
      <c r="T729" s="1" t="s">
        <v>74</v>
      </c>
      <c r="U729" s="1" t="s">
        <v>74</v>
      </c>
      <c r="V729" s="1" t="s">
        <v>6730</v>
      </c>
      <c r="W729" s="1" t="s">
        <v>74</v>
      </c>
      <c r="X729" s="1" t="s">
        <v>74</v>
      </c>
      <c r="Y729" s="1" t="s">
        <v>74</v>
      </c>
      <c r="Z729" s="1" t="s">
        <v>74</v>
      </c>
      <c r="AA729" s="1" t="s">
        <v>6731</v>
      </c>
      <c r="AB729" s="1" t="s">
        <v>6732</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6733</v>
      </c>
      <c r="AP729" s="1" t="s">
        <v>74</v>
      </c>
      <c r="AQ729" s="1" t="s">
        <v>74</v>
      </c>
      <c r="AR729" s="1" t="s">
        <v>74</v>
      </c>
      <c r="AS729" s="1" t="s">
        <v>74</v>
      </c>
      <c r="AT729" s="1" t="s">
        <v>5239</v>
      </c>
      <c r="AU729" s="1">
        <v>1999.0</v>
      </c>
      <c r="AV729" s="1">
        <v>34.0</v>
      </c>
      <c r="AW729" s="1">
        <v>1.0</v>
      </c>
      <c r="AX729" s="1" t="s">
        <v>74</v>
      </c>
      <c r="AY729" s="1" t="s">
        <v>74</v>
      </c>
      <c r="AZ729" s="1" t="s">
        <v>74</v>
      </c>
      <c r="BA729" s="1" t="s">
        <v>74</v>
      </c>
      <c r="BB729" s="1">
        <v>147.0</v>
      </c>
      <c r="BC729" s="1">
        <v>153.0</v>
      </c>
      <c r="BD729" s="1" t="s">
        <v>74</v>
      </c>
      <c r="BE729" s="1" t="s">
        <v>6734</v>
      </c>
      <c r="BF729" s="2" t="str">
        <f>HYPERLINK("http://dx.doi.org/10.1023/A:1004402700036","http://dx.doi.org/10.1023/A:1004402700036")</f>
        <v>http://dx.doi.org/10.1023/A:1004402700036</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6735</v>
      </c>
      <c r="BT729" s="1" t="str">
        <f>HYPERLINK("https%3A%2F%2Fwww.webofscience.com%2Fwos%2Fwoscc%2Ffull-record%2FWOS:000078972100020","View Full Record in Web of Science")</f>
        <v>View Full Record in Web of Science</v>
      </c>
    </row>
    <row r="730" ht="12.75" customHeight="1">
      <c r="A730" s="1" t="s">
        <v>72</v>
      </c>
      <c r="B730" s="1" t="s">
        <v>6736</v>
      </c>
      <c r="C730" s="1" t="s">
        <v>74</v>
      </c>
      <c r="D730" s="1" t="s">
        <v>74</v>
      </c>
      <c r="E730" s="1" t="s">
        <v>74</v>
      </c>
      <c r="F730" s="1" t="s">
        <v>6736</v>
      </c>
      <c r="G730" s="1" t="s">
        <v>74</v>
      </c>
      <c r="H730" s="1" t="s">
        <v>74</v>
      </c>
      <c r="I730" s="1" t="s">
        <v>6737</v>
      </c>
      <c r="J730" s="1" t="s">
        <v>1913</v>
      </c>
      <c r="K730" s="1" t="s">
        <v>74</v>
      </c>
      <c r="L730" s="1" t="s">
        <v>74</v>
      </c>
      <c r="M730" s="1" t="s">
        <v>74</v>
      </c>
      <c r="N730" s="1" t="s">
        <v>74</v>
      </c>
      <c r="O730" s="1" t="s">
        <v>74</v>
      </c>
      <c r="P730" s="1" t="s">
        <v>74</v>
      </c>
      <c r="Q730" s="1" t="s">
        <v>74</v>
      </c>
      <c r="R730" s="1" t="s">
        <v>74</v>
      </c>
      <c r="S730" s="1" t="s">
        <v>74</v>
      </c>
      <c r="T730" s="1" t="s">
        <v>74</v>
      </c>
      <c r="U730" s="1" t="s">
        <v>74</v>
      </c>
      <c r="V730" s="1" t="s">
        <v>6738</v>
      </c>
      <c r="W730" s="1" t="s">
        <v>74</v>
      </c>
      <c r="X730" s="1" t="s">
        <v>74</v>
      </c>
      <c r="Y730" s="1" t="s">
        <v>74</v>
      </c>
      <c r="Z730" s="1" t="s">
        <v>74</v>
      </c>
      <c r="AA730" s="1" t="s">
        <v>6739</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1915</v>
      </c>
      <c r="AP730" s="1" t="s">
        <v>74</v>
      </c>
      <c r="AQ730" s="1" t="s">
        <v>74</v>
      </c>
      <c r="AR730" s="1" t="s">
        <v>74</v>
      </c>
      <c r="AS730" s="1" t="s">
        <v>74</v>
      </c>
      <c r="AT730" s="1" t="s">
        <v>848</v>
      </c>
      <c r="AU730" s="1">
        <v>1996.0</v>
      </c>
      <c r="AV730" s="1">
        <v>84.0</v>
      </c>
      <c r="AW730" s="1">
        <v>1.0</v>
      </c>
      <c r="AX730" s="1" t="s">
        <v>74</v>
      </c>
      <c r="AY730" s="1" t="s">
        <v>74</v>
      </c>
      <c r="AZ730" s="1" t="s">
        <v>74</v>
      </c>
      <c r="BA730" s="1" t="s">
        <v>74</v>
      </c>
      <c r="BB730" s="1">
        <v>35.0</v>
      </c>
      <c r="BC730" s="1">
        <v>45.0</v>
      </c>
      <c r="BD730" s="1" t="s">
        <v>74</v>
      </c>
      <c r="BE730" s="1" t="s">
        <v>6740</v>
      </c>
      <c r="BF730" s="2" t="str">
        <f>HYPERLINK("http://dx.doi.org/10.1016/S0009-3084(96)02617-5","http://dx.doi.org/10.1016/S0009-3084(96)02617-5")</f>
        <v>http://dx.doi.org/10.1016/S0009-3084(96)02617-5</v>
      </c>
      <c r="BG730" s="1" t="s">
        <v>74</v>
      </c>
      <c r="BH730" s="1" t="s">
        <v>74</v>
      </c>
      <c r="BI730" s="1" t="s">
        <v>74</v>
      </c>
      <c r="BJ730" s="1" t="s">
        <v>74</v>
      </c>
      <c r="BK730" s="1" t="s">
        <v>74</v>
      </c>
      <c r="BL730" s="1" t="s">
        <v>74</v>
      </c>
      <c r="BM730" s="1" t="s">
        <v>74</v>
      </c>
      <c r="BN730" s="1">
        <v>8952051.0</v>
      </c>
      <c r="BO730" s="1" t="s">
        <v>74</v>
      </c>
      <c r="BP730" s="1" t="s">
        <v>74</v>
      </c>
      <c r="BQ730" s="1" t="s">
        <v>74</v>
      </c>
      <c r="BR730" s="1" t="s">
        <v>74</v>
      </c>
      <c r="BS730" s="1" t="s">
        <v>6741</v>
      </c>
      <c r="BT730" s="1" t="str">
        <f>HYPERLINK("https%3A%2F%2Fwww.webofscience.com%2Fwos%2Fwoscc%2Ffull-record%2FWOS:A1996VV09000004","View Full Record in Web of Science")</f>
        <v>View Full Record in Web of Science</v>
      </c>
    </row>
    <row r="731" ht="12.75" customHeight="1">
      <c r="A731" s="1" t="s">
        <v>72</v>
      </c>
      <c r="B731" s="1" t="s">
        <v>6742</v>
      </c>
      <c r="C731" s="1" t="s">
        <v>74</v>
      </c>
      <c r="D731" s="1" t="s">
        <v>74</v>
      </c>
      <c r="E731" s="1" t="s">
        <v>74</v>
      </c>
      <c r="F731" s="1" t="s">
        <v>6742</v>
      </c>
      <c r="G731" s="1" t="s">
        <v>74</v>
      </c>
      <c r="H731" s="1" t="s">
        <v>74</v>
      </c>
      <c r="I731" s="1" t="s">
        <v>6743</v>
      </c>
      <c r="J731" s="1" t="s">
        <v>6744</v>
      </c>
      <c r="K731" s="1" t="s">
        <v>74</v>
      </c>
      <c r="L731" s="1" t="s">
        <v>74</v>
      </c>
      <c r="M731" s="1" t="s">
        <v>74</v>
      </c>
      <c r="N731" s="1" t="s">
        <v>74</v>
      </c>
      <c r="O731" s="1" t="s">
        <v>74</v>
      </c>
      <c r="P731" s="1" t="s">
        <v>74</v>
      </c>
      <c r="Q731" s="1" t="s">
        <v>74</v>
      </c>
      <c r="R731" s="1" t="s">
        <v>74</v>
      </c>
      <c r="S731" s="1" t="s">
        <v>74</v>
      </c>
      <c r="T731" s="1" t="s">
        <v>74</v>
      </c>
      <c r="U731" s="1" t="s">
        <v>74</v>
      </c>
      <c r="V731" s="1" t="s">
        <v>6745</v>
      </c>
      <c r="W731" s="1" t="s">
        <v>74</v>
      </c>
      <c r="X731" s="1" t="s">
        <v>74</v>
      </c>
      <c r="Y731" s="1" t="s">
        <v>74</v>
      </c>
      <c r="Z731" s="1" t="s">
        <v>74</v>
      </c>
      <c r="AA731" s="1" t="s">
        <v>6746</v>
      </c>
      <c r="AB731" s="1" t="s">
        <v>6747</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6748</v>
      </c>
      <c r="AP731" s="1" t="s">
        <v>74</v>
      </c>
      <c r="AQ731" s="1" t="s">
        <v>74</v>
      </c>
      <c r="AR731" s="1" t="s">
        <v>74</v>
      </c>
      <c r="AS731" s="1" t="s">
        <v>74</v>
      </c>
      <c r="AT731" s="1" t="s">
        <v>319</v>
      </c>
      <c r="AU731" s="1">
        <v>1996.0</v>
      </c>
      <c r="AV731" s="1">
        <v>29.0</v>
      </c>
      <c r="AW731" s="1" t="s">
        <v>3901</v>
      </c>
      <c r="AX731" s="1" t="s">
        <v>74</v>
      </c>
      <c r="AY731" s="1" t="s">
        <v>74</v>
      </c>
      <c r="AZ731" s="1" t="s">
        <v>74</v>
      </c>
      <c r="BA731" s="1" t="s">
        <v>74</v>
      </c>
      <c r="BB731" s="1">
        <v>309.0</v>
      </c>
      <c r="BC731" s="1">
        <v>312.0</v>
      </c>
      <c r="BD731" s="1" t="s">
        <v>74</v>
      </c>
      <c r="BE731" s="1" t="s">
        <v>6749</v>
      </c>
      <c r="BF731" s="2" t="str">
        <f>HYPERLINK("http://dx.doi.org/10.1016/0166-3542(96)80226-9","http://dx.doi.org/10.1016/0166-3542(96)80226-9")</f>
        <v>http://dx.doi.org/10.1016/0166-3542(96)80226-9</v>
      </c>
      <c r="BG731" s="1" t="s">
        <v>74</v>
      </c>
      <c r="BH731" s="1" t="s">
        <v>74</v>
      </c>
      <c r="BI731" s="1" t="s">
        <v>74</v>
      </c>
      <c r="BJ731" s="1" t="s">
        <v>74</v>
      </c>
      <c r="BK731" s="1" t="s">
        <v>74</v>
      </c>
      <c r="BL731" s="1" t="s">
        <v>74</v>
      </c>
      <c r="BM731" s="1" t="s">
        <v>74</v>
      </c>
      <c r="BN731" s="1">
        <v>8739609.0</v>
      </c>
      <c r="BO731" s="1" t="s">
        <v>74</v>
      </c>
      <c r="BP731" s="1" t="s">
        <v>74</v>
      </c>
      <c r="BQ731" s="1" t="s">
        <v>74</v>
      </c>
      <c r="BR731" s="1" t="s">
        <v>74</v>
      </c>
      <c r="BS731" s="1" t="s">
        <v>6750</v>
      </c>
      <c r="BT731" s="1" t="str">
        <f>HYPERLINK("https%3A%2F%2Fwww.webofscience.com%2Fwos%2Fwoscc%2Ffull-record%2FWOS:A1996UJ97600017","View Full Record in Web of Science")</f>
        <v>View Full Record in Web of Science</v>
      </c>
    </row>
    <row r="732" ht="12.75" customHeight="1">
      <c r="A732" s="1" t="s">
        <v>72</v>
      </c>
      <c r="B732" s="1" t="s">
        <v>6751</v>
      </c>
      <c r="C732" s="1" t="s">
        <v>74</v>
      </c>
      <c r="D732" s="1" t="s">
        <v>74</v>
      </c>
      <c r="E732" s="1" t="s">
        <v>74</v>
      </c>
      <c r="F732" s="1" t="s">
        <v>6751</v>
      </c>
      <c r="G732" s="1" t="s">
        <v>74</v>
      </c>
      <c r="H732" s="1" t="s">
        <v>74</v>
      </c>
      <c r="I732" s="1" t="s">
        <v>6752</v>
      </c>
      <c r="J732" s="1" t="s">
        <v>6753</v>
      </c>
      <c r="K732" s="1" t="s">
        <v>74</v>
      </c>
      <c r="L732" s="1" t="s">
        <v>74</v>
      </c>
      <c r="M732" s="1" t="s">
        <v>74</v>
      </c>
      <c r="N732" s="1" t="s">
        <v>74</v>
      </c>
      <c r="O732" s="1" t="s">
        <v>6754</v>
      </c>
      <c r="P732" s="1" t="s">
        <v>6755</v>
      </c>
      <c r="Q732" s="1" t="s">
        <v>6756</v>
      </c>
      <c r="R732" s="1" t="s">
        <v>6757</v>
      </c>
      <c r="S732" s="1" t="s">
        <v>6758</v>
      </c>
      <c r="T732" s="1" t="s">
        <v>74</v>
      </c>
      <c r="U732" s="1" t="s">
        <v>74</v>
      </c>
      <c r="V732" s="1" t="s">
        <v>74</v>
      </c>
      <c r="W732" s="1" t="s">
        <v>74</v>
      </c>
      <c r="X732" s="1" t="s">
        <v>74</v>
      </c>
      <c r="Y732" s="1" t="s">
        <v>74</v>
      </c>
      <c r="Z732" s="1" t="s">
        <v>74</v>
      </c>
      <c r="AA732" s="1" t="s">
        <v>6759</v>
      </c>
      <c r="AB732" s="1" t="s">
        <v>6760</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6761</v>
      </c>
      <c r="AP732" s="1" t="s">
        <v>74</v>
      </c>
      <c r="AQ732" s="1" t="s">
        <v>74</v>
      </c>
      <c r="AR732" s="1" t="s">
        <v>74</v>
      </c>
      <c r="AS732" s="1" t="s">
        <v>74</v>
      </c>
      <c r="AT732" s="1" t="s">
        <v>174</v>
      </c>
      <c r="AU732" s="1">
        <v>1990.0</v>
      </c>
      <c r="AV732" s="1">
        <v>228.0</v>
      </c>
      <c r="AW732" s="1" t="s">
        <v>6762</v>
      </c>
      <c r="AX732" s="1" t="s">
        <v>74</v>
      </c>
      <c r="AY732" s="1" t="s">
        <v>74</v>
      </c>
      <c r="AZ732" s="1" t="s">
        <v>74</v>
      </c>
      <c r="BA732" s="1" t="s">
        <v>74</v>
      </c>
      <c r="BB732" s="1">
        <v>486.0</v>
      </c>
      <c r="BC732" s="1">
        <v>488.0</v>
      </c>
      <c r="BD732" s="1" t="s">
        <v>74</v>
      </c>
      <c r="BE732" s="1" t="s">
        <v>6763</v>
      </c>
      <c r="BF732" s="2" t="str">
        <f>HYPERLINK("http://dx.doi.org/10.1016/0039-6028(90)90359-G","http://dx.doi.org/10.1016/0039-6028(90)90359-G")</f>
        <v>http://dx.doi.org/10.1016/0039-6028(90)90359-G</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6764</v>
      </c>
      <c r="BT732" s="1" t="str">
        <f>HYPERLINK("https%3A%2F%2Fwww.webofscience.com%2Fwos%2Fwoscc%2Ffull-record%2FWOS:A1990DD08600116","View Full Record in Web of Science")</f>
        <v>View Full Record in Web of Science</v>
      </c>
    </row>
    <row r="733" ht="12.75" customHeight="1">
      <c r="A733" s="1" t="s">
        <v>72</v>
      </c>
      <c r="B733" s="1" t="s">
        <v>6765</v>
      </c>
      <c r="C733" s="1" t="s">
        <v>74</v>
      </c>
      <c r="D733" s="1" t="s">
        <v>74</v>
      </c>
      <c r="E733" s="1" t="s">
        <v>74</v>
      </c>
      <c r="F733" s="1" t="s">
        <v>6765</v>
      </c>
      <c r="G733" s="1" t="s">
        <v>74</v>
      </c>
      <c r="H733" s="1" t="s">
        <v>74</v>
      </c>
      <c r="I733" s="1" t="s">
        <v>6766</v>
      </c>
      <c r="J733" s="1" t="s">
        <v>6767</v>
      </c>
      <c r="K733" s="1" t="s">
        <v>74</v>
      </c>
      <c r="L733" s="1" t="s">
        <v>74</v>
      </c>
      <c r="M733" s="1" t="s">
        <v>74</v>
      </c>
      <c r="N733" s="1" t="s">
        <v>74</v>
      </c>
      <c r="O733" s="1" t="s">
        <v>74</v>
      </c>
      <c r="P733" s="1" t="s">
        <v>74</v>
      </c>
      <c r="Q733" s="1" t="s">
        <v>74</v>
      </c>
      <c r="R733" s="1" t="s">
        <v>74</v>
      </c>
      <c r="S733" s="1" t="s">
        <v>74</v>
      </c>
      <c r="T733" s="1" t="s">
        <v>74</v>
      </c>
      <c r="U733" s="1" t="s">
        <v>74</v>
      </c>
      <c r="V733" s="1" t="s">
        <v>6768</v>
      </c>
      <c r="W733" s="1" t="s">
        <v>74</v>
      </c>
      <c r="X733" s="1" t="s">
        <v>74</v>
      </c>
      <c r="Y733" s="1" t="s">
        <v>74</v>
      </c>
      <c r="Z733" s="1" t="s">
        <v>74</v>
      </c>
      <c r="AA733" s="1" t="s">
        <v>74</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6769</v>
      </c>
      <c r="AP733" s="1" t="s">
        <v>6770</v>
      </c>
      <c r="AQ733" s="1" t="s">
        <v>74</v>
      </c>
      <c r="AR733" s="1" t="s">
        <v>74</v>
      </c>
      <c r="AS733" s="1" t="s">
        <v>74</v>
      </c>
      <c r="AT733" s="1" t="s">
        <v>116</v>
      </c>
      <c r="AU733" s="1">
        <v>1989.0</v>
      </c>
      <c r="AV733" s="1">
        <v>84.0</v>
      </c>
      <c r="AW733" s="1">
        <v>1.0</v>
      </c>
      <c r="AX733" s="1" t="s">
        <v>74</v>
      </c>
      <c r="AY733" s="1" t="s">
        <v>74</v>
      </c>
      <c r="AZ733" s="1" t="s">
        <v>74</v>
      </c>
      <c r="BA733" s="1" t="s">
        <v>74</v>
      </c>
      <c r="BB733" s="1">
        <v>7.0</v>
      </c>
      <c r="BC733" s="1">
        <v>17.0</v>
      </c>
      <c r="BD733" s="1" t="s">
        <v>74</v>
      </c>
      <c r="BE733" s="1" t="s">
        <v>74</v>
      </c>
      <c r="BF733" s="1" t="s">
        <v>74</v>
      </c>
      <c r="BG733" s="1" t="s">
        <v>74</v>
      </c>
      <c r="BH733" s="1" t="s">
        <v>74</v>
      </c>
      <c r="BI733" s="1" t="s">
        <v>74</v>
      </c>
      <c r="BJ733" s="1" t="s">
        <v>74</v>
      </c>
      <c r="BK733" s="1" t="s">
        <v>74</v>
      </c>
      <c r="BL733" s="1" t="s">
        <v>74</v>
      </c>
      <c r="BM733" s="1" t="s">
        <v>74</v>
      </c>
      <c r="BN733" s="1">
        <v>2472596.0</v>
      </c>
      <c r="BO733" s="1" t="s">
        <v>74</v>
      </c>
      <c r="BP733" s="1" t="s">
        <v>74</v>
      </c>
      <c r="BQ733" s="1" t="s">
        <v>74</v>
      </c>
      <c r="BR733" s="1" t="s">
        <v>74</v>
      </c>
      <c r="BS733" s="1" t="s">
        <v>6771</v>
      </c>
      <c r="BT733" s="1" t="str">
        <f>HYPERLINK("https%3A%2F%2Fwww.webofscience.com%2Fwos%2Fwoscc%2Ffull-record%2FWOS:A1989AD93400002","View Full Record in Web of Science")</f>
        <v>View Full Record in Web of Science</v>
      </c>
    </row>
    <row r="734" ht="12.75" customHeight="1">
      <c r="A734" s="1" t="s">
        <v>72</v>
      </c>
      <c r="B734" s="1" t="s">
        <v>6772</v>
      </c>
      <c r="C734" s="1" t="s">
        <v>74</v>
      </c>
      <c r="D734" s="1" t="s">
        <v>74</v>
      </c>
      <c r="E734" s="1" t="s">
        <v>74</v>
      </c>
      <c r="F734" s="1" t="s">
        <v>6772</v>
      </c>
      <c r="G734" s="1" t="s">
        <v>74</v>
      </c>
      <c r="H734" s="1" t="s">
        <v>74</v>
      </c>
      <c r="I734" s="1" t="s">
        <v>6773</v>
      </c>
      <c r="J734" s="1" t="s">
        <v>6774</v>
      </c>
      <c r="K734" s="1" t="s">
        <v>74</v>
      </c>
      <c r="L734" s="1" t="s">
        <v>74</v>
      </c>
      <c r="M734" s="1" t="s">
        <v>74</v>
      </c>
      <c r="N734" s="1" t="s">
        <v>74</v>
      </c>
      <c r="O734" s="1" t="s">
        <v>74</v>
      </c>
      <c r="P734" s="1" t="s">
        <v>74</v>
      </c>
      <c r="Q734" s="1" t="s">
        <v>74</v>
      </c>
      <c r="R734" s="1" t="s">
        <v>74</v>
      </c>
      <c r="S734" s="1" t="s">
        <v>74</v>
      </c>
      <c r="T734" s="1" t="s">
        <v>74</v>
      </c>
      <c r="U734" s="1" t="s">
        <v>74</v>
      </c>
      <c r="V734" s="1" t="s">
        <v>74</v>
      </c>
      <c r="W734" s="1" t="s">
        <v>74</v>
      </c>
      <c r="X734" s="1" t="s">
        <v>74</v>
      </c>
      <c r="Y734" s="1" t="s">
        <v>74</v>
      </c>
      <c r="Z734" s="1" t="s">
        <v>74</v>
      </c>
      <c r="AA734" s="1" t="s">
        <v>6775</v>
      </c>
      <c r="AB734" s="1" t="s">
        <v>6776</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6777</v>
      </c>
      <c r="AP734" s="1" t="s">
        <v>74</v>
      </c>
      <c r="AQ734" s="1" t="s">
        <v>74</v>
      </c>
      <c r="AR734" s="1" t="s">
        <v>74</v>
      </c>
      <c r="AS734" s="1" t="s">
        <v>74</v>
      </c>
      <c r="AT734" s="1" t="s">
        <v>74</v>
      </c>
      <c r="AU734" s="1">
        <v>1983.0</v>
      </c>
      <c r="AV734" s="1">
        <v>87.0</v>
      </c>
      <c r="AW734" s="1">
        <v>25.0</v>
      </c>
      <c r="AX734" s="1" t="s">
        <v>74</v>
      </c>
      <c r="AY734" s="1" t="s">
        <v>74</v>
      </c>
      <c r="AZ734" s="1" t="s">
        <v>74</v>
      </c>
      <c r="BA734" s="1" t="s">
        <v>74</v>
      </c>
      <c r="BB734" s="1">
        <v>5166.0</v>
      </c>
      <c r="BC734" s="1">
        <v>5172.0</v>
      </c>
      <c r="BD734" s="1" t="s">
        <v>74</v>
      </c>
      <c r="BE734" s="1" t="s">
        <v>6778</v>
      </c>
      <c r="BF734" s="2" t="str">
        <f>HYPERLINK("http://dx.doi.org/10.1021/j150643a021","http://dx.doi.org/10.1021/j150643a021")</f>
        <v>http://dx.doi.org/10.1021/j150643a021</v>
      </c>
      <c r="BG734" s="1" t="s">
        <v>74</v>
      </c>
      <c r="BH734" s="1" t="s">
        <v>74</v>
      </c>
      <c r="BI734" s="1" t="s">
        <v>74</v>
      </c>
      <c r="BJ734" s="1" t="s">
        <v>74</v>
      </c>
      <c r="BK734" s="1" t="s">
        <v>74</v>
      </c>
      <c r="BL734" s="1" t="s">
        <v>74</v>
      </c>
      <c r="BM734" s="1" t="s">
        <v>74</v>
      </c>
      <c r="BN734" s="1" t="s">
        <v>74</v>
      </c>
      <c r="BO734" s="1" t="s">
        <v>74</v>
      </c>
      <c r="BP734" s="1" t="s">
        <v>74</v>
      </c>
      <c r="BQ734" s="1" t="s">
        <v>74</v>
      </c>
      <c r="BR734" s="1" t="s">
        <v>74</v>
      </c>
      <c r="BS734" s="1" t="s">
        <v>6779</v>
      </c>
      <c r="BT734" s="1" t="str">
        <f>HYPERLINK("https%3A%2F%2Fwww.webofscience.com%2Fwos%2Fwoscc%2Ffull-record%2FWOS:A1983RU43800021","View Full Record in Web of Science")</f>
        <v>View Full Record in Web of Science</v>
      </c>
    </row>
    <row r="735" ht="12.75" customHeight="1">
      <c r="A735" s="1" t="s">
        <v>72</v>
      </c>
      <c r="B735" s="1" t="s">
        <v>6780</v>
      </c>
      <c r="C735" s="1" t="s">
        <v>74</v>
      </c>
      <c r="D735" s="1" t="s">
        <v>74</v>
      </c>
      <c r="E735" s="1" t="s">
        <v>74</v>
      </c>
      <c r="F735" s="1" t="s">
        <v>6780</v>
      </c>
      <c r="G735" s="1" t="s">
        <v>74</v>
      </c>
      <c r="H735" s="1" t="s">
        <v>74</v>
      </c>
      <c r="I735" s="1" t="s">
        <v>6781</v>
      </c>
      <c r="J735" s="1" t="s">
        <v>1891</v>
      </c>
      <c r="K735" s="1" t="s">
        <v>74</v>
      </c>
      <c r="L735" s="1" t="s">
        <v>74</v>
      </c>
      <c r="M735" s="1" t="s">
        <v>74</v>
      </c>
      <c r="N735" s="1" t="s">
        <v>74</v>
      </c>
      <c r="O735" s="1" t="s">
        <v>74</v>
      </c>
      <c r="P735" s="1" t="s">
        <v>74</v>
      </c>
      <c r="Q735" s="1" t="s">
        <v>74</v>
      </c>
      <c r="R735" s="1" t="s">
        <v>74</v>
      </c>
      <c r="S735" s="1" t="s">
        <v>74</v>
      </c>
      <c r="T735" s="1" t="s">
        <v>74</v>
      </c>
      <c r="U735" s="1" t="s">
        <v>74</v>
      </c>
      <c r="V735" s="1" t="s">
        <v>74</v>
      </c>
      <c r="W735" s="1" t="s">
        <v>74</v>
      </c>
      <c r="X735" s="1" t="s">
        <v>74</v>
      </c>
      <c r="Y735" s="1" t="s">
        <v>74</v>
      </c>
      <c r="Z735" s="1" t="s">
        <v>74</v>
      </c>
      <c r="AA735" s="1" t="s">
        <v>74</v>
      </c>
      <c r="AB735" s="1" t="s">
        <v>6782</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1893</v>
      </c>
      <c r="AP735" s="1" t="s">
        <v>74</v>
      </c>
      <c r="AQ735" s="1" t="s">
        <v>74</v>
      </c>
      <c r="AR735" s="1" t="s">
        <v>74</v>
      </c>
      <c r="AS735" s="1" t="s">
        <v>74</v>
      </c>
      <c r="AT735" s="1" t="s">
        <v>74</v>
      </c>
      <c r="AU735" s="1">
        <v>1983.0</v>
      </c>
      <c r="AV735" s="1">
        <v>21.0</v>
      </c>
      <c r="AW735" s="1">
        <v>8.0</v>
      </c>
      <c r="AX735" s="1" t="s">
        <v>74</v>
      </c>
      <c r="AY735" s="1" t="s">
        <v>74</v>
      </c>
      <c r="AZ735" s="1" t="s">
        <v>74</v>
      </c>
      <c r="BA735" s="1" t="s">
        <v>74</v>
      </c>
      <c r="BB735" s="1">
        <v>2197.0</v>
      </c>
      <c r="BC735" s="1">
        <v>2202.0</v>
      </c>
      <c r="BD735" s="1" t="s">
        <v>74</v>
      </c>
      <c r="BE735" s="1" t="s">
        <v>6783</v>
      </c>
      <c r="BF735" s="2" t="str">
        <f>HYPERLINK("http://dx.doi.org/10.1002/pol.1983.170210804","http://dx.doi.org/10.1002/pol.1983.170210804")</f>
        <v>http://dx.doi.org/10.1002/pol.1983.170210804</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6784</v>
      </c>
      <c r="BT735" s="1" t="str">
        <f>HYPERLINK("https%3A%2F%2Fwww.webofscience.com%2Fwos%2Fwoscc%2Ffull-record%2FWOS:A1983RC05500004","View Full Record in Web of Science")</f>
        <v>View Full Record in Web of Science</v>
      </c>
    </row>
    <row r="736" ht="12.75" customHeight="1">
      <c r="A736" s="1" t="s">
        <v>72</v>
      </c>
      <c r="B736" s="1" t="s">
        <v>6785</v>
      </c>
      <c r="C736" s="1" t="s">
        <v>74</v>
      </c>
      <c r="D736" s="1" t="s">
        <v>74</v>
      </c>
      <c r="E736" s="1" t="s">
        <v>74</v>
      </c>
      <c r="F736" s="1" t="s">
        <v>6786</v>
      </c>
      <c r="G736" s="1" t="s">
        <v>74</v>
      </c>
      <c r="H736" s="1" t="s">
        <v>74</v>
      </c>
      <c r="I736" s="1" t="s">
        <v>6787</v>
      </c>
      <c r="J736" s="1" t="s">
        <v>6788</v>
      </c>
      <c r="K736" s="1" t="s">
        <v>74</v>
      </c>
      <c r="L736" s="1" t="s">
        <v>74</v>
      </c>
      <c r="M736" s="1" t="s">
        <v>74</v>
      </c>
      <c r="N736" s="1" t="s">
        <v>74</v>
      </c>
      <c r="O736" s="1" t="s">
        <v>74</v>
      </c>
      <c r="P736" s="1" t="s">
        <v>74</v>
      </c>
      <c r="Q736" s="1" t="s">
        <v>74</v>
      </c>
      <c r="R736" s="1" t="s">
        <v>74</v>
      </c>
      <c r="S736" s="1" t="s">
        <v>74</v>
      </c>
      <c r="T736" s="1" t="s">
        <v>74</v>
      </c>
      <c r="U736" s="1" t="s">
        <v>74</v>
      </c>
      <c r="V736" s="1" t="s">
        <v>6789</v>
      </c>
      <c r="W736" s="1" t="s">
        <v>74</v>
      </c>
      <c r="X736" s="1" t="s">
        <v>74</v>
      </c>
      <c r="Y736" s="1" t="s">
        <v>74</v>
      </c>
      <c r="Z736" s="1" t="s">
        <v>74</v>
      </c>
      <c r="AA736" s="1" t="s">
        <v>6790</v>
      </c>
      <c r="AB736" s="1" t="s">
        <v>6791</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6792</v>
      </c>
      <c r="AP736" s="1" t="s">
        <v>6793</v>
      </c>
      <c r="AQ736" s="1" t="s">
        <v>74</v>
      </c>
      <c r="AR736" s="1" t="s">
        <v>74</v>
      </c>
      <c r="AS736" s="1" t="s">
        <v>74</v>
      </c>
      <c r="AT736" s="1" t="s">
        <v>116</v>
      </c>
      <c r="AU736" s="1">
        <v>2024.0</v>
      </c>
      <c r="AV736" s="1">
        <v>25.0</v>
      </c>
      <c r="AW736" s="1">
        <v>14.0</v>
      </c>
      <c r="AX736" s="1" t="s">
        <v>74</v>
      </c>
      <c r="AY736" s="1" t="s">
        <v>74</v>
      </c>
      <c r="AZ736" s="1" t="s">
        <v>74</v>
      </c>
      <c r="BA736" s="1" t="s">
        <v>74</v>
      </c>
      <c r="BB736" s="1" t="s">
        <v>74</v>
      </c>
      <c r="BC736" s="1" t="s">
        <v>74</v>
      </c>
      <c r="BD736" s="1">
        <v>7945.0</v>
      </c>
      <c r="BE736" s="1" t="s">
        <v>6794</v>
      </c>
      <c r="BF736" s="2" t="str">
        <f>HYPERLINK("http://dx.doi.org/10.3390/ijms25147945","http://dx.doi.org/10.3390/ijms25147945")</f>
        <v>http://dx.doi.org/10.3390/ijms25147945</v>
      </c>
      <c r="BG736" s="1" t="s">
        <v>74</v>
      </c>
      <c r="BH736" s="1" t="s">
        <v>74</v>
      </c>
      <c r="BI736" s="1" t="s">
        <v>74</v>
      </c>
      <c r="BJ736" s="1" t="s">
        <v>74</v>
      </c>
      <c r="BK736" s="1" t="s">
        <v>74</v>
      </c>
      <c r="BL736" s="1" t="s">
        <v>74</v>
      </c>
      <c r="BM736" s="1" t="s">
        <v>74</v>
      </c>
      <c r="BN736" s="1">
        <v>3.9063186E7</v>
      </c>
      <c r="BO736" s="1" t="s">
        <v>74</v>
      </c>
      <c r="BP736" s="1" t="s">
        <v>74</v>
      </c>
      <c r="BQ736" s="1" t="s">
        <v>74</v>
      </c>
      <c r="BR736" s="1" t="s">
        <v>74</v>
      </c>
      <c r="BS736" s="1" t="s">
        <v>6795</v>
      </c>
      <c r="BT736" s="1" t="str">
        <f>HYPERLINK("https%3A%2F%2Fwww.webofscience.com%2Fwos%2Fwoscc%2Ffull-record%2FWOS:001278616500001","View Full Record in Web of Science")</f>
        <v>View Full Record in Web of Science</v>
      </c>
    </row>
    <row r="737" ht="12.75" customHeight="1">
      <c r="A737" s="1" t="s">
        <v>72</v>
      </c>
      <c r="B737" s="1" t="s">
        <v>6796</v>
      </c>
      <c r="C737" s="1" t="s">
        <v>74</v>
      </c>
      <c r="D737" s="1" t="s">
        <v>74</v>
      </c>
      <c r="E737" s="1" t="s">
        <v>74</v>
      </c>
      <c r="F737" s="1" t="s">
        <v>6797</v>
      </c>
      <c r="G737" s="1" t="s">
        <v>74</v>
      </c>
      <c r="H737" s="1" t="s">
        <v>74</v>
      </c>
      <c r="I737" s="1" t="s">
        <v>6798</v>
      </c>
      <c r="J737" s="1" t="s">
        <v>6799</v>
      </c>
      <c r="K737" s="1" t="s">
        <v>74</v>
      </c>
      <c r="L737" s="1" t="s">
        <v>74</v>
      </c>
      <c r="M737" s="1" t="s">
        <v>74</v>
      </c>
      <c r="N737" s="1" t="s">
        <v>74</v>
      </c>
      <c r="O737" s="1" t="s">
        <v>74</v>
      </c>
      <c r="P737" s="1" t="s">
        <v>74</v>
      </c>
      <c r="Q737" s="1" t="s">
        <v>74</v>
      </c>
      <c r="R737" s="1" t="s">
        <v>74</v>
      </c>
      <c r="S737" s="1" t="s">
        <v>74</v>
      </c>
      <c r="T737" s="1" t="s">
        <v>74</v>
      </c>
      <c r="U737" s="1" t="s">
        <v>74</v>
      </c>
      <c r="V737" s="1" t="s">
        <v>6800</v>
      </c>
      <c r="W737" s="1" t="s">
        <v>74</v>
      </c>
      <c r="X737" s="1" t="s">
        <v>74</v>
      </c>
      <c r="Y737" s="1" t="s">
        <v>74</v>
      </c>
      <c r="Z737" s="1" t="s">
        <v>74</v>
      </c>
      <c r="AA737" s="1" t="s">
        <v>6801</v>
      </c>
      <c r="AB737" s="1" t="s">
        <v>6802</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6803</v>
      </c>
      <c r="AP737" s="1" t="s">
        <v>6804</v>
      </c>
      <c r="AQ737" s="1" t="s">
        <v>74</v>
      </c>
      <c r="AR737" s="1" t="s">
        <v>74</v>
      </c>
      <c r="AS737" s="1" t="s">
        <v>74</v>
      </c>
      <c r="AT737" s="1" t="s">
        <v>82</v>
      </c>
      <c r="AU737" s="1">
        <v>2024.0</v>
      </c>
      <c r="AV737" s="1">
        <v>94.0</v>
      </c>
      <c r="AW737" s="1" t="s">
        <v>74</v>
      </c>
      <c r="AX737" s="1" t="s">
        <v>74</v>
      </c>
      <c r="AY737" s="1" t="s">
        <v>74</v>
      </c>
      <c r="AZ737" s="1" t="s">
        <v>74</v>
      </c>
      <c r="BA737" s="1" t="s">
        <v>74</v>
      </c>
      <c r="BB737" s="1" t="s">
        <v>74</v>
      </c>
      <c r="BC737" s="1" t="s">
        <v>74</v>
      </c>
      <c r="BD737" s="1">
        <v>103687.0</v>
      </c>
      <c r="BE737" s="1" t="s">
        <v>6805</v>
      </c>
      <c r="BF737" s="2" t="str">
        <f>HYPERLINK("http://dx.doi.org/10.1016/j.ifset.2024.103687","http://dx.doi.org/10.1016/j.ifset.2024.103687")</f>
        <v>http://dx.doi.org/10.1016/j.ifset.2024.103687</v>
      </c>
      <c r="BG737" s="1" t="s">
        <v>74</v>
      </c>
      <c r="BH737" s="1" t="s">
        <v>2644</v>
      </c>
      <c r="BI737" s="1" t="s">
        <v>74</v>
      </c>
      <c r="BJ737" s="1" t="s">
        <v>74</v>
      </c>
      <c r="BK737" s="1" t="s">
        <v>74</v>
      </c>
      <c r="BL737" s="1" t="s">
        <v>74</v>
      </c>
      <c r="BM737" s="1" t="s">
        <v>74</v>
      </c>
      <c r="BN737" s="1" t="s">
        <v>74</v>
      </c>
      <c r="BO737" s="1" t="s">
        <v>74</v>
      </c>
      <c r="BP737" s="1" t="s">
        <v>74</v>
      </c>
      <c r="BQ737" s="1" t="s">
        <v>74</v>
      </c>
      <c r="BR737" s="1" t="s">
        <v>74</v>
      </c>
      <c r="BS737" s="1" t="s">
        <v>6806</v>
      </c>
      <c r="BT737" s="1" t="str">
        <f>HYPERLINK("https%3A%2F%2Fwww.webofscience.com%2Fwos%2Fwoscc%2Ffull-record%2FWOS:001240727400001","View Full Record in Web of Science")</f>
        <v>View Full Record in Web of Science</v>
      </c>
    </row>
    <row r="738" ht="12.75" customHeight="1">
      <c r="A738" s="1" t="s">
        <v>72</v>
      </c>
      <c r="B738" s="1" t="s">
        <v>6807</v>
      </c>
      <c r="C738" s="1" t="s">
        <v>74</v>
      </c>
      <c r="D738" s="1" t="s">
        <v>74</v>
      </c>
      <c r="E738" s="1" t="s">
        <v>74</v>
      </c>
      <c r="F738" s="1" t="s">
        <v>6808</v>
      </c>
      <c r="G738" s="1" t="s">
        <v>74</v>
      </c>
      <c r="H738" s="1" t="s">
        <v>74</v>
      </c>
      <c r="I738" s="1" t="s">
        <v>6809</v>
      </c>
      <c r="J738" s="1" t="s">
        <v>6810</v>
      </c>
      <c r="K738" s="1" t="s">
        <v>74</v>
      </c>
      <c r="L738" s="1" t="s">
        <v>74</v>
      </c>
      <c r="M738" s="1" t="s">
        <v>74</v>
      </c>
      <c r="N738" s="1" t="s">
        <v>74</v>
      </c>
      <c r="O738" s="1" t="s">
        <v>74</v>
      </c>
      <c r="P738" s="1" t="s">
        <v>74</v>
      </c>
      <c r="Q738" s="1" t="s">
        <v>74</v>
      </c>
      <c r="R738" s="1" t="s">
        <v>74</v>
      </c>
      <c r="S738" s="1" t="s">
        <v>74</v>
      </c>
      <c r="T738" s="1" t="s">
        <v>74</v>
      </c>
      <c r="U738" s="1" t="s">
        <v>74</v>
      </c>
      <c r="V738" s="1" t="s">
        <v>6811</v>
      </c>
      <c r="W738" s="1" t="s">
        <v>74</v>
      </c>
      <c r="X738" s="1" t="s">
        <v>74</v>
      </c>
      <c r="Y738" s="1" t="s">
        <v>74</v>
      </c>
      <c r="Z738" s="1" t="s">
        <v>74</v>
      </c>
      <c r="AA738" s="1" t="s">
        <v>449</v>
      </c>
      <c r="AB738" s="1" t="s">
        <v>6812</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6813</v>
      </c>
      <c r="AP738" s="1" t="s">
        <v>6814</v>
      </c>
      <c r="AQ738" s="1" t="s">
        <v>74</v>
      </c>
      <c r="AR738" s="1" t="s">
        <v>74</v>
      </c>
      <c r="AS738" s="1" t="s">
        <v>74</v>
      </c>
      <c r="AT738" s="1" t="s">
        <v>6815</v>
      </c>
      <c r="AU738" s="1">
        <v>2024.0</v>
      </c>
      <c r="AV738" s="1" t="s">
        <v>74</v>
      </c>
      <c r="AW738" s="1" t="s">
        <v>74</v>
      </c>
      <c r="AX738" s="1" t="s">
        <v>74</v>
      </c>
      <c r="AY738" s="1" t="s">
        <v>74</v>
      </c>
      <c r="AZ738" s="1" t="s">
        <v>74</v>
      </c>
      <c r="BA738" s="1" t="s">
        <v>74</v>
      </c>
      <c r="BB738" s="1" t="s">
        <v>74</v>
      </c>
      <c r="BC738" s="1" t="s">
        <v>74</v>
      </c>
      <c r="BD738" s="1" t="s">
        <v>74</v>
      </c>
      <c r="BE738" s="1" t="s">
        <v>6816</v>
      </c>
      <c r="BF738" s="2" t="str">
        <f>HYPERLINK("http://dx.doi.org/10.1177/10575677241229672","http://dx.doi.org/10.1177/10575677241229672")</f>
        <v>http://dx.doi.org/10.1177/10575677241229672</v>
      </c>
      <c r="BG738" s="1" t="s">
        <v>74</v>
      </c>
      <c r="BH738" s="1" t="s">
        <v>6817</v>
      </c>
      <c r="BI738" s="1" t="s">
        <v>74</v>
      </c>
      <c r="BJ738" s="1" t="s">
        <v>74</v>
      </c>
      <c r="BK738" s="1" t="s">
        <v>74</v>
      </c>
      <c r="BL738" s="1" t="s">
        <v>74</v>
      </c>
      <c r="BM738" s="1" t="s">
        <v>74</v>
      </c>
      <c r="BN738" s="1" t="s">
        <v>74</v>
      </c>
      <c r="BO738" s="1" t="s">
        <v>74</v>
      </c>
      <c r="BP738" s="1" t="s">
        <v>74</v>
      </c>
      <c r="BQ738" s="1" t="s">
        <v>74</v>
      </c>
      <c r="BR738" s="1" t="s">
        <v>74</v>
      </c>
      <c r="BS738" s="1" t="s">
        <v>6818</v>
      </c>
      <c r="BT738" s="1" t="str">
        <f>HYPERLINK("https%3A%2F%2Fwww.webofscience.com%2Fwos%2Fwoscc%2Ffull-record%2FWOS:001176818300001","View Full Record in Web of Science")</f>
        <v>View Full Record in Web of Science</v>
      </c>
    </row>
    <row r="739" ht="12.75" customHeight="1">
      <c r="A739" s="1" t="s">
        <v>72</v>
      </c>
      <c r="B739" s="1" t="s">
        <v>6819</v>
      </c>
      <c r="C739" s="1" t="s">
        <v>74</v>
      </c>
      <c r="D739" s="1" t="s">
        <v>74</v>
      </c>
      <c r="E739" s="1" t="s">
        <v>74</v>
      </c>
      <c r="F739" s="1" t="s">
        <v>6820</v>
      </c>
      <c r="G739" s="1" t="s">
        <v>74</v>
      </c>
      <c r="H739" s="1" t="s">
        <v>74</v>
      </c>
      <c r="I739" s="1" t="s">
        <v>6821</v>
      </c>
      <c r="J739" s="1" t="s">
        <v>6822</v>
      </c>
      <c r="K739" s="1" t="s">
        <v>74</v>
      </c>
      <c r="L739" s="1" t="s">
        <v>74</v>
      </c>
      <c r="M739" s="1" t="s">
        <v>74</v>
      </c>
      <c r="N739" s="1" t="s">
        <v>74</v>
      </c>
      <c r="O739" s="1" t="s">
        <v>74</v>
      </c>
      <c r="P739" s="1" t="s">
        <v>74</v>
      </c>
      <c r="Q739" s="1" t="s">
        <v>74</v>
      </c>
      <c r="R739" s="1" t="s">
        <v>74</v>
      </c>
      <c r="S739" s="1" t="s">
        <v>74</v>
      </c>
      <c r="T739" s="1" t="s">
        <v>74</v>
      </c>
      <c r="U739" s="1" t="s">
        <v>74</v>
      </c>
      <c r="V739" s="1" t="s">
        <v>6823</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6824</v>
      </c>
      <c r="AP739" s="1" t="s">
        <v>74</v>
      </c>
      <c r="AQ739" s="1" t="s">
        <v>74</v>
      </c>
      <c r="AR739" s="1" t="s">
        <v>74</v>
      </c>
      <c r="AS739" s="1" t="s">
        <v>74</v>
      </c>
      <c r="AT739" s="1" t="s">
        <v>239</v>
      </c>
      <c r="AU739" s="1">
        <v>2024.0</v>
      </c>
      <c r="AV739" s="1">
        <v>37.0</v>
      </c>
      <c r="AW739" s="1" t="s">
        <v>1569</v>
      </c>
      <c r="AX739" s="1" t="s">
        <v>74</v>
      </c>
      <c r="AY739" s="1" t="s">
        <v>74</v>
      </c>
      <c r="AZ739" s="1" t="s">
        <v>74</v>
      </c>
      <c r="BA739" s="1" t="s">
        <v>74</v>
      </c>
      <c r="BB739" s="1">
        <v>99.0</v>
      </c>
      <c r="BC739" s="1">
        <v>120.0</v>
      </c>
      <c r="BD739" s="1" t="s">
        <v>74</v>
      </c>
      <c r="BE739" s="1" t="s">
        <v>6825</v>
      </c>
      <c r="BF739" s="2" t="str">
        <f>HYPERLINK("http://dx.doi.org/10.57262/die037-0102-99","http://dx.doi.org/10.57262/die037-0102-99")</f>
        <v>http://dx.doi.org/10.57262/die037-0102-99</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6826</v>
      </c>
      <c r="BT739" s="1" t="str">
        <f>HYPERLINK("https%3A%2F%2Fwww.webofscience.com%2Fwos%2Fwoscc%2Ffull-record%2FWOS:001084438800001","View Full Record in Web of Science")</f>
        <v>View Full Record in Web of Science</v>
      </c>
    </row>
    <row r="740" ht="12.75" customHeight="1">
      <c r="A740" s="1" t="s">
        <v>72</v>
      </c>
      <c r="B740" s="1" t="s">
        <v>6827</v>
      </c>
      <c r="C740" s="1" t="s">
        <v>74</v>
      </c>
      <c r="D740" s="1" t="s">
        <v>74</v>
      </c>
      <c r="E740" s="1" t="s">
        <v>74</v>
      </c>
      <c r="F740" s="1" t="s">
        <v>6828</v>
      </c>
      <c r="G740" s="1" t="s">
        <v>74</v>
      </c>
      <c r="H740" s="1" t="s">
        <v>74</v>
      </c>
      <c r="I740" s="1" t="s">
        <v>6829</v>
      </c>
      <c r="J740" s="1" t="s">
        <v>6830</v>
      </c>
      <c r="K740" s="1" t="s">
        <v>74</v>
      </c>
      <c r="L740" s="1" t="s">
        <v>74</v>
      </c>
      <c r="M740" s="1" t="s">
        <v>74</v>
      </c>
      <c r="N740" s="1" t="s">
        <v>74</v>
      </c>
      <c r="O740" s="1" t="s">
        <v>74</v>
      </c>
      <c r="P740" s="1" t="s">
        <v>74</v>
      </c>
      <c r="Q740" s="1" t="s">
        <v>74</v>
      </c>
      <c r="R740" s="1" t="s">
        <v>74</v>
      </c>
      <c r="S740" s="1" t="s">
        <v>74</v>
      </c>
      <c r="T740" s="1" t="s">
        <v>74</v>
      </c>
      <c r="U740" s="1" t="s">
        <v>74</v>
      </c>
      <c r="V740" s="1" t="s">
        <v>6831</v>
      </c>
      <c r="W740" s="1" t="s">
        <v>74</v>
      </c>
      <c r="X740" s="1" t="s">
        <v>74</v>
      </c>
      <c r="Y740" s="1" t="s">
        <v>74</v>
      </c>
      <c r="Z740" s="1" t="s">
        <v>74</v>
      </c>
      <c r="AA740" s="1" t="s">
        <v>74</v>
      </c>
      <c r="AB740" s="1" t="s">
        <v>74</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74</v>
      </c>
      <c r="AP740" s="1" t="s">
        <v>6832</v>
      </c>
      <c r="AQ740" s="1" t="s">
        <v>74</v>
      </c>
      <c r="AR740" s="1" t="s">
        <v>74</v>
      </c>
      <c r="AS740" s="1" t="s">
        <v>74</v>
      </c>
      <c r="AT740" s="1" t="s">
        <v>6833</v>
      </c>
      <c r="AU740" s="1">
        <v>2023.0</v>
      </c>
      <c r="AV740" s="1">
        <v>8.0</v>
      </c>
      <c r="AW740" s="1" t="s">
        <v>74</v>
      </c>
      <c r="AX740" s="1" t="s">
        <v>74</v>
      </c>
      <c r="AY740" s="1" t="s">
        <v>74</v>
      </c>
      <c r="AZ740" s="1" t="s">
        <v>74</v>
      </c>
      <c r="BA740" s="1" t="s">
        <v>74</v>
      </c>
      <c r="BB740" s="1" t="s">
        <v>74</v>
      </c>
      <c r="BC740" s="1" t="s">
        <v>74</v>
      </c>
      <c r="BD740" s="1">
        <v>1271335.0</v>
      </c>
      <c r="BE740" s="1" t="s">
        <v>6834</v>
      </c>
      <c r="BF740" s="2" t="str">
        <f>HYPERLINK("http://dx.doi.org/10.3389/feduc.2023.1271335","http://dx.doi.org/10.3389/feduc.2023.1271335")</f>
        <v>http://dx.doi.org/10.3389/feduc.2023.1271335</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6835</v>
      </c>
      <c r="BT740" s="1" t="str">
        <f>HYPERLINK("https%3A%2F%2Fwww.webofscience.com%2Fwos%2Fwoscc%2Ffull-record%2FWOS:001113382000001","View Full Record in Web of Science")</f>
        <v>View Full Record in Web of Science</v>
      </c>
    </row>
    <row r="741" ht="12.75" customHeight="1">
      <c r="A741" s="1" t="s">
        <v>72</v>
      </c>
      <c r="B741" s="1" t="s">
        <v>6836</v>
      </c>
      <c r="C741" s="1" t="s">
        <v>74</v>
      </c>
      <c r="D741" s="1" t="s">
        <v>74</v>
      </c>
      <c r="E741" s="1" t="s">
        <v>74</v>
      </c>
      <c r="F741" s="1" t="s">
        <v>6837</v>
      </c>
      <c r="G741" s="1" t="s">
        <v>74</v>
      </c>
      <c r="H741" s="1" t="s">
        <v>74</v>
      </c>
      <c r="I741" s="1" t="s">
        <v>6838</v>
      </c>
      <c r="J741" s="1" t="s">
        <v>6839</v>
      </c>
      <c r="K741" s="1" t="s">
        <v>74</v>
      </c>
      <c r="L741" s="1" t="s">
        <v>74</v>
      </c>
      <c r="M741" s="1" t="s">
        <v>74</v>
      </c>
      <c r="N741" s="1" t="s">
        <v>74</v>
      </c>
      <c r="O741" s="1" t="s">
        <v>74</v>
      </c>
      <c r="P741" s="1" t="s">
        <v>74</v>
      </c>
      <c r="Q741" s="1" t="s">
        <v>74</v>
      </c>
      <c r="R741" s="1" t="s">
        <v>74</v>
      </c>
      <c r="S741" s="1" t="s">
        <v>74</v>
      </c>
      <c r="T741" s="1" t="s">
        <v>74</v>
      </c>
      <c r="U741" s="1" t="s">
        <v>74</v>
      </c>
      <c r="V741" s="1" t="s">
        <v>6840</v>
      </c>
      <c r="W741" s="1" t="s">
        <v>74</v>
      </c>
      <c r="X741" s="1" t="s">
        <v>74</v>
      </c>
      <c r="Y741" s="1" t="s">
        <v>74</v>
      </c>
      <c r="Z741" s="1" t="s">
        <v>74</v>
      </c>
      <c r="AA741" s="1" t="s">
        <v>6841</v>
      </c>
      <c r="AB741" s="1" t="s">
        <v>6842</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74</v>
      </c>
      <c r="AP741" s="1" t="s">
        <v>6843</v>
      </c>
      <c r="AQ741" s="1" t="s">
        <v>74</v>
      </c>
      <c r="AR741" s="1" t="s">
        <v>74</v>
      </c>
      <c r="AS741" s="1" t="s">
        <v>74</v>
      </c>
      <c r="AT741" s="1" t="s">
        <v>160</v>
      </c>
      <c r="AU741" s="1">
        <v>2023.0</v>
      </c>
      <c r="AV741" s="1">
        <v>42.0</v>
      </c>
      <c r="AW741" s="1" t="s">
        <v>74</v>
      </c>
      <c r="AX741" s="1" t="s">
        <v>74</v>
      </c>
      <c r="AY741" s="1" t="s">
        <v>74</v>
      </c>
      <c r="AZ741" s="1" t="s">
        <v>74</v>
      </c>
      <c r="BA741" s="1" t="s">
        <v>74</v>
      </c>
      <c r="BB741" s="1" t="s">
        <v>74</v>
      </c>
      <c r="BC741" s="1" t="s">
        <v>74</v>
      </c>
      <c r="BD741" s="1">
        <v>101351.0</v>
      </c>
      <c r="BE741" s="1" t="s">
        <v>6844</v>
      </c>
      <c r="BF741" s="2" t="str">
        <f>HYPERLINK("http://dx.doi.org/10.1016/j.dark.2023.101351","http://dx.doi.org/10.1016/j.dark.2023.101351")</f>
        <v>http://dx.doi.org/10.1016/j.dark.2023.101351</v>
      </c>
      <c r="BG741" s="1" t="s">
        <v>74</v>
      </c>
      <c r="BH741" s="1" t="s">
        <v>5659</v>
      </c>
      <c r="BI741" s="1" t="s">
        <v>74</v>
      </c>
      <c r="BJ741" s="1" t="s">
        <v>74</v>
      </c>
      <c r="BK741" s="1" t="s">
        <v>74</v>
      </c>
      <c r="BL741" s="1" t="s">
        <v>74</v>
      </c>
      <c r="BM741" s="1" t="s">
        <v>74</v>
      </c>
      <c r="BN741" s="1" t="s">
        <v>74</v>
      </c>
      <c r="BO741" s="1" t="s">
        <v>74</v>
      </c>
      <c r="BP741" s="1" t="s">
        <v>74</v>
      </c>
      <c r="BQ741" s="1" t="s">
        <v>74</v>
      </c>
      <c r="BR741" s="1" t="s">
        <v>74</v>
      </c>
      <c r="BS741" s="1" t="s">
        <v>6845</v>
      </c>
      <c r="BT741" s="1" t="str">
        <f>HYPERLINK("https%3A%2F%2Fwww.webofscience.com%2Fwos%2Fwoscc%2Ffull-record%2FWOS:001112901900001","View Full Record in Web of Science")</f>
        <v>View Full Record in Web of Science</v>
      </c>
    </row>
    <row r="742" ht="12.75" customHeight="1">
      <c r="A742" s="1" t="s">
        <v>72</v>
      </c>
      <c r="B742" s="1" t="s">
        <v>6846</v>
      </c>
      <c r="C742" s="1" t="s">
        <v>74</v>
      </c>
      <c r="D742" s="1" t="s">
        <v>74</v>
      </c>
      <c r="E742" s="1" t="s">
        <v>74</v>
      </c>
      <c r="F742" s="1" t="s">
        <v>6847</v>
      </c>
      <c r="G742" s="1" t="s">
        <v>74</v>
      </c>
      <c r="H742" s="1" t="s">
        <v>74</v>
      </c>
      <c r="I742" s="1" t="s">
        <v>6848</v>
      </c>
      <c r="J742" s="1" t="s">
        <v>6849</v>
      </c>
      <c r="K742" s="1" t="s">
        <v>74</v>
      </c>
      <c r="L742" s="1" t="s">
        <v>74</v>
      </c>
      <c r="M742" s="1" t="s">
        <v>74</v>
      </c>
      <c r="N742" s="1" t="s">
        <v>74</v>
      </c>
      <c r="O742" s="1" t="s">
        <v>74</v>
      </c>
      <c r="P742" s="1" t="s">
        <v>74</v>
      </c>
      <c r="Q742" s="1" t="s">
        <v>74</v>
      </c>
      <c r="R742" s="1" t="s">
        <v>74</v>
      </c>
      <c r="S742" s="1" t="s">
        <v>74</v>
      </c>
      <c r="T742" s="1" t="s">
        <v>74</v>
      </c>
      <c r="U742" s="1" t="s">
        <v>74</v>
      </c>
      <c r="V742" s="1" t="s">
        <v>6850</v>
      </c>
      <c r="W742" s="1" t="s">
        <v>74</v>
      </c>
      <c r="X742" s="1" t="s">
        <v>74</v>
      </c>
      <c r="Y742" s="1" t="s">
        <v>74</v>
      </c>
      <c r="Z742" s="1" t="s">
        <v>74</v>
      </c>
      <c r="AA742" s="1" t="s">
        <v>6851</v>
      </c>
      <c r="AB742" s="1" t="s">
        <v>6852</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6853</v>
      </c>
      <c r="AP742" s="1" t="s">
        <v>6854</v>
      </c>
      <c r="AQ742" s="1" t="s">
        <v>74</v>
      </c>
      <c r="AR742" s="1" t="s">
        <v>74</v>
      </c>
      <c r="AS742" s="1" t="s">
        <v>74</v>
      </c>
      <c r="AT742" s="1" t="s">
        <v>6855</v>
      </c>
      <c r="AU742" s="1">
        <v>2023.0</v>
      </c>
      <c r="AV742" s="1">
        <v>15.0</v>
      </c>
      <c r="AW742" s="1">
        <v>2.0</v>
      </c>
      <c r="AX742" s="1" t="s">
        <v>74</v>
      </c>
      <c r="AY742" s="1" t="s">
        <v>74</v>
      </c>
      <c r="AZ742" s="1" t="s">
        <v>74</v>
      </c>
      <c r="BA742" s="1" t="s">
        <v>74</v>
      </c>
      <c r="BB742" s="1">
        <v>77.0</v>
      </c>
      <c r="BC742" s="1">
        <v>101.0</v>
      </c>
      <c r="BD742" s="1" t="s">
        <v>74</v>
      </c>
      <c r="BE742" s="1" t="s">
        <v>6856</v>
      </c>
      <c r="BF742" s="2" t="str">
        <f>HYPERLINK("http://dx.doi.org/10.1080/19424280.2023.2180542","http://dx.doi.org/10.1080/19424280.2023.2180542")</f>
        <v>http://dx.doi.org/10.1080/19424280.2023.2180542</v>
      </c>
      <c r="BG742" s="1" t="s">
        <v>74</v>
      </c>
      <c r="BH742" s="1" t="s">
        <v>6857</v>
      </c>
      <c r="BI742" s="1" t="s">
        <v>74</v>
      </c>
      <c r="BJ742" s="1" t="s">
        <v>74</v>
      </c>
      <c r="BK742" s="1" t="s">
        <v>74</v>
      </c>
      <c r="BL742" s="1" t="s">
        <v>74</v>
      </c>
      <c r="BM742" s="1" t="s">
        <v>74</v>
      </c>
      <c r="BN742" s="1" t="s">
        <v>74</v>
      </c>
      <c r="BO742" s="1" t="s">
        <v>74</v>
      </c>
      <c r="BP742" s="1" t="s">
        <v>74</v>
      </c>
      <c r="BQ742" s="1" t="s">
        <v>74</v>
      </c>
      <c r="BR742" s="1" t="s">
        <v>74</v>
      </c>
      <c r="BS742" s="1" t="s">
        <v>6858</v>
      </c>
      <c r="BT742" s="1" t="str">
        <f>HYPERLINK("https%3A%2F%2Fwww.webofscience.com%2Fwos%2Fwoscc%2Ffull-record%2FWOS:000941857600001","View Full Record in Web of Science")</f>
        <v>View Full Record in Web of Science</v>
      </c>
    </row>
    <row r="743" ht="12.75" customHeight="1">
      <c r="A743" s="1" t="s">
        <v>72</v>
      </c>
      <c r="B743" s="1" t="s">
        <v>6859</v>
      </c>
      <c r="C743" s="1" t="s">
        <v>74</v>
      </c>
      <c r="D743" s="1" t="s">
        <v>74</v>
      </c>
      <c r="E743" s="1" t="s">
        <v>74</v>
      </c>
      <c r="F743" s="1" t="s">
        <v>6860</v>
      </c>
      <c r="G743" s="1" t="s">
        <v>74</v>
      </c>
      <c r="H743" s="1" t="s">
        <v>74</v>
      </c>
      <c r="I743" s="1" t="s">
        <v>6861</v>
      </c>
      <c r="J743" s="1" t="s">
        <v>6862</v>
      </c>
      <c r="K743" s="1" t="s">
        <v>74</v>
      </c>
      <c r="L743" s="1" t="s">
        <v>74</v>
      </c>
      <c r="M743" s="1" t="s">
        <v>74</v>
      </c>
      <c r="N743" s="1" t="s">
        <v>74</v>
      </c>
      <c r="O743" s="1" t="s">
        <v>74</v>
      </c>
      <c r="P743" s="1" t="s">
        <v>74</v>
      </c>
      <c r="Q743" s="1" t="s">
        <v>74</v>
      </c>
      <c r="R743" s="1" t="s">
        <v>74</v>
      </c>
      <c r="S743" s="1" t="s">
        <v>74</v>
      </c>
      <c r="T743" s="1" t="s">
        <v>74</v>
      </c>
      <c r="U743" s="1" t="s">
        <v>74</v>
      </c>
      <c r="V743" s="1" t="s">
        <v>6863</v>
      </c>
      <c r="W743" s="1" t="s">
        <v>74</v>
      </c>
      <c r="X743" s="1" t="s">
        <v>74</v>
      </c>
      <c r="Y743" s="1" t="s">
        <v>74</v>
      </c>
      <c r="Z743" s="1" t="s">
        <v>74</v>
      </c>
      <c r="AA743" s="1" t="s">
        <v>74</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6864</v>
      </c>
      <c r="AP743" s="1" t="s">
        <v>74</v>
      </c>
      <c r="AQ743" s="1" t="s">
        <v>74</v>
      </c>
      <c r="AR743" s="1" t="s">
        <v>74</v>
      </c>
      <c r="AS743" s="1" t="s">
        <v>74</v>
      </c>
      <c r="AT743" s="1" t="s">
        <v>94</v>
      </c>
      <c r="AU743" s="1">
        <v>2023.0</v>
      </c>
      <c r="AV743" s="1">
        <v>62.0</v>
      </c>
      <c r="AW743" s="1">
        <v>1.0</v>
      </c>
      <c r="AX743" s="1" t="s">
        <v>74</v>
      </c>
      <c r="AY743" s="1" t="s">
        <v>74</v>
      </c>
      <c r="AZ743" s="1" t="s">
        <v>74</v>
      </c>
      <c r="BA743" s="1" t="s">
        <v>74</v>
      </c>
      <c r="BB743" s="1">
        <v>88.0</v>
      </c>
      <c r="BC743" s="1">
        <v>112.0</v>
      </c>
      <c r="BD743" s="1" t="s">
        <v>74</v>
      </c>
      <c r="BE743" s="1" t="s">
        <v>6865</v>
      </c>
      <c r="BF743" s="2" t="str">
        <f>HYPERLINK("http://dx.doi.org/10.4151/07189729-Vol.62-Iss.1-Art.1396","http://dx.doi.org/10.4151/07189729-Vol.62-Iss.1-Art.1396")</f>
        <v>http://dx.doi.org/10.4151/07189729-Vol.62-Iss.1-Art.1396</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6866</v>
      </c>
      <c r="BT743" s="1" t="str">
        <f>HYPERLINK("https%3A%2F%2Fwww.webofscience.com%2Fwos%2Fwoscc%2Ffull-record%2FWOS:001019127100005","View Full Record in Web of Science")</f>
        <v>View Full Record in Web of Science</v>
      </c>
    </row>
    <row r="744" ht="12.75" customHeight="1">
      <c r="A744" s="1" t="s">
        <v>72</v>
      </c>
      <c r="B744" s="1" t="s">
        <v>6867</v>
      </c>
      <c r="C744" s="1" t="s">
        <v>74</v>
      </c>
      <c r="D744" s="1" t="s">
        <v>74</v>
      </c>
      <c r="E744" s="1" t="s">
        <v>74</v>
      </c>
      <c r="F744" s="1" t="s">
        <v>6868</v>
      </c>
      <c r="G744" s="1" t="s">
        <v>74</v>
      </c>
      <c r="H744" s="1" t="s">
        <v>74</v>
      </c>
      <c r="I744" s="1" t="s">
        <v>6869</v>
      </c>
      <c r="J744" s="1" t="s">
        <v>6870</v>
      </c>
      <c r="K744" s="1" t="s">
        <v>74</v>
      </c>
      <c r="L744" s="1" t="s">
        <v>74</v>
      </c>
      <c r="M744" s="1" t="s">
        <v>74</v>
      </c>
      <c r="N744" s="1" t="s">
        <v>74</v>
      </c>
      <c r="O744" s="1" t="s">
        <v>74</v>
      </c>
      <c r="P744" s="1" t="s">
        <v>74</v>
      </c>
      <c r="Q744" s="1" t="s">
        <v>74</v>
      </c>
      <c r="R744" s="1" t="s">
        <v>74</v>
      </c>
      <c r="S744" s="1" t="s">
        <v>74</v>
      </c>
      <c r="T744" s="1" t="s">
        <v>74</v>
      </c>
      <c r="U744" s="1" t="s">
        <v>74</v>
      </c>
      <c r="V744" s="1" t="s">
        <v>6871</v>
      </c>
      <c r="W744" s="1" t="s">
        <v>74</v>
      </c>
      <c r="X744" s="1" t="s">
        <v>74</v>
      </c>
      <c r="Y744" s="1" t="s">
        <v>74</v>
      </c>
      <c r="Z744" s="1" t="s">
        <v>74</v>
      </c>
      <c r="AA744" s="1" t="s">
        <v>6872</v>
      </c>
      <c r="AB744" s="1" t="s">
        <v>6873</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74</v>
      </c>
      <c r="AP744" s="1" t="s">
        <v>6874</v>
      </c>
      <c r="AQ744" s="1" t="s">
        <v>74</v>
      </c>
      <c r="AR744" s="1" t="s">
        <v>74</v>
      </c>
      <c r="AS744" s="1" t="s">
        <v>74</v>
      </c>
      <c r="AT744" s="1" t="s">
        <v>353</v>
      </c>
      <c r="AU744" s="1">
        <v>2022.0</v>
      </c>
      <c r="AV744" s="1">
        <v>8.0</v>
      </c>
      <c r="AW744" s="1">
        <v>10.0</v>
      </c>
      <c r="AX744" s="1" t="s">
        <v>74</v>
      </c>
      <c r="AY744" s="1" t="s">
        <v>74</v>
      </c>
      <c r="AZ744" s="1" t="s">
        <v>74</v>
      </c>
      <c r="BA744" s="1" t="s">
        <v>74</v>
      </c>
      <c r="BB744" s="1" t="s">
        <v>74</v>
      </c>
      <c r="BC744" s="1" t="s">
        <v>74</v>
      </c>
      <c r="BD744" s="1">
        <v>565.0</v>
      </c>
      <c r="BE744" s="1" t="s">
        <v>6875</v>
      </c>
      <c r="BF744" s="2" t="str">
        <f>HYPERLINK("http://dx.doi.org/10.3390/fermentation8100565","http://dx.doi.org/10.3390/fermentation8100565")</f>
        <v>http://dx.doi.org/10.3390/fermentation8100565</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6876</v>
      </c>
      <c r="BT744" s="1" t="str">
        <f>HYPERLINK("https%3A%2F%2Fwww.webofscience.com%2Fwos%2Fwoscc%2Ffull-record%2FWOS:000872695800001","View Full Record in Web of Science")</f>
        <v>View Full Record in Web of Science</v>
      </c>
    </row>
    <row r="745" ht="12.75" customHeight="1">
      <c r="A745" s="1" t="s">
        <v>72</v>
      </c>
      <c r="B745" s="1" t="s">
        <v>6877</v>
      </c>
      <c r="C745" s="1" t="s">
        <v>74</v>
      </c>
      <c r="D745" s="1" t="s">
        <v>74</v>
      </c>
      <c r="E745" s="1" t="s">
        <v>74</v>
      </c>
      <c r="F745" s="1" t="s">
        <v>6878</v>
      </c>
      <c r="G745" s="1" t="s">
        <v>74</v>
      </c>
      <c r="H745" s="1" t="s">
        <v>74</v>
      </c>
      <c r="I745" s="1" t="s">
        <v>6879</v>
      </c>
      <c r="J745" s="1" t="s">
        <v>6880</v>
      </c>
      <c r="K745" s="1" t="s">
        <v>74</v>
      </c>
      <c r="L745" s="1" t="s">
        <v>74</v>
      </c>
      <c r="M745" s="1" t="s">
        <v>74</v>
      </c>
      <c r="N745" s="1" t="s">
        <v>74</v>
      </c>
      <c r="O745" s="1" t="s">
        <v>74</v>
      </c>
      <c r="P745" s="1" t="s">
        <v>74</v>
      </c>
      <c r="Q745" s="1" t="s">
        <v>74</v>
      </c>
      <c r="R745" s="1" t="s">
        <v>74</v>
      </c>
      <c r="S745" s="1" t="s">
        <v>74</v>
      </c>
      <c r="T745" s="1" t="s">
        <v>74</v>
      </c>
      <c r="U745" s="1" t="s">
        <v>74</v>
      </c>
      <c r="V745" s="1" t="s">
        <v>6881</v>
      </c>
      <c r="W745" s="1" t="s">
        <v>74</v>
      </c>
      <c r="X745" s="1" t="s">
        <v>74</v>
      </c>
      <c r="Y745" s="1" t="s">
        <v>74</v>
      </c>
      <c r="Z745" s="1" t="s">
        <v>74</v>
      </c>
      <c r="AA745" s="1" t="s">
        <v>74</v>
      </c>
      <c r="AB745" s="1" t="s">
        <v>74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6882</v>
      </c>
      <c r="AP745" s="1" t="s">
        <v>74</v>
      </c>
      <c r="AQ745" s="1" t="s">
        <v>74</v>
      </c>
      <c r="AR745" s="1" t="s">
        <v>74</v>
      </c>
      <c r="AS745" s="1" t="s">
        <v>74</v>
      </c>
      <c r="AT745" s="1" t="s">
        <v>701</v>
      </c>
      <c r="AU745" s="1">
        <v>2022.0</v>
      </c>
      <c r="AV745" s="1">
        <v>20.0</v>
      </c>
      <c r="AW745" s="1">
        <v>79.0</v>
      </c>
      <c r="AX745" s="1" t="s">
        <v>74</v>
      </c>
      <c r="AY745" s="1" t="s">
        <v>74</v>
      </c>
      <c r="AZ745" s="1" t="s">
        <v>74</v>
      </c>
      <c r="BA745" s="1" t="s">
        <v>74</v>
      </c>
      <c r="BB745" s="1" t="s">
        <v>74</v>
      </c>
      <c r="BC745" s="1" t="s">
        <v>74</v>
      </c>
      <c r="BD745" s="1" t="s">
        <v>74</v>
      </c>
      <c r="BE745" s="1" t="s">
        <v>74</v>
      </c>
      <c r="BF745" s="1" t="s">
        <v>74</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6883</v>
      </c>
      <c r="BT745" s="1" t="str">
        <f>HYPERLINK("https%3A%2F%2Fwww.webofscience.com%2Fwos%2Fwoscc%2Ffull-record%2FWOS:000783660800005","View Full Record in Web of Science")</f>
        <v>View Full Record in Web of Science</v>
      </c>
    </row>
    <row r="746" ht="12.75" customHeight="1">
      <c r="A746" s="1" t="s">
        <v>72</v>
      </c>
      <c r="B746" s="1" t="s">
        <v>6884</v>
      </c>
      <c r="C746" s="1" t="s">
        <v>74</v>
      </c>
      <c r="D746" s="1" t="s">
        <v>74</v>
      </c>
      <c r="E746" s="1" t="s">
        <v>74</v>
      </c>
      <c r="F746" s="1" t="s">
        <v>6885</v>
      </c>
      <c r="G746" s="1" t="s">
        <v>74</v>
      </c>
      <c r="H746" s="1" t="s">
        <v>74</v>
      </c>
      <c r="I746" s="1" t="s">
        <v>6886</v>
      </c>
      <c r="J746" s="1" t="s">
        <v>6887</v>
      </c>
      <c r="K746" s="1" t="s">
        <v>74</v>
      </c>
      <c r="L746" s="1" t="s">
        <v>74</v>
      </c>
      <c r="M746" s="1" t="s">
        <v>74</v>
      </c>
      <c r="N746" s="1" t="s">
        <v>74</v>
      </c>
      <c r="O746" s="1" t="s">
        <v>74</v>
      </c>
      <c r="P746" s="1" t="s">
        <v>74</v>
      </c>
      <c r="Q746" s="1" t="s">
        <v>74</v>
      </c>
      <c r="R746" s="1" t="s">
        <v>74</v>
      </c>
      <c r="S746" s="1" t="s">
        <v>74</v>
      </c>
      <c r="T746" s="1" t="s">
        <v>74</v>
      </c>
      <c r="U746" s="1" t="s">
        <v>74</v>
      </c>
      <c r="V746" s="1" t="s">
        <v>6888</v>
      </c>
      <c r="W746" s="1" t="s">
        <v>74</v>
      </c>
      <c r="X746" s="1" t="s">
        <v>74</v>
      </c>
      <c r="Y746" s="1" t="s">
        <v>74</v>
      </c>
      <c r="Z746" s="1" t="s">
        <v>74</v>
      </c>
      <c r="AA746" s="1" t="s">
        <v>6889</v>
      </c>
      <c r="AB746" s="1" t="s">
        <v>74</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6890</v>
      </c>
      <c r="AP746" s="1" t="s">
        <v>6891</v>
      </c>
      <c r="AQ746" s="1" t="s">
        <v>74</v>
      </c>
      <c r="AR746" s="1" t="s">
        <v>74</v>
      </c>
      <c r="AS746" s="1" t="s">
        <v>74</v>
      </c>
      <c r="AT746" s="1" t="s">
        <v>607</v>
      </c>
      <c r="AU746" s="1">
        <v>2022.0</v>
      </c>
      <c r="AV746" s="1">
        <v>14.0</v>
      </c>
      <c r="AW746" s="1">
        <v>1.0</v>
      </c>
      <c r="AX746" s="1" t="s">
        <v>74</v>
      </c>
      <c r="AY746" s="1" t="s">
        <v>74</v>
      </c>
      <c r="AZ746" s="1" t="s">
        <v>74</v>
      </c>
      <c r="BA746" s="1" t="s">
        <v>74</v>
      </c>
      <c r="BB746" s="1">
        <v>5.0</v>
      </c>
      <c r="BC746" s="1">
        <v>22.0</v>
      </c>
      <c r="BD746" s="1" t="s">
        <v>74</v>
      </c>
      <c r="BE746" s="1" t="s">
        <v>6892</v>
      </c>
      <c r="BF746" s="2" t="str">
        <f>HYPERLINK("http://dx.doi.org/10.37043/JURA.2022.14.1.1","http://dx.doi.org/10.37043/JURA.2022.14.1.1")</f>
        <v>http://dx.doi.org/10.37043/JURA.2022.14.1.1</v>
      </c>
      <c r="BG746" s="1" t="s">
        <v>74</v>
      </c>
      <c r="BH746" s="1" t="s">
        <v>74</v>
      </c>
      <c r="BI746" s="1" t="s">
        <v>74</v>
      </c>
      <c r="BJ746" s="1" t="s">
        <v>74</v>
      </c>
      <c r="BK746" s="1" t="s">
        <v>74</v>
      </c>
      <c r="BL746" s="1" t="s">
        <v>74</v>
      </c>
      <c r="BM746" s="1" t="s">
        <v>74</v>
      </c>
      <c r="BN746" s="1" t="s">
        <v>74</v>
      </c>
      <c r="BO746" s="1" t="s">
        <v>74</v>
      </c>
      <c r="BP746" s="1" t="s">
        <v>74</v>
      </c>
      <c r="BQ746" s="1" t="s">
        <v>74</v>
      </c>
      <c r="BR746" s="1" t="s">
        <v>74</v>
      </c>
      <c r="BS746" s="1" t="s">
        <v>6893</v>
      </c>
      <c r="BT746" s="1" t="str">
        <f>HYPERLINK("https%3A%2F%2Fwww.webofscience.com%2Fwos%2Fwoscc%2Ffull-record%2FWOS:000771580100001","View Full Record in Web of Science")</f>
        <v>View Full Record in Web of Science</v>
      </c>
    </row>
    <row r="747" ht="12.75" customHeight="1">
      <c r="A747" s="1" t="s">
        <v>72</v>
      </c>
      <c r="B747" s="1" t="s">
        <v>6894</v>
      </c>
      <c r="C747" s="1" t="s">
        <v>74</v>
      </c>
      <c r="D747" s="1" t="s">
        <v>74</v>
      </c>
      <c r="E747" s="1" t="s">
        <v>74</v>
      </c>
      <c r="F747" s="1" t="s">
        <v>6895</v>
      </c>
      <c r="G747" s="1" t="s">
        <v>74</v>
      </c>
      <c r="H747" s="1" t="s">
        <v>74</v>
      </c>
      <c r="I747" s="1" t="s">
        <v>6896</v>
      </c>
      <c r="J747" s="1" t="s">
        <v>5028</v>
      </c>
      <c r="K747" s="1" t="s">
        <v>74</v>
      </c>
      <c r="L747" s="1" t="s">
        <v>74</v>
      </c>
      <c r="M747" s="1" t="s">
        <v>74</v>
      </c>
      <c r="N747" s="1" t="s">
        <v>74</v>
      </c>
      <c r="O747" s="1" t="s">
        <v>74</v>
      </c>
      <c r="P747" s="1" t="s">
        <v>74</v>
      </c>
      <c r="Q747" s="1" t="s">
        <v>74</v>
      </c>
      <c r="R747" s="1" t="s">
        <v>74</v>
      </c>
      <c r="S747" s="1" t="s">
        <v>74</v>
      </c>
      <c r="T747" s="1" t="s">
        <v>74</v>
      </c>
      <c r="U747" s="1" t="s">
        <v>74</v>
      </c>
      <c r="V747" s="1" t="s">
        <v>6897</v>
      </c>
      <c r="W747" s="1" t="s">
        <v>74</v>
      </c>
      <c r="X747" s="1" t="s">
        <v>74</v>
      </c>
      <c r="Y747" s="1" t="s">
        <v>74</v>
      </c>
      <c r="Z747" s="1" t="s">
        <v>74</v>
      </c>
      <c r="AA747" s="1" t="s">
        <v>6898</v>
      </c>
      <c r="AB747" s="1" t="s">
        <v>6899</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74</v>
      </c>
      <c r="AP747" s="1" t="s">
        <v>5032</v>
      </c>
      <c r="AQ747" s="1" t="s">
        <v>74</v>
      </c>
      <c r="AR747" s="1" t="s">
        <v>74</v>
      </c>
      <c r="AS747" s="1" t="s">
        <v>74</v>
      </c>
      <c r="AT747" s="1" t="s">
        <v>94</v>
      </c>
      <c r="AU747" s="1">
        <v>2022.0</v>
      </c>
      <c r="AV747" s="1">
        <v>15.0</v>
      </c>
      <c r="AW747" s="1">
        <v>1.0</v>
      </c>
      <c r="AX747" s="1" t="s">
        <v>74</v>
      </c>
      <c r="AY747" s="1" t="s">
        <v>74</v>
      </c>
      <c r="AZ747" s="1" t="s">
        <v>74</v>
      </c>
      <c r="BA747" s="1" t="s">
        <v>74</v>
      </c>
      <c r="BB747" s="1" t="s">
        <v>74</v>
      </c>
      <c r="BC747" s="1" t="s">
        <v>74</v>
      </c>
      <c r="BD747" s="1">
        <v>73.0</v>
      </c>
      <c r="BE747" s="1" t="s">
        <v>6900</v>
      </c>
      <c r="BF747" s="2" t="str">
        <f>HYPERLINK("http://dx.doi.org/10.3390/en15010073","http://dx.doi.org/10.3390/en15010073")</f>
        <v>http://dx.doi.org/10.3390/en15010073</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6901</v>
      </c>
      <c r="BT747" s="1" t="str">
        <f>HYPERLINK("https%3A%2F%2Fwww.webofscience.com%2Fwos%2Fwoscc%2Ffull-record%2FWOS:000758531200001","View Full Record in Web of Science")</f>
        <v>View Full Record in Web of Science</v>
      </c>
    </row>
    <row r="748" ht="12.75" customHeight="1">
      <c r="A748" s="1" t="s">
        <v>72</v>
      </c>
      <c r="B748" s="1" t="s">
        <v>6902</v>
      </c>
      <c r="C748" s="1" t="s">
        <v>74</v>
      </c>
      <c r="D748" s="1" t="s">
        <v>74</v>
      </c>
      <c r="E748" s="1" t="s">
        <v>74</v>
      </c>
      <c r="F748" s="1" t="s">
        <v>6903</v>
      </c>
      <c r="G748" s="1" t="s">
        <v>74</v>
      </c>
      <c r="H748" s="1" t="s">
        <v>74</v>
      </c>
      <c r="I748" s="1" t="s">
        <v>6904</v>
      </c>
      <c r="J748" s="1" t="s">
        <v>6905</v>
      </c>
      <c r="K748" s="1" t="s">
        <v>74</v>
      </c>
      <c r="L748" s="1" t="s">
        <v>74</v>
      </c>
      <c r="M748" s="1" t="s">
        <v>74</v>
      </c>
      <c r="N748" s="1" t="s">
        <v>74</v>
      </c>
      <c r="O748" s="1" t="s">
        <v>74</v>
      </c>
      <c r="P748" s="1" t="s">
        <v>74</v>
      </c>
      <c r="Q748" s="1" t="s">
        <v>74</v>
      </c>
      <c r="R748" s="1" t="s">
        <v>74</v>
      </c>
      <c r="S748" s="1" t="s">
        <v>74</v>
      </c>
      <c r="T748" s="1" t="s">
        <v>74</v>
      </c>
      <c r="U748" s="1" t="s">
        <v>74</v>
      </c>
      <c r="V748" s="1" t="s">
        <v>6906</v>
      </c>
      <c r="W748" s="1" t="s">
        <v>74</v>
      </c>
      <c r="X748" s="1" t="s">
        <v>74</v>
      </c>
      <c r="Y748" s="1" t="s">
        <v>74</v>
      </c>
      <c r="Z748" s="1" t="s">
        <v>74</v>
      </c>
      <c r="AA748" s="1" t="s">
        <v>74</v>
      </c>
      <c r="AB748" s="1" t="s">
        <v>74</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6907</v>
      </c>
      <c r="AP748" s="1" t="s">
        <v>6908</v>
      </c>
      <c r="AQ748" s="1" t="s">
        <v>74</v>
      </c>
      <c r="AR748" s="1" t="s">
        <v>74</v>
      </c>
      <c r="AS748" s="1" t="s">
        <v>74</v>
      </c>
      <c r="AT748" s="1" t="s">
        <v>680</v>
      </c>
      <c r="AU748" s="1">
        <v>2022.0</v>
      </c>
      <c r="AV748" s="1" t="s">
        <v>74</v>
      </c>
      <c r="AW748" s="1">
        <v>42.0</v>
      </c>
      <c r="AX748" s="1" t="s">
        <v>74</v>
      </c>
      <c r="AY748" s="1" t="s">
        <v>74</v>
      </c>
      <c r="AZ748" s="1" t="s">
        <v>74</v>
      </c>
      <c r="BA748" s="1" t="s">
        <v>74</v>
      </c>
      <c r="BB748" s="1">
        <v>181.0</v>
      </c>
      <c r="BC748" s="1">
        <v>214.0</v>
      </c>
      <c r="BD748" s="1" t="s">
        <v>74</v>
      </c>
      <c r="BE748" s="1" t="s">
        <v>6909</v>
      </c>
      <c r="BF748" s="2" t="str">
        <f>HYPERLINK("http://dx.doi.org/10.18601/01234366.n42.08","http://dx.doi.org/10.18601/01234366.n42.08")</f>
        <v>http://dx.doi.org/10.18601/01234366.n42.08</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6910</v>
      </c>
      <c r="BT748" s="1" t="str">
        <f>HYPERLINK("https%3A%2F%2Fwww.webofscience.com%2Fwos%2Fwoscc%2Ffull-record%2FWOS:000728549600008","View Full Record in Web of Science")</f>
        <v>View Full Record in Web of Science</v>
      </c>
    </row>
    <row r="749" ht="12.75" customHeight="1">
      <c r="A749" s="1" t="s">
        <v>72</v>
      </c>
      <c r="B749" s="1" t="s">
        <v>6911</v>
      </c>
      <c r="C749" s="1" t="s">
        <v>74</v>
      </c>
      <c r="D749" s="1" t="s">
        <v>74</v>
      </c>
      <c r="E749" s="1" t="s">
        <v>74</v>
      </c>
      <c r="F749" s="1" t="s">
        <v>6912</v>
      </c>
      <c r="G749" s="1" t="s">
        <v>74</v>
      </c>
      <c r="H749" s="1" t="s">
        <v>74</v>
      </c>
      <c r="I749" s="1" t="s">
        <v>6913</v>
      </c>
      <c r="J749" s="1" t="s">
        <v>5935</v>
      </c>
      <c r="K749" s="1" t="s">
        <v>74</v>
      </c>
      <c r="L749" s="1" t="s">
        <v>74</v>
      </c>
      <c r="M749" s="1" t="s">
        <v>74</v>
      </c>
      <c r="N749" s="1" t="s">
        <v>74</v>
      </c>
      <c r="O749" s="1" t="s">
        <v>74</v>
      </c>
      <c r="P749" s="1" t="s">
        <v>74</v>
      </c>
      <c r="Q749" s="1" t="s">
        <v>74</v>
      </c>
      <c r="R749" s="1" t="s">
        <v>74</v>
      </c>
      <c r="S749" s="1" t="s">
        <v>74</v>
      </c>
      <c r="T749" s="1" t="s">
        <v>74</v>
      </c>
      <c r="U749" s="1" t="s">
        <v>74</v>
      </c>
      <c r="V749" s="1" t="s">
        <v>6914</v>
      </c>
      <c r="W749" s="1" t="s">
        <v>74</v>
      </c>
      <c r="X749" s="1" t="s">
        <v>74</v>
      </c>
      <c r="Y749" s="1" t="s">
        <v>74</v>
      </c>
      <c r="Z749" s="1" t="s">
        <v>74</v>
      </c>
      <c r="AA749" s="1" t="s">
        <v>6915</v>
      </c>
      <c r="AB749" s="1" t="s">
        <v>6916</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5939</v>
      </c>
      <c r="AP749" s="1" t="s">
        <v>5940</v>
      </c>
      <c r="AQ749" s="1" t="s">
        <v>74</v>
      </c>
      <c r="AR749" s="1" t="s">
        <v>74</v>
      </c>
      <c r="AS749" s="1" t="s">
        <v>74</v>
      </c>
      <c r="AT749" s="1" t="s">
        <v>5239</v>
      </c>
      <c r="AU749" s="1">
        <v>2022.0</v>
      </c>
      <c r="AV749" s="1">
        <v>85.0</v>
      </c>
      <c r="AW749" s="1">
        <v>1.0</v>
      </c>
      <c r="AX749" s="1" t="s">
        <v>74</v>
      </c>
      <c r="AY749" s="1" t="s">
        <v>74</v>
      </c>
      <c r="AZ749" s="1" t="s">
        <v>74</v>
      </c>
      <c r="BA749" s="1" t="s">
        <v>74</v>
      </c>
      <c r="BB749" s="1">
        <v>265.0</v>
      </c>
      <c r="BC749" s="1">
        <v>278.0</v>
      </c>
      <c r="BD749" s="1" t="s">
        <v>74</v>
      </c>
      <c r="BE749" s="1" t="s">
        <v>6917</v>
      </c>
      <c r="BF749" s="2" t="str">
        <f>HYPERLINK("http://dx.doi.org/10.2166/wst.2021.621","http://dx.doi.org/10.2166/wst.2021.621")</f>
        <v>http://dx.doi.org/10.2166/wst.2021.621</v>
      </c>
      <c r="BG749" s="1" t="s">
        <v>74</v>
      </c>
      <c r="BH749" s="1" t="s">
        <v>1625</v>
      </c>
      <c r="BI749" s="1" t="s">
        <v>74</v>
      </c>
      <c r="BJ749" s="1" t="s">
        <v>74</v>
      </c>
      <c r="BK749" s="1" t="s">
        <v>74</v>
      </c>
      <c r="BL749" s="1" t="s">
        <v>74</v>
      </c>
      <c r="BM749" s="1" t="s">
        <v>74</v>
      </c>
      <c r="BN749" s="1">
        <v>3.5050882E7</v>
      </c>
      <c r="BO749" s="1" t="s">
        <v>74</v>
      </c>
      <c r="BP749" s="1" t="s">
        <v>74</v>
      </c>
      <c r="BQ749" s="1" t="s">
        <v>74</v>
      </c>
      <c r="BR749" s="1" t="s">
        <v>74</v>
      </c>
      <c r="BS749" s="1" t="s">
        <v>6918</v>
      </c>
      <c r="BT749" s="1" t="str">
        <f>HYPERLINK("https%3A%2F%2Fwww.webofscience.com%2Fwos%2Fwoscc%2Ffull-record%2FWOS:000730755800001","View Full Record in Web of Science")</f>
        <v>View Full Record in Web of Science</v>
      </c>
    </row>
    <row r="750" ht="12.75" customHeight="1">
      <c r="A750" s="1" t="s">
        <v>72</v>
      </c>
      <c r="B750" s="1" t="s">
        <v>6919</v>
      </c>
      <c r="C750" s="1" t="s">
        <v>74</v>
      </c>
      <c r="D750" s="1" t="s">
        <v>74</v>
      </c>
      <c r="E750" s="1" t="s">
        <v>74</v>
      </c>
      <c r="F750" s="1" t="s">
        <v>6920</v>
      </c>
      <c r="G750" s="1" t="s">
        <v>74</v>
      </c>
      <c r="H750" s="1" t="s">
        <v>74</v>
      </c>
      <c r="I750" s="1" t="s">
        <v>6921</v>
      </c>
      <c r="J750" s="1" t="s">
        <v>6922</v>
      </c>
      <c r="K750" s="1" t="s">
        <v>74</v>
      </c>
      <c r="L750" s="1" t="s">
        <v>74</v>
      </c>
      <c r="M750" s="1" t="s">
        <v>74</v>
      </c>
      <c r="N750" s="1" t="s">
        <v>74</v>
      </c>
      <c r="O750" s="1" t="s">
        <v>74</v>
      </c>
      <c r="P750" s="1" t="s">
        <v>74</v>
      </c>
      <c r="Q750" s="1" t="s">
        <v>74</v>
      </c>
      <c r="R750" s="1" t="s">
        <v>74</v>
      </c>
      <c r="S750" s="1" t="s">
        <v>74</v>
      </c>
      <c r="T750" s="1" t="s">
        <v>74</v>
      </c>
      <c r="U750" s="1" t="s">
        <v>74</v>
      </c>
      <c r="V750" s="1" t="s">
        <v>6923</v>
      </c>
      <c r="W750" s="1" t="s">
        <v>74</v>
      </c>
      <c r="X750" s="1" t="s">
        <v>74</v>
      </c>
      <c r="Y750" s="1" t="s">
        <v>74</v>
      </c>
      <c r="Z750" s="1" t="s">
        <v>74</v>
      </c>
      <c r="AA750" s="1" t="s">
        <v>6924</v>
      </c>
      <c r="AB750" s="1" t="s">
        <v>6925</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6926</v>
      </c>
      <c r="AP750" s="1" t="s">
        <v>74</v>
      </c>
      <c r="AQ750" s="1" t="s">
        <v>74</v>
      </c>
      <c r="AR750" s="1" t="s">
        <v>74</v>
      </c>
      <c r="AS750" s="1" t="s">
        <v>74</v>
      </c>
      <c r="AT750" s="1" t="s">
        <v>6927</v>
      </c>
      <c r="AU750" s="1">
        <v>2021.0</v>
      </c>
      <c r="AV750" s="1">
        <v>12.0</v>
      </c>
      <c r="AW750" s="1" t="s">
        <v>74</v>
      </c>
      <c r="AX750" s="1" t="s">
        <v>74</v>
      </c>
      <c r="AY750" s="1" t="s">
        <v>74</v>
      </c>
      <c r="AZ750" s="1" t="s">
        <v>74</v>
      </c>
      <c r="BA750" s="1" t="s">
        <v>74</v>
      </c>
      <c r="BB750" s="1" t="s">
        <v>74</v>
      </c>
      <c r="BC750" s="1" t="s">
        <v>74</v>
      </c>
      <c r="BD750" s="1">
        <v>669096.0</v>
      </c>
      <c r="BE750" s="1" t="s">
        <v>6928</v>
      </c>
      <c r="BF750" s="2" t="str">
        <f>HYPERLINK("http://dx.doi.org/10.3389/fpls.2021.669096","http://dx.doi.org/10.3389/fpls.2021.669096")</f>
        <v>http://dx.doi.org/10.3389/fpls.2021.669096</v>
      </c>
      <c r="BG750" s="1" t="s">
        <v>74</v>
      </c>
      <c r="BH750" s="1" t="s">
        <v>74</v>
      </c>
      <c r="BI750" s="1" t="s">
        <v>74</v>
      </c>
      <c r="BJ750" s="1" t="s">
        <v>74</v>
      </c>
      <c r="BK750" s="1" t="s">
        <v>74</v>
      </c>
      <c r="BL750" s="1" t="s">
        <v>74</v>
      </c>
      <c r="BM750" s="1" t="s">
        <v>74</v>
      </c>
      <c r="BN750" s="1">
        <v>3.4234796E7</v>
      </c>
      <c r="BO750" s="1" t="s">
        <v>74</v>
      </c>
      <c r="BP750" s="1" t="s">
        <v>74</v>
      </c>
      <c r="BQ750" s="1" t="s">
        <v>74</v>
      </c>
      <c r="BR750" s="1" t="s">
        <v>74</v>
      </c>
      <c r="BS750" s="1" t="s">
        <v>6929</v>
      </c>
      <c r="BT750" s="1" t="str">
        <f>HYPERLINK("https%3A%2F%2Fwww.webofscience.com%2Fwos%2Fwoscc%2Ffull-record%2FWOS:000669464600001","View Full Record in Web of Science")</f>
        <v>View Full Record in Web of Science</v>
      </c>
    </row>
    <row r="751" ht="12.75" customHeight="1">
      <c r="A751" s="1" t="s">
        <v>72</v>
      </c>
      <c r="B751" s="1" t="s">
        <v>6930</v>
      </c>
      <c r="C751" s="1" t="s">
        <v>74</v>
      </c>
      <c r="D751" s="1" t="s">
        <v>74</v>
      </c>
      <c r="E751" s="1" t="s">
        <v>74</v>
      </c>
      <c r="F751" s="1" t="s">
        <v>6931</v>
      </c>
      <c r="G751" s="1" t="s">
        <v>74</v>
      </c>
      <c r="H751" s="1" t="s">
        <v>74</v>
      </c>
      <c r="I751" s="1" t="s">
        <v>6932</v>
      </c>
      <c r="J751" s="1" t="s">
        <v>6348</v>
      </c>
      <c r="K751" s="1" t="s">
        <v>74</v>
      </c>
      <c r="L751" s="1" t="s">
        <v>74</v>
      </c>
      <c r="M751" s="1" t="s">
        <v>74</v>
      </c>
      <c r="N751" s="1" t="s">
        <v>74</v>
      </c>
      <c r="O751" s="1" t="s">
        <v>74</v>
      </c>
      <c r="P751" s="1" t="s">
        <v>74</v>
      </c>
      <c r="Q751" s="1" t="s">
        <v>74</v>
      </c>
      <c r="R751" s="1" t="s">
        <v>74</v>
      </c>
      <c r="S751" s="1" t="s">
        <v>74</v>
      </c>
      <c r="T751" s="1" t="s">
        <v>74</v>
      </c>
      <c r="U751" s="1" t="s">
        <v>74</v>
      </c>
      <c r="V751" s="1" t="s">
        <v>6933</v>
      </c>
      <c r="W751" s="1" t="s">
        <v>74</v>
      </c>
      <c r="X751" s="1" t="s">
        <v>74</v>
      </c>
      <c r="Y751" s="1" t="s">
        <v>74</v>
      </c>
      <c r="Z751" s="1" t="s">
        <v>74</v>
      </c>
      <c r="AA751" s="1" t="s">
        <v>6934</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6350</v>
      </c>
      <c r="AP751" s="1" t="s">
        <v>6351</v>
      </c>
      <c r="AQ751" s="1" t="s">
        <v>74</v>
      </c>
      <c r="AR751" s="1" t="s">
        <v>74</v>
      </c>
      <c r="AS751" s="1" t="s">
        <v>74</v>
      </c>
      <c r="AT751" s="1" t="s">
        <v>343</v>
      </c>
      <c r="AU751" s="1">
        <v>2021.0</v>
      </c>
      <c r="AV751" s="1">
        <v>60.0</v>
      </c>
      <c r="AW751" s="1" t="s">
        <v>74</v>
      </c>
      <c r="AX751" s="1" t="s">
        <v>74</v>
      </c>
      <c r="AY751" s="1" t="s">
        <v>74</v>
      </c>
      <c r="AZ751" s="1" t="s">
        <v>74</v>
      </c>
      <c r="BA751" s="1" t="s">
        <v>74</v>
      </c>
      <c r="BB751" s="1" t="s">
        <v>74</v>
      </c>
      <c r="BC751" s="1" t="s">
        <v>74</v>
      </c>
      <c r="BD751" s="1">
        <v>103314.0</v>
      </c>
      <c r="BE751" s="1" t="s">
        <v>6935</v>
      </c>
      <c r="BF751" s="2" t="str">
        <f>HYPERLINK("http://dx.doi.org/10.1016/j.nonrwa.2021.103314","http://dx.doi.org/10.1016/j.nonrwa.2021.103314")</f>
        <v>http://dx.doi.org/10.1016/j.nonrwa.2021.103314</v>
      </c>
      <c r="BG751" s="1" t="s">
        <v>74</v>
      </c>
      <c r="BH751" s="1" t="s">
        <v>2889</v>
      </c>
      <c r="BI751" s="1" t="s">
        <v>74</v>
      </c>
      <c r="BJ751" s="1" t="s">
        <v>74</v>
      </c>
      <c r="BK751" s="1" t="s">
        <v>74</v>
      </c>
      <c r="BL751" s="1" t="s">
        <v>74</v>
      </c>
      <c r="BM751" s="1" t="s">
        <v>74</v>
      </c>
      <c r="BN751" s="1" t="s">
        <v>74</v>
      </c>
      <c r="BO751" s="1" t="s">
        <v>74</v>
      </c>
      <c r="BP751" s="1" t="s">
        <v>74</v>
      </c>
      <c r="BQ751" s="1" t="s">
        <v>74</v>
      </c>
      <c r="BR751" s="1" t="s">
        <v>74</v>
      </c>
      <c r="BS751" s="1" t="s">
        <v>6936</v>
      </c>
      <c r="BT751" s="1" t="str">
        <f>HYPERLINK("https%3A%2F%2Fwww.webofscience.com%2Fwos%2Fwoscc%2Ffull-record%2FWOS:000633361700025","View Full Record in Web of Science")</f>
        <v>View Full Record in Web of Science</v>
      </c>
    </row>
    <row r="752" ht="12.75" customHeight="1">
      <c r="A752" s="1" t="s">
        <v>72</v>
      </c>
      <c r="B752" s="1" t="s">
        <v>6937</v>
      </c>
      <c r="C752" s="1" t="s">
        <v>74</v>
      </c>
      <c r="D752" s="1" t="s">
        <v>74</v>
      </c>
      <c r="E752" s="1" t="s">
        <v>74</v>
      </c>
      <c r="F752" s="1" t="s">
        <v>6938</v>
      </c>
      <c r="G752" s="1" t="s">
        <v>74</v>
      </c>
      <c r="H752" s="1" t="s">
        <v>74</v>
      </c>
      <c r="I752" s="1" t="s">
        <v>6939</v>
      </c>
      <c r="J752" s="1" t="s">
        <v>5837</v>
      </c>
      <c r="K752" s="1" t="s">
        <v>74</v>
      </c>
      <c r="L752" s="1" t="s">
        <v>74</v>
      </c>
      <c r="M752" s="1" t="s">
        <v>74</v>
      </c>
      <c r="N752" s="1" t="s">
        <v>74</v>
      </c>
      <c r="O752" s="1" t="s">
        <v>74</v>
      </c>
      <c r="P752" s="1" t="s">
        <v>74</v>
      </c>
      <c r="Q752" s="1" t="s">
        <v>74</v>
      </c>
      <c r="R752" s="1" t="s">
        <v>74</v>
      </c>
      <c r="S752" s="1" t="s">
        <v>74</v>
      </c>
      <c r="T752" s="1" t="s">
        <v>74</v>
      </c>
      <c r="U752" s="1" t="s">
        <v>74</v>
      </c>
      <c r="V752" s="1" t="s">
        <v>6940</v>
      </c>
      <c r="W752" s="1" t="s">
        <v>74</v>
      </c>
      <c r="X752" s="1" t="s">
        <v>74</v>
      </c>
      <c r="Y752" s="1" t="s">
        <v>74</v>
      </c>
      <c r="Z752" s="1" t="s">
        <v>74</v>
      </c>
      <c r="AA752" s="1" t="s">
        <v>6941</v>
      </c>
      <c r="AB752" s="1" t="s">
        <v>6942</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5841</v>
      </c>
      <c r="AP752" s="1" t="s">
        <v>74</v>
      </c>
      <c r="AQ752" s="1" t="s">
        <v>74</v>
      </c>
      <c r="AR752" s="1" t="s">
        <v>74</v>
      </c>
      <c r="AS752" s="1" t="s">
        <v>74</v>
      </c>
      <c r="AT752" s="1" t="s">
        <v>2672</v>
      </c>
      <c r="AU752" s="1">
        <v>2021.0</v>
      </c>
      <c r="AV752" s="1">
        <v>8.0</v>
      </c>
      <c r="AW752" s="1" t="s">
        <v>74</v>
      </c>
      <c r="AX752" s="1" t="s">
        <v>74</v>
      </c>
      <c r="AY752" s="1" t="s">
        <v>74</v>
      </c>
      <c r="AZ752" s="1" t="s">
        <v>74</v>
      </c>
      <c r="BA752" s="1" t="s">
        <v>74</v>
      </c>
      <c r="BB752" s="1" t="s">
        <v>74</v>
      </c>
      <c r="BC752" s="1" t="s">
        <v>74</v>
      </c>
      <c r="BD752" s="1">
        <v>622611.0</v>
      </c>
      <c r="BE752" s="1" t="s">
        <v>6943</v>
      </c>
      <c r="BF752" s="2" t="str">
        <f>HYPERLINK("http://dx.doi.org/10.3389/fchem.2020.622611","http://dx.doi.org/10.3389/fchem.2020.622611")</f>
        <v>http://dx.doi.org/10.3389/fchem.2020.622611</v>
      </c>
      <c r="BG752" s="1" t="s">
        <v>74</v>
      </c>
      <c r="BH752" s="1" t="s">
        <v>74</v>
      </c>
      <c r="BI752" s="1" t="s">
        <v>74</v>
      </c>
      <c r="BJ752" s="1" t="s">
        <v>74</v>
      </c>
      <c r="BK752" s="1" t="s">
        <v>74</v>
      </c>
      <c r="BL752" s="1" t="s">
        <v>74</v>
      </c>
      <c r="BM752" s="1" t="s">
        <v>74</v>
      </c>
      <c r="BN752" s="1">
        <v>3.3732681E7</v>
      </c>
      <c r="BO752" s="1" t="s">
        <v>74</v>
      </c>
      <c r="BP752" s="1" t="s">
        <v>74</v>
      </c>
      <c r="BQ752" s="1" t="s">
        <v>74</v>
      </c>
      <c r="BR752" s="1" t="s">
        <v>74</v>
      </c>
      <c r="BS752" s="1" t="s">
        <v>6944</v>
      </c>
      <c r="BT752" s="1" t="str">
        <f>HYPERLINK("https%3A%2F%2Fwww.webofscience.com%2Fwos%2Fwoscc%2Ffull-record%2FWOS:000616795300001","View Full Record in Web of Science")</f>
        <v>View Full Record in Web of Science</v>
      </c>
    </row>
    <row r="753" ht="12.75" customHeight="1">
      <c r="A753" s="1" t="s">
        <v>72</v>
      </c>
      <c r="B753" s="1" t="s">
        <v>6945</v>
      </c>
      <c r="C753" s="1" t="s">
        <v>74</v>
      </c>
      <c r="D753" s="1" t="s">
        <v>74</v>
      </c>
      <c r="E753" s="1" t="s">
        <v>74</v>
      </c>
      <c r="F753" s="1" t="s">
        <v>6946</v>
      </c>
      <c r="G753" s="1" t="s">
        <v>74</v>
      </c>
      <c r="H753" s="1" t="s">
        <v>74</v>
      </c>
      <c r="I753" s="1" t="s">
        <v>6947</v>
      </c>
      <c r="J753" s="1" t="s">
        <v>3417</v>
      </c>
      <c r="K753" s="1" t="s">
        <v>74</v>
      </c>
      <c r="L753" s="1" t="s">
        <v>74</v>
      </c>
      <c r="M753" s="1" t="s">
        <v>74</v>
      </c>
      <c r="N753" s="1" t="s">
        <v>74</v>
      </c>
      <c r="O753" s="1" t="s">
        <v>74</v>
      </c>
      <c r="P753" s="1" t="s">
        <v>74</v>
      </c>
      <c r="Q753" s="1" t="s">
        <v>74</v>
      </c>
      <c r="R753" s="1" t="s">
        <v>74</v>
      </c>
      <c r="S753" s="1" t="s">
        <v>74</v>
      </c>
      <c r="T753" s="1" t="s">
        <v>74</v>
      </c>
      <c r="U753" s="1" t="s">
        <v>74</v>
      </c>
      <c r="V753" s="1" t="s">
        <v>6948</v>
      </c>
      <c r="W753" s="1" t="s">
        <v>74</v>
      </c>
      <c r="X753" s="1" t="s">
        <v>74</v>
      </c>
      <c r="Y753" s="1" t="s">
        <v>74</v>
      </c>
      <c r="Z753" s="1" t="s">
        <v>74</v>
      </c>
      <c r="AA753" s="1" t="s">
        <v>6949</v>
      </c>
      <c r="AB753" s="1" t="s">
        <v>6950</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3419</v>
      </c>
      <c r="AP753" s="1" t="s">
        <v>74</v>
      </c>
      <c r="AQ753" s="1" t="s">
        <v>74</v>
      </c>
      <c r="AR753" s="1" t="s">
        <v>74</v>
      </c>
      <c r="AS753" s="1" t="s">
        <v>74</v>
      </c>
      <c r="AT753" s="1" t="s">
        <v>5563</v>
      </c>
      <c r="AU753" s="1">
        <v>2021.0</v>
      </c>
      <c r="AV753" s="1">
        <v>2021.0</v>
      </c>
      <c r="AW753" s="1">
        <v>1.0</v>
      </c>
      <c r="AX753" s="1" t="s">
        <v>74</v>
      </c>
      <c r="AY753" s="1" t="s">
        <v>74</v>
      </c>
      <c r="AZ753" s="1" t="s">
        <v>74</v>
      </c>
      <c r="BA753" s="1" t="s">
        <v>74</v>
      </c>
      <c r="BB753" s="1" t="s">
        <v>74</v>
      </c>
      <c r="BC753" s="1" t="s">
        <v>74</v>
      </c>
      <c r="BD753" s="1">
        <v>35.0</v>
      </c>
      <c r="BE753" s="1" t="s">
        <v>6951</v>
      </c>
      <c r="BF753" s="2" t="str">
        <f>HYPERLINK("http://dx.doi.org/10.1186/s13662-020-03206-7","http://dx.doi.org/10.1186/s13662-020-03206-7")</f>
        <v>http://dx.doi.org/10.1186/s13662-020-03206-7</v>
      </c>
      <c r="BG753" s="1" t="s">
        <v>74</v>
      </c>
      <c r="BH753" s="1" t="s">
        <v>74</v>
      </c>
      <c r="BI753" s="1" t="s">
        <v>74</v>
      </c>
      <c r="BJ753" s="1" t="s">
        <v>74</v>
      </c>
      <c r="BK753" s="1" t="s">
        <v>74</v>
      </c>
      <c r="BL753" s="1" t="s">
        <v>74</v>
      </c>
      <c r="BM753" s="1" t="s">
        <v>74</v>
      </c>
      <c r="BN753" s="1">
        <v>3.3437298E7</v>
      </c>
      <c r="BO753" s="1" t="s">
        <v>74</v>
      </c>
      <c r="BP753" s="1" t="s">
        <v>74</v>
      </c>
      <c r="BQ753" s="1" t="s">
        <v>74</v>
      </c>
      <c r="BR753" s="1" t="s">
        <v>74</v>
      </c>
      <c r="BS753" s="1" t="s">
        <v>6952</v>
      </c>
      <c r="BT753" s="1" t="str">
        <f>HYPERLINK("https%3A%2F%2Fwww.webofscience.com%2Fwos%2Fwoscc%2Ffull-record%2FWOS:000609498700027","View Full Record in Web of Science")</f>
        <v>View Full Record in Web of Science</v>
      </c>
    </row>
    <row r="754" ht="12.75" customHeight="1">
      <c r="A754" s="1" t="s">
        <v>72</v>
      </c>
      <c r="B754" s="1" t="s">
        <v>6953</v>
      </c>
      <c r="C754" s="1" t="s">
        <v>74</v>
      </c>
      <c r="D754" s="1" t="s">
        <v>74</v>
      </c>
      <c r="E754" s="1" t="s">
        <v>74</v>
      </c>
      <c r="F754" s="1" t="s">
        <v>6954</v>
      </c>
      <c r="G754" s="1" t="s">
        <v>74</v>
      </c>
      <c r="H754" s="1" t="s">
        <v>74</v>
      </c>
      <c r="I754" s="1" t="s">
        <v>6955</v>
      </c>
      <c r="J754" s="1" t="s">
        <v>6956</v>
      </c>
      <c r="K754" s="1" t="s">
        <v>74</v>
      </c>
      <c r="L754" s="1" t="s">
        <v>74</v>
      </c>
      <c r="M754" s="1" t="s">
        <v>74</v>
      </c>
      <c r="N754" s="1" t="s">
        <v>74</v>
      </c>
      <c r="O754" s="1" t="s">
        <v>74</v>
      </c>
      <c r="P754" s="1" t="s">
        <v>74</v>
      </c>
      <c r="Q754" s="1" t="s">
        <v>74</v>
      </c>
      <c r="R754" s="1" t="s">
        <v>74</v>
      </c>
      <c r="S754" s="1" t="s">
        <v>74</v>
      </c>
      <c r="T754" s="1" t="s">
        <v>74</v>
      </c>
      <c r="U754" s="1" t="s">
        <v>74</v>
      </c>
      <c r="V754" s="1" t="s">
        <v>74</v>
      </c>
      <c r="W754" s="1" t="s">
        <v>74</v>
      </c>
      <c r="X754" s="1" t="s">
        <v>74</v>
      </c>
      <c r="Y754" s="1" t="s">
        <v>74</v>
      </c>
      <c r="Z754" s="1" t="s">
        <v>74</v>
      </c>
      <c r="AA754" s="1" t="s">
        <v>6957</v>
      </c>
      <c r="AB754" s="1" t="s">
        <v>6958</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6959</v>
      </c>
      <c r="AP754" s="1" t="s">
        <v>74</v>
      </c>
      <c r="AQ754" s="1" t="s">
        <v>74</v>
      </c>
      <c r="AR754" s="1" t="s">
        <v>74</v>
      </c>
      <c r="AS754" s="1" t="s">
        <v>74</v>
      </c>
      <c r="AT754" s="1" t="s">
        <v>74</v>
      </c>
      <c r="AU754" s="1">
        <v>2021.0</v>
      </c>
      <c r="AV754" s="1">
        <v>16.0</v>
      </c>
      <c r="AW754" s="1" t="s">
        <v>74</v>
      </c>
      <c r="AX754" s="1" t="s">
        <v>74</v>
      </c>
      <c r="AY754" s="1">
        <v>1.0</v>
      </c>
      <c r="AZ754" s="1" t="s">
        <v>74</v>
      </c>
      <c r="BA754" s="1" t="s">
        <v>74</v>
      </c>
      <c r="BB754" s="1">
        <v>6.0</v>
      </c>
      <c r="BC754" s="1">
        <v>7.0</v>
      </c>
      <c r="BD754" s="1" t="s">
        <v>74</v>
      </c>
      <c r="BE754" s="1" t="s">
        <v>6960</v>
      </c>
      <c r="BF754" s="2" t="str">
        <f>HYPERLINK("http://dx.doi.org/10.18002/rama.v16i1s.6998","http://dx.doi.org/10.18002/rama.v16i1s.6998")</f>
        <v>http://dx.doi.org/10.18002/rama.v16i1s.6998</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6961</v>
      </c>
      <c r="BT754" s="1" t="str">
        <f>HYPERLINK("https%3A%2F%2Fwww.webofscience.com%2Fwos%2Fwoscc%2Ffull-record%2FWOS:000632219600002","View Full Record in Web of Science")</f>
        <v>View Full Record in Web of Science</v>
      </c>
    </row>
    <row r="755" ht="12.75" customHeight="1">
      <c r="A755" s="1" t="s">
        <v>72</v>
      </c>
      <c r="B755" s="1" t="s">
        <v>6962</v>
      </c>
      <c r="C755" s="1" t="s">
        <v>74</v>
      </c>
      <c r="D755" s="1" t="s">
        <v>74</v>
      </c>
      <c r="E755" s="1" t="s">
        <v>74</v>
      </c>
      <c r="F755" s="1" t="s">
        <v>6963</v>
      </c>
      <c r="G755" s="1" t="s">
        <v>74</v>
      </c>
      <c r="H755" s="1" t="s">
        <v>74</v>
      </c>
      <c r="I755" s="1" t="s">
        <v>6964</v>
      </c>
      <c r="J755" s="1" t="s">
        <v>280</v>
      </c>
      <c r="K755" s="1" t="s">
        <v>74</v>
      </c>
      <c r="L755" s="1" t="s">
        <v>74</v>
      </c>
      <c r="M755" s="1" t="s">
        <v>74</v>
      </c>
      <c r="N755" s="1" t="s">
        <v>74</v>
      </c>
      <c r="O755" s="1" t="s">
        <v>74</v>
      </c>
      <c r="P755" s="1" t="s">
        <v>74</v>
      </c>
      <c r="Q755" s="1" t="s">
        <v>74</v>
      </c>
      <c r="R755" s="1" t="s">
        <v>74</v>
      </c>
      <c r="S755" s="1" t="s">
        <v>74</v>
      </c>
      <c r="T755" s="1" t="s">
        <v>74</v>
      </c>
      <c r="U755" s="1" t="s">
        <v>74</v>
      </c>
      <c r="V755" s="1" t="s">
        <v>6965</v>
      </c>
      <c r="W755" s="1" t="s">
        <v>74</v>
      </c>
      <c r="X755" s="1" t="s">
        <v>74</v>
      </c>
      <c r="Y755" s="1" t="s">
        <v>74</v>
      </c>
      <c r="Z755" s="1" t="s">
        <v>74</v>
      </c>
      <c r="AA755" s="1" t="s">
        <v>4461</v>
      </c>
      <c r="AB755" s="1" t="s">
        <v>4462</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283</v>
      </c>
      <c r="AP755" s="1" t="s">
        <v>74</v>
      </c>
      <c r="AQ755" s="1" t="s">
        <v>74</v>
      </c>
      <c r="AR755" s="1" t="s">
        <v>74</v>
      </c>
      <c r="AS755" s="1" t="s">
        <v>74</v>
      </c>
      <c r="AT755" s="1" t="s">
        <v>160</v>
      </c>
      <c r="AU755" s="1">
        <v>2020.0</v>
      </c>
      <c r="AV755" s="1">
        <v>65.0</v>
      </c>
      <c r="AW755" s="1">
        <v>4.0</v>
      </c>
      <c r="AX755" s="1" t="s">
        <v>74</v>
      </c>
      <c r="AY755" s="1" t="s">
        <v>74</v>
      </c>
      <c r="AZ755" s="1" t="s">
        <v>74</v>
      </c>
      <c r="BA755" s="1" t="s">
        <v>74</v>
      </c>
      <c r="BB755" s="1">
        <v>5004.0</v>
      </c>
      <c r="BC755" s="1">
        <v>5010.0</v>
      </c>
      <c r="BD755" s="1" t="s">
        <v>74</v>
      </c>
      <c r="BE755" s="1" t="s">
        <v>74</v>
      </c>
      <c r="BF755" s="1" t="s">
        <v>74</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6966</v>
      </c>
      <c r="BT755" s="1" t="str">
        <f>HYPERLINK("https%3A%2F%2Fwww.webofscience.com%2Fwos%2Fwoscc%2Ffull-record%2FWOS:000596297000013","View Full Record in Web of Science")</f>
        <v>View Full Record in Web of Science</v>
      </c>
    </row>
    <row r="756" ht="12.75" customHeight="1">
      <c r="A756" s="1" t="s">
        <v>72</v>
      </c>
      <c r="B756" s="1" t="s">
        <v>6967</v>
      </c>
      <c r="C756" s="1" t="s">
        <v>74</v>
      </c>
      <c r="D756" s="1" t="s">
        <v>74</v>
      </c>
      <c r="E756" s="1" t="s">
        <v>74</v>
      </c>
      <c r="F756" s="1" t="s">
        <v>6968</v>
      </c>
      <c r="G756" s="1" t="s">
        <v>74</v>
      </c>
      <c r="H756" s="1" t="s">
        <v>74</v>
      </c>
      <c r="I756" s="1" t="s">
        <v>6969</v>
      </c>
      <c r="J756" s="1" t="s">
        <v>2531</v>
      </c>
      <c r="K756" s="1" t="s">
        <v>74</v>
      </c>
      <c r="L756" s="1" t="s">
        <v>74</v>
      </c>
      <c r="M756" s="1" t="s">
        <v>74</v>
      </c>
      <c r="N756" s="1" t="s">
        <v>74</v>
      </c>
      <c r="O756" s="1" t="s">
        <v>74</v>
      </c>
      <c r="P756" s="1" t="s">
        <v>74</v>
      </c>
      <c r="Q756" s="1" t="s">
        <v>74</v>
      </c>
      <c r="R756" s="1" t="s">
        <v>74</v>
      </c>
      <c r="S756" s="1" t="s">
        <v>74</v>
      </c>
      <c r="T756" s="1" t="s">
        <v>74</v>
      </c>
      <c r="U756" s="1" t="s">
        <v>74</v>
      </c>
      <c r="V756" s="1" t="s">
        <v>6970</v>
      </c>
      <c r="W756" s="1" t="s">
        <v>74</v>
      </c>
      <c r="X756" s="1" t="s">
        <v>74</v>
      </c>
      <c r="Y756" s="1" t="s">
        <v>74</v>
      </c>
      <c r="Z756" s="1" t="s">
        <v>74</v>
      </c>
      <c r="AA756" s="1" t="s">
        <v>6971</v>
      </c>
      <c r="AB756" s="1" t="s">
        <v>6972</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74</v>
      </c>
      <c r="AP756" s="1" t="s">
        <v>2535</v>
      </c>
      <c r="AQ756" s="1" t="s">
        <v>74</v>
      </c>
      <c r="AR756" s="1" t="s">
        <v>74</v>
      </c>
      <c r="AS756" s="1" t="s">
        <v>74</v>
      </c>
      <c r="AT756" s="1" t="s">
        <v>94</v>
      </c>
      <c r="AU756" s="1">
        <v>2020.0</v>
      </c>
      <c r="AV756" s="1">
        <v>9.0</v>
      </c>
      <c r="AW756" s="1">
        <v>1.0</v>
      </c>
      <c r="AX756" s="1" t="s">
        <v>74</v>
      </c>
      <c r="AY756" s="1" t="s">
        <v>74</v>
      </c>
      <c r="AZ756" s="1" t="s">
        <v>74</v>
      </c>
      <c r="BA756" s="1" t="s">
        <v>74</v>
      </c>
      <c r="BB756" s="1" t="s">
        <v>74</v>
      </c>
      <c r="BC756" s="1" t="s">
        <v>74</v>
      </c>
      <c r="BD756" s="1">
        <v>42.0</v>
      </c>
      <c r="BE756" s="1" t="s">
        <v>6973</v>
      </c>
      <c r="BF756" s="2" t="str">
        <f>HYPERLINK("http://dx.doi.org/10.3390/foods9010042","http://dx.doi.org/10.3390/foods9010042")</f>
        <v>http://dx.doi.org/10.3390/foods9010042</v>
      </c>
      <c r="BG756" s="1" t="s">
        <v>74</v>
      </c>
      <c r="BH756" s="1" t="s">
        <v>74</v>
      </c>
      <c r="BI756" s="1" t="s">
        <v>74</v>
      </c>
      <c r="BJ756" s="1" t="s">
        <v>74</v>
      </c>
      <c r="BK756" s="1" t="s">
        <v>74</v>
      </c>
      <c r="BL756" s="1" t="s">
        <v>74</v>
      </c>
      <c r="BM756" s="1" t="s">
        <v>74</v>
      </c>
      <c r="BN756" s="1">
        <v>3.1947752E7</v>
      </c>
      <c r="BO756" s="1" t="s">
        <v>74</v>
      </c>
      <c r="BP756" s="1" t="s">
        <v>74</v>
      </c>
      <c r="BQ756" s="1" t="s">
        <v>74</v>
      </c>
      <c r="BR756" s="1" t="s">
        <v>74</v>
      </c>
      <c r="BS756" s="1" t="s">
        <v>6974</v>
      </c>
      <c r="BT756" s="1" t="str">
        <f>HYPERLINK("https%3A%2F%2Fwww.webofscience.com%2Fwos%2Fwoscc%2Ffull-record%2FWOS:000513235300042","View Full Record in Web of Science")</f>
        <v>View Full Record in Web of Science</v>
      </c>
    </row>
    <row r="757" ht="12.75" customHeight="1">
      <c r="A757" s="1" t="s">
        <v>72</v>
      </c>
      <c r="B757" s="1" t="s">
        <v>6975</v>
      </c>
      <c r="C757" s="1" t="s">
        <v>74</v>
      </c>
      <c r="D757" s="1" t="s">
        <v>74</v>
      </c>
      <c r="E757" s="1" t="s">
        <v>74</v>
      </c>
      <c r="F757" s="1" t="s">
        <v>6976</v>
      </c>
      <c r="G757" s="1" t="s">
        <v>74</v>
      </c>
      <c r="H757" s="1" t="s">
        <v>74</v>
      </c>
      <c r="I757" s="1" t="s">
        <v>6977</v>
      </c>
      <c r="J757" s="1" t="s">
        <v>5056</v>
      </c>
      <c r="K757" s="1" t="s">
        <v>74</v>
      </c>
      <c r="L757" s="1" t="s">
        <v>74</v>
      </c>
      <c r="M757" s="1" t="s">
        <v>74</v>
      </c>
      <c r="N757" s="1" t="s">
        <v>74</v>
      </c>
      <c r="O757" s="1" t="s">
        <v>74</v>
      </c>
      <c r="P757" s="1" t="s">
        <v>74</v>
      </c>
      <c r="Q757" s="1" t="s">
        <v>74</v>
      </c>
      <c r="R757" s="1" t="s">
        <v>74</v>
      </c>
      <c r="S757" s="1" t="s">
        <v>74</v>
      </c>
      <c r="T757" s="1" t="s">
        <v>74</v>
      </c>
      <c r="U757" s="1" t="s">
        <v>74</v>
      </c>
      <c r="V757" s="1" t="s">
        <v>74</v>
      </c>
      <c r="W757" s="1" t="s">
        <v>74</v>
      </c>
      <c r="X757" s="1" t="s">
        <v>74</v>
      </c>
      <c r="Y757" s="1" t="s">
        <v>74</v>
      </c>
      <c r="Z757" s="1" t="s">
        <v>74</v>
      </c>
      <c r="AA757" s="1" t="s">
        <v>74</v>
      </c>
      <c r="AB757" s="1" t="s">
        <v>74</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5058</v>
      </c>
      <c r="AP757" s="1" t="s">
        <v>5059</v>
      </c>
      <c r="AQ757" s="1" t="s">
        <v>74</v>
      </c>
      <c r="AR757" s="1" t="s">
        <v>74</v>
      </c>
      <c r="AS757" s="1" t="s">
        <v>74</v>
      </c>
      <c r="AT757" s="1" t="s">
        <v>680</v>
      </c>
      <c r="AU757" s="1">
        <v>2020.0</v>
      </c>
      <c r="AV757" s="1" t="s">
        <v>74</v>
      </c>
      <c r="AW757" s="1">
        <v>24.0</v>
      </c>
      <c r="AX757" s="1" t="s">
        <v>74</v>
      </c>
      <c r="AY757" s="1" t="s">
        <v>74</v>
      </c>
      <c r="AZ757" s="1" t="s">
        <v>74</v>
      </c>
      <c r="BA757" s="1" t="s">
        <v>74</v>
      </c>
      <c r="BB757" s="1">
        <v>8.0</v>
      </c>
      <c r="BC757" s="1">
        <v>13.0</v>
      </c>
      <c r="BD757" s="1" t="s">
        <v>74</v>
      </c>
      <c r="BE757" s="1" t="s">
        <v>74</v>
      </c>
      <c r="BF757" s="1" t="s">
        <v>74</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6978</v>
      </c>
      <c r="BT757" s="1" t="str">
        <f>HYPERLINK("https%3A%2F%2Fwww.webofscience.com%2Fwos%2Fwoscc%2Ffull-record%2FWOS:000538050700002","View Full Record in Web of Science")</f>
        <v>View Full Record in Web of Science</v>
      </c>
    </row>
    <row r="758" ht="12.75" customHeight="1">
      <c r="A758" s="1" t="s">
        <v>72</v>
      </c>
      <c r="B758" s="1" t="s">
        <v>6979</v>
      </c>
      <c r="C758" s="1" t="s">
        <v>74</v>
      </c>
      <c r="D758" s="1" t="s">
        <v>74</v>
      </c>
      <c r="E758" s="1" t="s">
        <v>74</v>
      </c>
      <c r="F758" s="1" t="s">
        <v>6980</v>
      </c>
      <c r="G758" s="1" t="s">
        <v>74</v>
      </c>
      <c r="H758" s="1" t="s">
        <v>74</v>
      </c>
      <c r="I758" s="1" t="s">
        <v>6981</v>
      </c>
      <c r="J758" s="1" t="s">
        <v>6982</v>
      </c>
      <c r="K758" s="1" t="s">
        <v>74</v>
      </c>
      <c r="L758" s="1" t="s">
        <v>74</v>
      </c>
      <c r="M758" s="1" t="s">
        <v>74</v>
      </c>
      <c r="N758" s="1" t="s">
        <v>74</v>
      </c>
      <c r="O758" s="1" t="s">
        <v>74</v>
      </c>
      <c r="P758" s="1" t="s">
        <v>74</v>
      </c>
      <c r="Q758" s="1" t="s">
        <v>74</v>
      </c>
      <c r="R758" s="1" t="s">
        <v>74</v>
      </c>
      <c r="S758" s="1" t="s">
        <v>74</v>
      </c>
      <c r="T758" s="1" t="s">
        <v>74</v>
      </c>
      <c r="U758" s="1" t="s">
        <v>74</v>
      </c>
      <c r="V758" s="1" t="s">
        <v>6983</v>
      </c>
      <c r="W758" s="1" t="s">
        <v>74</v>
      </c>
      <c r="X758" s="1" t="s">
        <v>74</v>
      </c>
      <c r="Y758" s="1" t="s">
        <v>74</v>
      </c>
      <c r="Z758" s="1" t="s">
        <v>74</v>
      </c>
      <c r="AA758" s="1" t="s">
        <v>4326</v>
      </c>
      <c r="AB758" s="1" t="s">
        <v>6984</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6985</v>
      </c>
      <c r="AP758" s="1" t="s">
        <v>6986</v>
      </c>
      <c r="AQ758" s="1" t="s">
        <v>74</v>
      </c>
      <c r="AR758" s="1" t="s">
        <v>74</v>
      </c>
      <c r="AS758" s="1" t="s">
        <v>74</v>
      </c>
      <c r="AT758" s="1" t="s">
        <v>94</v>
      </c>
      <c r="AU758" s="1">
        <v>2020.0</v>
      </c>
      <c r="AV758" s="1">
        <v>1868.0</v>
      </c>
      <c r="AW758" s="1">
        <v>1.0</v>
      </c>
      <c r="AX758" s="1" t="s">
        <v>74</v>
      </c>
      <c r="AY758" s="1" t="s">
        <v>74</v>
      </c>
      <c r="AZ758" s="1" t="s">
        <v>74</v>
      </c>
      <c r="BA758" s="1" t="s">
        <v>74</v>
      </c>
      <c r="BB758" s="1" t="s">
        <v>74</v>
      </c>
      <c r="BC758" s="1" t="s">
        <v>74</v>
      </c>
      <c r="BD758" s="1">
        <v>140271.0</v>
      </c>
      <c r="BE758" s="1" t="s">
        <v>6987</v>
      </c>
      <c r="BF758" s="2" t="str">
        <f>HYPERLINK("http://dx.doi.org/10.1016/j.bbapap.2019.140271","http://dx.doi.org/10.1016/j.bbapap.2019.140271")</f>
        <v>http://dx.doi.org/10.1016/j.bbapap.2019.140271</v>
      </c>
      <c r="BG758" s="1" t="s">
        <v>74</v>
      </c>
      <c r="BH758" s="1" t="s">
        <v>74</v>
      </c>
      <c r="BI758" s="1" t="s">
        <v>74</v>
      </c>
      <c r="BJ758" s="1" t="s">
        <v>74</v>
      </c>
      <c r="BK758" s="1" t="s">
        <v>74</v>
      </c>
      <c r="BL758" s="1" t="s">
        <v>74</v>
      </c>
      <c r="BM758" s="1" t="s">
        <v>74</v>
      </c>
      <c r="BN758" s="1">
        <v>3.1494342E7</v>
      </c>
      <c r="BO758" s="1" t="s">
        <v>74</v>
      </c>
      <c r="BP758" s="1" t="s">
        <v>74</v>
      </c>
      <c r="BQ758" s="1" t="s">
        <v>74</v>
      </c>
      <c r="BR758" s="1" t="s">
        <v>74</v>
      </c>
      <c r="BS758" s="1" t="s">
        <v>6988</v>
      </c>
      <c r="BT758" s="1" t="str">
        <f>HYPERLINK("https%3A%2F%2Fwww.webofscience.com%2Fwos%2Fwoscc%2Ffull-record%2FWOS:000503094800018","View Full Record in Web of Science")</f>
        <v>View Full Record in Web of Science</v>
      </c>
    </row>
    <row r="759" ht="12.75" customHeight="1">
      <c r="A759" s="1" t="s">
        <v>241</v>
      </c>
      <c r="B759" s="1" t="s">
        <v>6989</v>
      </c>
      <c r="C759" s="1" t="s">
        <v>74</v>
      </c>
      <c r="D759" s="1" t="s">
        <v>6990</v>
      </c>
      <c r="E759" s="1" t="s">
        <v>74</v>
      </c>
      <c r="F759" s="1" t="s">
        <v>6991</v>
      </c>
      <c r="G759" s="1" t="s">
        <v>74</v>
      </c>
      <c r="H759" s="1" t="s">
        <v>74</v>
      </c>
      <c r="I759" s="1" t="s">
        <v>6992</v>
      </c>
      <c r="J759" s="1" t="s">
        <v>6993</v>
      </c>
      <c r="K759" s="1" t="s">
        <v>6994</v>
      </c>
      <c r="L759" s="1" t="s">
        <v>74</v>
      </c>
      <c r="M759" s="1" t="s">
        <v>74</v>
      </c>
      <c r="N759" s="1" t="s">
        <v>74</v>
      </c>
      <c r="O759" s="1" t="s">
        <v>6995</v>
      </c>
      <c r="P759" s="1" t="s">
        <v>6996</v>
      </c>
      <c r="Q759" s="1" t="s">
        <v>6997</v>
      </c>
      <c r="R759" s="1" t="s">
        <v>74</v>
      </c>
      <c r="S759" s="1" t="s">
        <v>74</v>
      </c>
      <c r="T759" s="1" t="s">
        <v>74</v>
      </c>
      <c r="U759" s="1" t="s">
        <v>74</v>
      </c>
      <c r="V759" s="1" t="s">
        <v>6998</v>
      </c>
      <c r="W759" s="1" t="s">
        <v>74</v>
      </c>
      <c r="X759" s="1" t="s">
        <v>74</v>
      </c>
      <c r="Y759" s="1" t="s">
        <v>74</v>
      </c>
      <c r="Z759" s="1" t="s">
        <v>74</v>
      </c>
      <c r="AA759" s="1" t="s">
        <v>5192</v>
      </c>
      <c r="AB759" s="1" t="s">
        <v>6999</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7000</v>
      </c>
      <c r="AP759" s="1" t="s">
        <v>74</v>
      </c>
      <c r="AQ759" s="1" t="s">
        <v>74</v>
      </c>
      <c r="AR759" s="1" t="s">
        <v>74</v>
      </c>
      <c r="AS759" s="1" t="s">
        <v>74</v>
      </c>
      <c r="AT759" s="1" t="s">
        <v>74</v>
      </c>
      <c r="AU759" s="1">
        <v>2019.0</v>
      </c>
      <c r="AV759" s="1">
        <v>39.0</v>
      </c>
      <c r="AW759" s="1" t="s">
        <v>74</v>
      </c>
      <c r="AX759" s="1" t="s">
        <v>74</v>
      </c>
      <c r="AY759" s="1" t="s">
        <v>74</v>
      </c>
      <c r="AZ759" s="1" t="s">
        <v>74</v>
      </c>
      <c r="BA759" s="1" t="s">
        <v>74</v>
      </c>
      <c r="BB759" s="1">
        <v>843.0</v>
      </c>
      <c r="BC759" s="1">
        <v>850.0</v>
      </c>
      <c r="BD759" s="1" t="s">
        <v>74</v>
      </c>
      <c r="BE759" s="1" t="s">
        <v>7001</v>
      </c>
      <c r="BF759" s="2" t="str">
        <f>HYPERLINK("http://dx.doi.org/10.1016/j.promfg.2020.01.417","http://dx.doi.org/10.1016/j.promfg.2020.01.417")</f>
        <v>http://dx.doi.org/10.1016/j.promfg.2020.01.417</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7002</v>
      </c>
      <c r="BT759" s="1" t="str">
        <f>HYPERLINK("https%3A%2F%2Fwww.webofscience.com%2Fwos%2Fwoscc%2Ffull-record%2FWOS:000889480200098","View Full Record in Web of Science")</f>
        <v>View Full Record in Web of Science</v>
      </c>
    </row>
    <row r="760" ht="12.75" customHeight="1">
      <c r="A760" s="1" t="s">
        <v>72</v>
      </c>
      <c r="B760" s="1" t="s">
        <v>7003</v>
      </c>
      <c r="C760" s="1" t="s">
        <v>74</v>
      </c>
      <c r="D760" s="1" t="s">
        <v>74</v>
      </c>
      <c r="E760" s="1" t="s">
        <v>74</v>
      </c>
      <c r="F760" s="1" t="s">
        <v>7004</v>
      </c>
      <c r="G760" s="1" t="s">
        <v>74</v>
      </c>
      <c r="H760" s="1" t="s">
        <v>74</v>
      </c>
      <c r="I760" s="1" t="s">
        <v>7005</v>
      </c>
      <c r="J760" s="1" t="s">
        <v>7006</v>
      </c>
      <c r="K760" s="1" t="s">
        <v>74</v>
      </c>
      <c r="L760" s="1" t="s">
        <v>74</v>
      </c>
      <c r="M760" s="1" t="s">
        <v>74</v>
      </c>
      <c r="N760" s="1" t="s">
        <v>74</v>
      </c>
      <c r="O760" s="1" t="s">
        <v>74</v>
      </c>
      <c r="P760" s="1" t="s">
        <v>74</v>
      </c>
      <c r="Q760" s="1" t="s">
        <v>74</v>
      </c>
      <c r="R760" s="1" t="s">
        <v>74</v>
      </c>
      <c r="S760" s="1" t="s">
        <v>74</v>
      </c>
      <c r="T760" s="1" t="s">
        <v>74</v>
      </c>
      <c r="U760" s="1" t="s">
        <v>74</v>
      </c>
      <c r="V760" s="1" t="s">
        <v>7007</v>
      </c>
      <c r="W760" s="1" t="s">
        <v>74</v>
      </c>
      <c r="X760" s="1" t="s">
        <v>74</v>
      </c>
      <c r="Y760" s="1" t="s">
        <v>74</v>
      </c>
      <c r="Z760" s="1" t="s">
        <v>74</v>
      </c>
      <c r="AA760" s="1" t="s">
        <v>7008</v>
      </c>
      <c r="AB760" s="1" t="s">
        <v>7009</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7010</v>
      </c>
      <c r="AP760" s="1" t="s">
        <v>74</v>
      </c>
      <c r="AQ760" s="1" t="s">
        <v>74</v>
      </c>
      <c r="AR760" s="1" t="s">
        <v>74</v>
      </c>
      <c r="AS760" s="1" t="s">
        <v>74</v>
      </c>
      <c r="AT760" s="1" t="s">
        <v>174</v>
      </c>
      <c r="AU760" s="1">
        <v>2018.0</v>
      </c>
      <c r="AV760" s="1">
        <v>118.0</v>
      </c>
      <c r="AW760" s="1" t="s">
        <v>74</v>
      </c>
      <c r="AX760" s="1" t="s">
        <v>74</v>
      </c>
      <c r="AY760" s="1" t="s">
        <v>74</v>
      </c>
      <c r="AZ760" s="1" t="s">
        <v>74</v>
      </c>
      <c r="BA760" s="1" t="s">
        <v>74</v>
      </c>
      <c r="BB760" s="1">
        <v>591.0</v>
      </c>
      <c r="BC760" s="1">
        <v>601.0</v>
      </c>
      <c r="BD760" s="1" t="s">
        <v>74</v>
      </c>
      <c r="BE760" s="1" t="s">
        <v>7011</v>
      </c>
      <c r="BF760" s="2" t="str">
        <f>HYPERLINK("http://dx.doi.org/10.1016/j.renene.2017.11.018","http://dx.doi.org/10.1016/j.renene.2017.11.018")</f>
        <v>http://dx.doi.org/10.1016/j.renene.2017.11.018</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7012</v>
      </c>
      <c r="BT760" s="1" t="str">
        <f>HYPERLINK("https%3A%2F%2Fwww.webofscience.com%2Fwos%2Fwoscc%2Ffull-record%2FWOS:000423008500052","View Full Record in Web of Science")</f>
        <v>View Full Record in Web of Science</v>
      </c>
    </row>
    <row r="761" ht="12.75" customHeight="1">
      <c r="A761" s="1" t="s">
        <v>72</v>
      </c>
      <c r="B761" s="1" t="s">
        <v>7013</v>
      </c>
      <c r="C761" s="1" t="s">
        <v>74</v>
      </c>
      <c r="D761" s="1" t="s">
        <v>74</v>
      </c>
      <c r="E761" s="1" t="s">
        <v>74</v>
      </c>
      <c r="F761" s="1" t="s">
        <v>7014</v>
      </c>
      <c r="G761" s="1" t="s">
        <v>74</v>
      </c>
      <c r="H761" s="1" t="s">
        <v>74</v>
      </c>
      <c r="I761" s="1" t="s">
        <v>7015</v>
      </c>
      <c r="J761" s="1" t="s">
        <v>7016</v>
      </c>
      <c r="K761" s="1" t="s">
        <v>74</v>
      </c>
      <c r="L761" s="1" t="s">
        <v>74</v>
      </c>
      <c r="M761" s="1" t="s">
        <v>74</v>
      </c>
      <c r="N761" s="1" t="s">
        <v>74</v>
      </c>
      <c r="O761" s="1" t="s">
        <v>74</v>
      </c>
      <c r="P761" s="1" t="s">
        <v>74</v>
      </c>
      <c r="Q761" s="1" t="s">
        <v>74</v>
      </c>
      <c r="R761" s="1" t="s">
        <v>74</v>
      </c>
      <c r="S761" s="1" t="s">
        <v>74</v>
      </c>
      <c r="T761" s="1" t="s">
        <v>74</v>
      </c>
      <c r="U761" s="1" t="s">
        <v>74</v>
      </c>
      <c r="V761" s="1" t="s">
        <v>7017</v>
      </c>
      <c r="W761" s="1" t="s">
        <v>74</v>
      </c>
      <c r="X761" s="1" t="s">
        <v>74</v>
      </c>
      <c r="Y761" s="1" t="s">
        <v>74</v>
      </c>
      <c r="Z761" s="1" t="s">
        <v>74</v>
      </c>
      <c r="AA761" s="1" t="s">
        <v>7018</v>
      </c>
      <c r="AB761" s="1" t="s">
        <v>7019</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7020</v>
      </c>
      <c r="AP761" s="1" t="s">
        <v>7021</v>
      </c>
      <c r="AQ761" s="1" t="s">
        <v>74</v>
      </c>
      <c r="AR761" s="1" t="s">
        <v>74</v>
      </c>
      <c r="AS761" s="1" t="s">
        <v>74</v>
      </c>
      <c r="AT761" s="1" t="s">
        <v>74</v>
      </c>
      <c r="AU761" s="1">
        <v>2018.0</v>
      </c>
      <c r="AV761" s="1">
        <v>32.0</v>
      </c>
      <c r="AW761" s="1">
        <v>2.0</v>
      </c>
      <c r="AX761" s="1" t="s">
        <v>74</v>
      </c>
      <c r="AY761" s="1" t="s">
        <v>74</v>
      </c>
      <c r="AZ761" s="1" t="s">
        <v>74</v>
      </c>
      <c r="BA761" s="1" t="s">
        <v>74</v>
      </c>
      <c r="BB761" s="1">
        <v>1364.0</v>
      </c>
      <c r="BC761" s="1">
        <v>1368.0</v>
      </c>
      <c r="BD761" s="1" t="s">
        <v>74</v>
      </c>
      <c r="BE761" s="1" t="s">
        <v>7022</v>
      </c>
      <c r="BF761" s="2" t="str">
        <f>HYPERLINK("http://dx.doi.org/10.1137/17M1130502","http://dx.doi.org/10.1137/17M1130502")</f>
        <v>http://dx.doi.org/10.1137/17M1130502</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7023</v>
      </c>
      <c r="BT761" s="1" t="str">
        <f>HYPERLINK("https%3A%2F%2Fwww.webofscience.com%2Fwos%2Fwoscc%2Ffull-record%2FWOS:000436975900033","View Full Record in Web of Science")</f>
        <v>View Full Record in Web of Science</v>
      </c>
    </row>
    <row r="762" ht="12.75" customHeight="1">
      <c r="A762" s="1" t="s">
        <v>442</v>
      </c>
      <c r="B762" s="1" t="s">
        <v>7024</v>
      </c>
      <c r="C762" s="1" t="s">
        <v>74</v>
      </c>
      <c r="D762" s="1" t="s">
        <v>7025</v>
      </c>
      <c r="E762" s="1" t="s">
        <v>74</v>
      </c>
      <c r="F762" s="1" t="s">
        <v>7026</v>
      </c>
      <c r="G762" s="1" t="s">
        <v>74</v>
      </c>
      <c r="H762" s="1" t="s">
        <v>74</v>
      </c>
      <c r="I762" s="1" t="s">
        <v>7027</v>
      </c>
      <c r="J762" s="1" t="s">
        <v>7028</v>
      </c>
      <c r="K762" s="1" t="s">
        <v>74</v>
      </c>
      <c r="L762" s="1" t="s">
        <v>74</v>
      </c>
      <c r="M762" s="1" t="s">
        <v>74</v>
      </c>
      <c r="N762" s="1" t="s">
        <v>74</v>
      </c>
      <c r="O762" s="1" t="s">
        <v>74</v>
      </c>
      <c r="P762" s="1" t="s">
        <v>74</v>
      </c>
      <c r="Q762" s="1" t="s">
        <v>74</v>
      </c>
      <c r="R762" s="1" t="s">
        <v>74</v>
      </c>
      <c r="S762" s="1" t="s">
        <v>74</v>
      </c>
      <c r="T762" s="1" t="s">
        <v>74</v>
      </c>
      <c r="U762" s="1" t="s">
        <v>74</v>
      </c>
      <c r="V762" s="1" t="s">
        <v>74</v>
      </c>
      <c r="W762" s="1" t="s">
        <v>74</v>
      </c>
      <c r="X762" s="1" t="s">
        <v>74</v>
      </c>
      <c r="Y762" s="1" t="s">
        <v>74</v>
      </c>
      <c r="Z762" s="1" t="s">
        <v>74</v>
      </c>
      <c r="AA762" s="1" t="s">
        <v>74</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74</v>
      </c>
      <c r="AP762" s="1" t="s">
        <v>74</v>
      </c>
      <c r="AQ762" s="1" t="s">
        <v>7029</v>
      </c>
      <c r="AR762" s="1" t="s">
        <v>74</v>
      </c>
      <c r="AS762" s="1" t="s">
        <v>74</v>
      </c>
      <c r="AT762" s="1" t="s">
        <v>74</v>
      </c>
      <c r="AU762" s="1">
        <v>2018.0</v>
      </c>
      <c r="AV762" s="1" t="s">
        <v>74</v>
      </c>
      <c r="AW762" s="1" t="s">
        <v>74</v>
      </c>
      <c r="AX762" s="1" t="s">
        <v>74</v>
      </c>
      <c r="AY762" s="1" t="s">
        <v>74</v>
      </c>
      <c r="AZ762" s="1" t="s">
        <v>74</v>
      </c>
      <c r="BA762" s="1" t="s">
        <v>74</v>
      </c>
      <c r="BB762" s="1">
        <v>113.0</v>
      </c>
      <c r="BC762" s="1">
        <v>139.0</v>
      </c>
      <c r="BD762" s="1" t="s">
        <v>74</v>
      </c>
      <c r="BE762" s="1" t="s">
        <v>74</v>
      </c>
      <c r="BF762" s="1" t="s">
        <v>74</v>
      </c>
      <c r="BG762" s="1" t="s">
        <v>7030</v>
      </c>
      <c r="BH762" s="1" t="s">
        <v>74</v>
      </c>
      <c r="BI762" s="1" t="s">
        <v>74</v>
      </c>
      <c r="BJ762" s="1" t="s">
        <v>74</v>
      </c>
      <c r="BK762" s="1" t="s">
        <v>74</v>
      </c>
      <c r="BL762" s="1" t="s">
        <v>74</v>
      </c>
      <c r="BM762" s="1" t="s">
        <v>74</v>
      </c>
      <c r="BN762" s="1" t="s">
        <v>74</v>
      </c>
      <c r="BO762" s="1" t="s">
        <v>74</v>
      </c>
      <c r="BP762" s="1" t="s">
        <v>74</v>
      </c>
      <c r="BQ762" s="1" t="s">
        <v>74</v>
      </c>
      <c r="BR762" s="1" t="s">
        <v>74</v>
      </c>
      <c r="BS762" s="1" t="s">
        <v>7031</v>
      </c>
      <c r="BT762" s="1" t="str">
        <f>HYPERLINK("https%3A%2F%2Fwww.webofscience.com%2Fwos%2Fwoscc%2Ffull-record%2FWOS:000475487900006","View Full Record in Web of Science")</f>
        <v>View Full Record in Web of Science</v>
      </c>
    </row>
    <row r="763" ht="12.75" customHeight="1">
      <c r="A763" s="1" t="s">
        <v>442</v>
      </c>
      <c r="B763" s="1" t="s">
        <v>7032</v>
      </c>
      <c r="C763" s="1" t="s">
        <v>74</v>
      </c>
      <c r="D763" s="1" t="s">
        <v>3933</v>
      </c>
      <c r="E763" s="1" t="s">
        <v>74</v>
      </c>
      <c r="F763" s="1" t="s">
        <v>7033</v>
      </c>
      <c r="G763" s="1" t="s">
        <v>74</v>
      </c>
      <c r="H763" s="1" t="s">
        <v>74</v>
      </c>
      <c r="I763" s="1" t="s">
        <v>7034</v>
      </c>
      <c r="J763" s="1" t="s">
        <v>3936</v>
      </c>
      <c r="K763" s="1" t="s">
        <v>74</v>
      </c>
      <c r="L763" s="1" t="s">
        <v>74</v>
      </c>
      <c r="M763" s="1" t="s">
        <v>74</v>
      </c>
      <c r="N763" s="1" t="s">
        <v>74</v>
      </c>
      <c r="O763" s="1" t="s">
        <v>74</v>
      </c>
      <c r="P763" s="1" t="s">
        <v>74</v>
      </c>
      <c r="Q763" s="1" t="s">
        <v>74</v>
      </c>
      <c r="R763" s="1" t="s">
        <v>74</v>
      </c>
      <c r="S763" s="1" t="s">
        <v>74</v>
      </c>
      <c r="T763" s="1" t="s">
        <v>74</v>
      </c>
      <c r="U763" s="1" t="s">
        <v>74</v>
      </c>
      <c r="V763" s="1" t="s">
        <v>74</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74</v>
      </c>
      <c r="AP763" s="1" t="s">
        <v>74</v>
      </c>
      <c r="AQ763" s="1" t="s">
        <v>3937</v>
      </c>
      <c r="AR763" s="1" t="s">
        <v>74</v>
      </c>
      <c r="AS763" s="1" t="s">
        <v>74</v>
      </c>
      <c r="AT763" s="1" t="s">
        <v>74</v>
      </c>
      <c r="AU763" s="1">
        <v>2018.0</v>
      </c>
      <c r="AV763" s="1" t="s">
        <v>74</v>
      </c>
      <c r="AW763" s="1" t="s">
        <v>74</v>
      </c>
      <c r="AX763" s="1" t="s">
        <v>74</v>
      </c>
      <c r="AY763" s="1" t="s">
        <v>74</v>
      </c>
      <c r="AZ763" s="1" t="s">
        <v>74</v>
      </c>
      <c r="BA763" s="1" t="s">
        <v>74</v>
      </c>
      <c r="BB763" s="1">
        <v>73.0</v>
      </c>
      <c r="BC763" s="1">
        <v>83.0</v>
      </c>
      <c r="BD763" s="1" t="s">
        <v>74</v>
      </c>
      <c r="BE763" s="1" t="s">
        <v>74</v>
      </c>
      <c r="BF763" s="1" t="s">
        <v>74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7035</v>
      </c>
      <c r="BT763" s="1" t="str">
        <f>HYPERLINK("https%3A%2F%2Fwww.webofscience.com%2Fwos%2Fwoscc%2Ffull-record%2FWOS:000462868900005","View Full Record in Web of Science")</f>
        <v>View Full Record in Web of Science</v>
      </c>
    </row>
    <row r="764" ht="12.75" customHeight="1">
      <c r="A764" s="1" t="s">
        <v>241</v>
      </c>
      <c r="B764" s="1" t="s">
        <v>7036</v>
      </c>
      <c r="C764" s="1" t="s">
        <v>74</v>
      </c>
      <c r="D764" s="1" t="s">
        <v>7037</v>
      </c>
      <c r="E764" s="1" t="s">
        <v>74</v>
      </c>
      <c r="F764" s="1" t="s">
        <v>5179</v>
      </c>
      <c r="G764" s="1" t="s">
        <v>74</v>
      </c>
      <c r="H764" s="1" t="s">
        <v>74</v>
      </c>
      <c r="I764" s="1" t="s">
        <v>7038</v>
      </c>
      <c r="J764" s="1" t="s">
        <v>7039</v>
      </c>
      <c r="K764" s="1" t="s">
        <v>7040</v>
      </c>
      <c r="L764" s="1" t="s">
        <v>74</v>
      </c>
      <c r="M764" s="1" t="s">
        <v>74</v>
      </c>
      <c r="N764" s="1" t="s">
        <v>74</v>
      </c>
      <c r="O764" s="1" t="s">
        <v>7041</v>
      </c>
      <c r="P764" s="1" t="s">
        <v>7042</v>
      </c>
      <c r="Q764" s="1" t="s">
        <v>7043</v>
      </c>
      <c r="R764" s="1" t="s">
        <v>74</v>
      </c>
      <c r="S764" s="1" t="s">
        <v>7044</v>
      </c>
      <c r="T764" s="1" t="s">
        <v>74</v>
      </c>
      <c r="U764" s="1" t="s">
        <v>74</v>
      </c>
      <c r="V764" s="1" t="s">
        <v>7045</v>
      </c>
      <c r="W764" s="1" t="s">
        <v>74</v>
      </c>
      <c r="X764" s="1" t="s">
        <v>74</v>
      </c>
      <c r="Y764" s="1" t="s">
        <v>74</v>
      </c>
      <c r="Z764" s="1" t="s">
        <v>74</v>
      </c>
      <c r="AA764" s="1" t="s">
        <v>7046</v>
      </c>
      <c r="AB764" s="1" t="s">
        <v>7047</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7048</v>
      </c>
      <c r="AP764" s="1" t="s">
        <v>74</v>
      </c>
      <c r="AQ764" s="1" t="s">
        <v>74</v>
      </c>
      <c r="AR764" s="1" t="s">
        <v>74</v>
      </c>
      <c r="AS764" s="1" t="s">
        <v>74</v>
      </c>
      <c r="AT764" s="1" t="s">
        <v>74</v>
      </c>
      <c r="AU764" s="1">
        <v>2018.0</v>
      </c>
      <c r="AV764" s="1">
        <v>33.0</v>
      </c>
      <c r="AW764" s="1" t="s">
        <v>74</v>
      </c>
      <c r="AX764" s="1" t="s">
        <v>74</v>
      </c>
      <c r="AY764" s="1" t="s">
        <v>74</v>
      </c>
      <c r="AZ764" s="1" t="s">
        <v>74</v>
      </c>
      <c r="BA764" s="1" t="s">
        <v>74</v>
      </c>
      <c r="BB764" s="1">
        <v>203.0</v>
      </c>
      <c r="BC764" s="1">
        <v>210.0</v>
      </c>
      <c r="BD764" s="1" t="s">
        <v>74</v>
      </c>
      <c r="BE764" s="1" t="s">
        <v>7049</v>
      </c>
      <c r="BF764" s="2" t="str">
        <f>HYPERLINK("http://dx.doi.org/10.1016/j.trpro.2018.10.093","http://dx.doi.org/10.1016/j.trpro.2018.10.093")</f>
        <v>http://dx.doi.org/10.1016/j.trpro.2018.10.093</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7050</v>
      </c>
      <c r="BT764" s="1" t="str">
        <f>HYPERLINK("https%3A%2F%2Fwww.webofscience.com%2Fwos%2Fwoscc%2Ffull-record%2FWOS:000548065400026","View Full Record in Web of Science")</f>
        <v>View Full Record in Web of Science</v>
      </c>
    </row>
    <row r="765" ht="12.75" customHeight="1">
      <c r="A765" s="1" t="s">
        <v>72</v>
      </c>
      <c r="B765" s="1" t="s">
        <v>7051</v>
      </c>
      <c r="C765" s="1" t="s">
        <v>74</v>
      </c>
      <c r="D765" s="1" t="s">
        <v>74</v>
      </c>
      <c r="E765" s="1" t="s">
        <v>74</v>
      </c>
      <c r="F765" s="1" t="s">
        <v>7052</v>
      </c>
      <c r="G765" s="1" t="s">
        <v>74</v>
      </c>
      <c r="H765" s="1" t="s">
        <v>74</v>
      </c>
      <c r="I765" s="1" t="s">
        <v>7053</v>
      </c>
      <c r="J765" s="1" t="s">
        <v>1152</v>
      </c>
      <c r="K765" s="1" t="s">
        <v>74</v>
      </c>
      <c r="L765" s="1" t="s">
        <v>74</v>
      </c>
      <c r="M765" s="1" t="s">
        <v>74</v>
      </c>
      <c r="N765" s="1" t="s">
        <v>74</v>
      </c>
      <c r="O765" s="1" t="s">
        <v>74</v>
      </c>
      <c r="P765" s="1" t="s">
        <v>74</v>
      </c>
      <c r="Q765" s="1" t="s">
        <v>74</v>
      </c>
      <c r="R765" s="1" t="s">
        <v>74</v>
      </c>
      <c r="S765" s="1" t="s">
        <v>74</v>
      </c>
      <c r="T765" s="1" t="s">
        <v>74</v>
      </c>
      <c r="U765" s="1" t="s">
        <v>74</v>
      </c>
      <c r="V765" s="1" t="s">
        <v>7054</v>
      </c>
      <c r="W765" s="1" t="s">
        <v>74</v>
      </c>
      <c r="X765" s="1" t="s">
        <v>74</v>
      </c>
      <c r="Y765" s="1" t="s">
        <v>74</v>
      </c>
      <c r="Z765" s="1" t="s">
        <v>74</v>
      </c>
      <c r="AA765" s="1" t="s">
        <v>7055</v>
      </c>
      <c r="AB765" s="1" t="s">
        <v>7056</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1156</v>
      </c>
      <c r="AP765" s="1" t="s">
        <v>74</v>
      </c>
      <c r="AQ765" s="1" t="s">
        <v>74</v>
      </c>
      <c r="AR765" s="1" t="s">
        <v>74</v>
      </c>
      <c r="AS765" s="1" t="s">
        <v>74</v>
      </c>
      <c r="AT765" s="1" t="s">
        <v>7057</v>
      </c>
      <c r="AU765" s="1">
        <v>2017.0</v>
      </c>
      <c r="AV765" s="1">
        <v>178.0</v>
      </c>
      <c r="AW765" s="1" t="s">
        <v>74</v>
      </c>
      <c r="AX765" s="1" t="s">
        <v>74</v>
      </c>
      <c r="AY765" s="1" t="s">
        <v>74</v>
      </c>
      <c r="AZ765" s="1" t="s">
        <v>74</v>
      </c>
      <c r="BA765" s="1" t="s">
        <v>74</v>
      </c>
      <c r="BB765" s="1">
        <v>171.0</v>
      </c>
      <c r="BC765" s="1">
        <v>180.0</v>
      </c>
      <c r="BD765" s="1" t="s">
        <v>74</v>
      </c>
      <c r="BE765" s="1" t="s">
        <v>7058</v>
      </c>
      <c r="BF765" s="2" t="str">
        <f>HYPERLINK("http://dx.doi.org/10.1016/j.saa.2017.02.001","http://dx.doi.org/10.1016/j.saa.2017.02.001")</f>
        <v>http://dx.doi.org/10.1016/j.saa.2017.02.001</v>
      </c>
      <c r="BG765" s="1" t="s">
        <v>74</v>
      </c>
      <c r="BH765" s="1" t="s">
        <v>74</v>
      </c>
      <c r="BI765" s="1" t="s">
        <v>74</v>
      </c>
      <c r="BJ765" s="1" t="s">
        <v>74</v>
      </c>
      <c r="BK765" s="1" t="s">
        <v>74</v>
      </c>
      <c r="BL765" s="1" t="s">
        <v>74</v>
      </c>
      <c r="BM765" s="1" t="s">
        <v>74</v>
      </c>
      <c r="BN765" s="1">
        <v>2.8187315E7</v>
      </c>
      <c r="BO765" s="1" t="s">
        <v>74</v>
      </c>
      <c r="BP765" s="1" t="s">
        <v>74</v>
      </c>
      <c r="BQ765" s="1" t="s">
        <v>74</v>
      </c>
      <c r="BR765" s="1" t="s">
        <v>74</v>
      </c>
      <c r="BS765" s="1" t="s">
        <v>7059</v>
      </c>
      <c r="BT765" s="1" t="str">
        <f>HYPERLINK("https%3A%2F%2Fwww.webofscience.com%2Fwos%2Fwoscc%2Ffull-record%2FWOS:000397370000023","View Full Record in Web of Science")</f>
        <v>View Full Record in Web of Science</v>
      </c>
    </row>
    <row r="766" ht="12.75" customHeight="1">
      <c r="A766" s="1" t="s">
        <v>72</v>
      </c>
      <c r="B766" s="1" t="s">
        <v>7060</v>
      </c>
      <c r="C766" s="1" t="s">
        <v>74</v>
      </c>
      <c r="D766" s="1" t="s">
        <v>74</v>
      </c>
      <c r="E766" s="1" t="s">
        <v>74</v>
      </c>
      <c r="F766" s="1" t="s">
        <v>7061</v>
      </c>
      <c r="G766" s="1" t="s">
        <v>74</v>
      </c>
      <c r="H766" s="1" t="s">
        <v>74</v>
      </c>
      <c r="I766" s="1" t="s">
        <v>7062</v>
      </c>
      <c r="J766" s="1" t="s">
        <v>7063</v>
      </c>
      <c r="K766" s="1" t="s">
        <v>74</v>
      </c>
      <c r="L766" s="1" t="s">
        <v>74</v>
      </c>
      <c r="M766" s="1" t="s">
        <v>74</v>
      </c>
      <c r="N766" s="1" t="s">
        <v>74</v>
      </c>
      <c r="O766" s="1" t="s">
        <v>74</v>
      </c>
      <c r="P766" s="1" t="s">
        <v>74</v>
      </c>
      <c r="Q766" s="1" t="s">
        <v>74</v>
      </c>
      <c r="R766" s="1" t="s">
        <v>74</v>
      </c>
      <c r="S766" s="1" t="s">
        <v>74</v>
      </c>
      <c r="T766" s="1" t="s">
        <v>74</v>
      </c>
      <c r="U766" s="1" t="s">
        <v>74</v>
      </c>
      <c r="V766" s="1" t="s">
        <v>74</v>
      </c>
      <c r="W766" s="1" t="s">
        <v>74</v>
      </c>
      <c r="X766" s="1" t="s">
        <v>74</v>
      </c>
      <c r="Y766" s="1" t="s">
        <v>74</v>
      </c>
      <c r="Z766" s="1" t="s">
        <v>74</v>
      </c>
      <c r="AA766" s="1" t="s">
        <v>7064</v>
      </c>
      <c r="AB766" s="1" t="s">
        <v>7065</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7066</v>
      </c>
      <c r="AP766" s="1" t="s">
        <v>7067</v>
      </c>
      <c r="AQ766" s="1" t="s">
        <v>74</v>
      </c>
      <c r="AR766" s="1" t="s">
        <v>74</v>
      </c>
      <c r="AS766" s="1" t="s">
        <v>74</v>
      </c>
      <c r="AT766" s="1" t="s">
        <v>174</v>
      </c>
      <c r="AU766" s="1">
        <v>2017.0</v>
      </c>
      <c r="AV766" s="1">
        <v>43.0</v>
      </c>
      <c r="AW766" s="1">
        <v>4.0</v>
      </c>
      <c r="AX766" s="1" t="s">
        <v>74</v>
      </c>
      <c r="AY766" s="1" t="s">
        <v>74</v>
      </c>
      <c r="AZ766" s="1" t="s">
        <v>74</v>
      </c>
      <c r="BA766" s="1" t="s">
        <v>74</v>
      </c>
      <c r="BB766" s="1">
        <v>605.0</v>
      </c>
      <c r="BC766" s="1">
        <v>608.0</v>
      </c>
      <c r="BD766" s="1" t="s">
        <v>74</v>
      </c>
      <c r="BE766" s="1" t="s">
        <v>7068</v>
      </c>
      <c r="BF766" s="2" t="str">
        <f>HYPERLINK("http://dx.doi.org/10.1097/DSS.0000000000000945","http://dx.doi.org/10.1097/DSS.0000000000000945")</f>
        <v>http://dx.doi.org/10.1097/DSS.0000000000000945</v>
      </c>
      <c r="BG766" s="1" t="s">
        <v>74</v>
      </c>
      <c r="BH766" s="1" t="s">
        <v>74</v>
      </c>
      <c r="BI766" s="1" t="s">
        <v>74</v>
      </c>
      <c r="BJ766" s="1" t="s">
        <v>74</v>
      </c>
      <c r="BK766" s="1" t="s">
        <v>74</v>
      </c>
      <c r="BL766" s="1" t="s">
        <v>74</v>
      </c>
      <c r="BM766" s="1" t="s">
        <v>74</v>
      </c>
      <c r="BN766" s="1">
        <v>2.7748693E7</v>
      </c>
      <c r="BO766" s="1" t="s">
        <v>74</v>
      </c>
      <c r="BP766" s="1" t="s">
        <v>74</v>
      </c>
      <c r="BQ766" s="1" t="s">
        <v>74</v>
      </c>
      <c r="BR766" s="1" t="s">
        <v>74</v>
      </c>
      <c r="BS766" s="1" t="s">
        <v>7069</v>
      </c>
      <c r="BT766" s="1" t="str">
        <f>HYPERLINK("https%3A%2F%2Fwww.webofscience.com%2Fwos%2Fwoscc%2Ffull-record%2FWOS:000402154900024","View Full Record in Web of Science")</f>
        <v>View Full Record in Web of Science</v>
      </c>
    </row>
    <row r="767" ht="12.75" customHeight="1">
      <c r="A767" s="1" t="s">
        <v>72</v>
      </c>
      <c r="B767" s="1" t="s">
        <v>7070</v>
      </c>
      <c r="C767" s="1" t="s">
        <v>74</v>
      </c>
      <c r="D767" s="1" t="s">
        <v>74</v>
      </c>
      <c r="E767" s="1" t="s">
        <v>74</v>
      </c>
      <c r="F767" s="1" t="s">
        <v>7071</v>
      </c>
      <c r="G767" s="1" t="s">
        <v>74</v>
      </c>
      <c r="H767" s="1" t="s">
        <v>74</v>
      </c>
      <c r="I767" s="1" t="s">
        <v>7072</v>
      </c>
      <c r="J767" s="1" t="s">
        <v>4116</v>
      </c>
      <c r="K767" s="1" t="s">
        <v>74</v>
      </c>
      <c r="L767" s="1" t="s">
        <v>74</v>
      </c>
      <c r="M767" s="1" t="s">
        <v>74</v>
      </c>
      <c r="N767" s="1" t="s">
        <v>74</v>
      </c>
      <c r="O767" s="1" t="s">
        <v>74</v>
      </c>
      <c r="P767" s="1" t="s">
        <v>74</v>
      </c>
      <c r="Q767" s="1" t="s">
        <v>74</v>
      </c>
      <c r="R767" s="1" t="s">
        <v>74</v>
      </c>
      <c r="S767" s="1" t="s">
        <v>74</v>
      </c>
      <c r="T767" s="1" t="s">
        <v>74</v>
      </c>
      <c r="U767" s="1" t="s">
        <v>74</v>
      </c>
      <c r="V767" s="1" t="s">
        <v>7073</v>
      </c>
      <c r="W767" s="1" t="s">
        <v>74</v>
      </c>
      <c r="X767" s="1" t="s">
        <v>74</v>
      </c>
      <c r="Y767" s="1" t="s">
        <v>74</v>
      </c>
      <c r="Z767" s="1" t="s">
        <v>74</v>
      </c>
      <c r="AA767" s="1" t="s">
        <v>7074</v>
      </c>
      <c r="AB767" s="1" t="s">
        <v>7075</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4118</v>
      </c>
      <c r="AP767" s="1" t="s">
        <v>4119</v>
      </c>
      <c r="AQ767" s="1" t="s">
        <v>74</v>
      </c>
      <c r="AR767" s="1" t="s">
        <v>74</v>
      </c>
      <c r="AS767" s="1" t="s">
        <v>74</v>
      </c>
      <c r="AT767" s="1" t="s">
        <v>7076</v>
      </c>
      <c r="AU767" s="1">
        <v>2016.0</v>
      </c>
      <c r="AV767" s="1">
        <v>319.0</v>
      </c>
      <c r="AW767" s="1" t="s">
        <v>74</v>
      </c>
      <c r="AX767" s="1" t="s">
        <v>74</v>
      </c>
      <c r="AY767" s="1" t="s">
        <v>74</v>
      </c>
      <c r="AZ767" s="1" t="s">
        <v>2319</v>
      </c>
      <c r="BA767" s="1" t="s">
        <v>74</v>
      </c>
      <c r="BB767" s="1">
        <v>84.0</v>
      </c>
      <c r="BC767" s="1">
        <v>92.0</v>
      </c>
      <c r="BD767" s="1" t="s">
        <v>74</v>
      </c>
      <c r="BE767" s="1" t="s">
        <v>7077</v>
      </c>
      <c r="BF767" s="2" t="str">
        <f>HYPERLINK("http://dx.doi.org/10.1016/j.jhazmat.2016.04.009","http://dx.doi.org/10.1016/j.jhazmat.2016.04.009")</f>
        <v>http://dx.doi.org/10.1016/j.jhazmat.2016.04.009</v>
      </c>
      <c r="BG767" s="1" t="s">
        <v>74</v>
      </c>
      <c r="BH767" s="1" t="s">
        <v>74</v>
      </c>
      <c r="BI767" s="1" t="s">
        <v>74</v>
      </c>
      <c r="BJ767" s="1" t="s">
        <v>74</v>
      </c>
      <c r="BK767" s="1" t="s">
        <v>74</v>
      </c>
      <c r="BL767" s="1" t="s">
        <v>74</v>
      </c>
      <c r="BM767" s="1" t="s">
        <v>74</v>
      </c>
      <c r="BN767" s="1">
        <v>2.7180209E7</v>
      </c>
      <c r="BO767" s="1" t="s">
        <v>74</v>
      </c>
      <c r="BP767" s="1" t="s">
        <v>74</v>
      </c>
      <c r="BQ767" s="1" t="s">
        <v>74</v>
      </c>
      <c r="BR767" s="1" t="s">
        <v>74</v>
      </c>
      <c r="BS767" s="1" t="s">
        <v>7078</v>
      </c>
      <c r="BT767" s="1" t="str">
        <f>HYPERLINK("https%3A%2F%2Fwww.webofscience.com%2Fwos%2Fwoscc%2Ffull-record%2FWOS:000383299100011","View Full Record in Web of Science")</f>
        <v>View Full Record in Web of Science</v>
      </c>
    </row>
    <row r="768" ht="12.75" customHeight="1">
      <c r="A768" s="1" t="s">
        <v>72</v>
      </c>
      <c r="B768" s="1" t="s">
        <v>7079</v>
      </c>
      <c r="C768" s="1" t="s">
        <v>74</v>
      </c>
      <c r="D768" s="1" t="s">
        <v>74</v>
      </c>
      <c r="E768" s="1" t="s">
        <v>74</v>
      </c>
      <c r="F768" s="1" t="s">
        <v>7080</v>
      </c>
      <c r="G768" s="1" t="s">
        <v>74</v>
      </c>
      <c r="H768" s="1" t="s">
        <v>74</v>
      </c>
      <c r="I768" s="1" t="s">
        <v>7081</v>
      </c>
      <c r="J768" s="1" t="s">
        <v>280</v>
      </c>
      <c r="K768" s="1" t="s">
        <v>74</v>
      </c>
      <c r="L768" s="1" t="s">
        <v>74</v>
      </c>
      <c r="M768" s="1" t="s">
        <v>74</v>
      </c>
      <c r="N768" s="1" t="s">
        <v>74</v>
      </c>
      <c r="O768" s="1" t="s">
        <v>74</v>
      </c>
      <c r="P768" s="1" t="s">
        <v>74</v>
      </c>
      <c r="Q768" s="1" t="s">
        <v>74</v>
      </c>
      <c r="R768" s="1" t="s">
        <v>74</v>
      </c>
      <c r="S768" s="1" t="s">
        <v>74</v>
      </c>
      <c r="T768" s="1" t="s">
        <v>74</v>
      </c>
      <c r="U768" s="1" t="s">
        <v>74</v>
      </c>
      <c r="V768" s="1" t="s">
        <v>7082</v>
      </c>
      <c r="W768" s="1" t="s">
        <v>74</v>
      </c>
      <c r="X768" s="1" t="s">
        <v>74</v>
      </c>
      <c r="Y768" s="1" t="s">
        <v>74</v>
      </c>
      <c r="Z768" s="1" t="s">
        <v>74</v>
      </c>
      <c r="AA768" s="1" t="s">
        <v>7083</v>
      </c>
      <c r="AB768" s="1" t="s">
        <v>4462</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283</v>
      </c>
      <c r="AP768" s="1" t="s">
        <v>74</v>
      </c>
      <c r="AQ768" s="1" t="s">
        <v>74</v>
      </c>
      <c r="AR768" s="1" t="s">
        <v>74</v>
      </c>
      <c r="AS768" s="1" t="s">
        <v>74</v>
      </c>
      <c r="AT768" s="1" t="s">
        <v>160</v>
      </c>
      <c r="AU768" s="1">
        <v>2016.0</v>
      </c>
      <c r="AV768" s="1">
        <v>61.0</v>
      </c>
      <c r="AW768" s="1">
        <v>4.0</v>
      </c>
      <c r="AX768" s="1" t="s">
        <v>74</v>
      </c>
      <c r="AY768" s="1" t="s">
        <v>74</v>
      </c>
      <c r="AZ768" s="1" t="s">
        <v>74</v>
      </c>
      <c r="BA768" s="1" t="s">
        <v>74</v>
      </c>
      <c r="BB768" s="1">
        <v>3255.0</v>
      </c>
      <c r="BC768" s="1">
        <v>3261.0</v>
      </c>
      <c r="BD768" s="1" t="s">
        <v>74</v>
      </c>
      <c r="BE768" s="1" t="s">
        <v>7084</v>
      </c>
      <c r="BF768" s="2" t="str">
        <f>HYPERLINK("http://dx.doi.org/10.4067/S0717-97072016000400021","http://dx.doi.org/10.4067/S0717-97072016000400021")</f>
        <v>http://dx.doi.org/10.4067/S0717-97072016000400021</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7085</v>
      </c>
      <c r="BT768" s="1" t="str">
        <f>HYPERLINK("https%3A%2F%2Fwww.webofscience.com%2Fwos%2Fwoscc%2Ffull-record%2FWOS:000393079900021","View Full Record in Web of Science")</f>
        <v>View Full Record in Web of Science</v>
      </c>
    </row>
    <row r="769" ht="12.75" customHeight="1">
      <c r="A769" s="1" t="s">
        <v>72</v>
      </c>
      <c r="B769" s="1" t="s">
        <v>7086</v>
      </c>
      <c r="C769" s="1" t="s">
        <v>74</v>
      </c>
      <c r="D769" s="1" t="s">
        <v>74</v>
      </c>
      <c r="E769" s="1" t="s">
        <v>74</v>
      </c>
      <c r="F769" s="1" t="s">
        <v>7087</v>
      </c>
      <c r="G769" s="1" t="s">
        <v>74</v>
      </c>
      <c r="H769" s="1" t="s">
        <v>74</v>
      </c>
      <c r="I769" s="1" t="s">
        <v>7088</v>
      </c>
      <c r="J769" s="1" t="s">
        <v>7089</v>
      </c>
      <c r="K769" s="1" t="s">
        <v>74</v>
      </c>
      <c r="L769" s="1" t="s">
        <v>74</v>
      </c>
      <c r="M769" s="1" t="s">
        <v>74</v>
      </c>
      <c r="N769" s="1" t="s">
        <v>74</v>
      </c>
      <c r="O769" s="1" t="s">
        <v>74</v>
      </c>
      <c r="P769" s="1" t="s">
        <v>74</v>
      </c>
      <c r="Q769" s="1" t="s">
        <v>74</v>
      </c>
      <c r="R769" s="1" t="s">
        <v>74</v>
      </c>
      <c r="S769" s="1" t="s">
        <v>74</v>
      </c>
      <c r="T769" s="1" t="s">
        <v>74</v>
      </c>
      <c r="U769" s="1" t="s">
        <v>74</v>
      </c>
      <c r="V769" s="1" t="s">
        <v>7090</v>
      </c>
      <c r="W769" s="1" t="s">
        <v>74</v>
      </c>
      <c r="X769" s="1" t="s">
        <v>74</v>
      </c>
      <c r="Y769" s="1" t="s">
        <v>74</v>
      </c>
      <c r="Z769" s="1" t="s">
        <v>74</v>
      </c>
      <c r="AA769" s="1" t="s">
        <v>582</v>
      </c>
      <c r="AB769" s="1" t="s">
        <v>583</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7091</v>
      </c>
      <c r="AP769" s="1" t="s">
        <v>7092</v>
      </c>
      <c r="AQ769" s="1" t="s">
        <v>74</v>
      </c>
      <c r="AR769" s="1" t="s">
        <v>74</v>
      </c>
      <c r="AS769" s="1" t="s">
        <v>74</v>
      </c>
      <c r="AT769" s="1" t="s">
        <v>501</v>
      </c>
      <c r="AU769" s="1">
        <v>2016.0</v>
      </c>
      <c r="AV769" s="1">
        <v>62.0</v>
      </c>
      <c r="AW769" s="1">
        <v>4.0</v>
      </c>
      <c r="AX769" s="1" t="s">
        <v>74</v>
      </c>
      <c r="AY769" s="1" t="s">
        <v>74</v>
      </c>
      <c r="AZ769" s="1" t="s">
        <v>74</v>
      </c>
      <c r="BA769" s="1" t="s">
        <v>74</v>
      </c>
      <c r="BB769" s="1">
        <v>745.0</v>
      </c>
      <c r="BC769" s="1">
        <v>751.0</v>
      </c>
      <c r="BD769" s="1" t="s">
        <v>74</v>
      </c>
      <c r="BE769" s="1" t="s">
        <v>7093</v>
      </c>
      <c r="BF769" s="2" t="str">
        <f>HYPERLINK("http://dx.doi.org/10.1007/s00294-016-0602-6","http://dx.doi.org/10.1007/s00294-016-0602-6")</f>
        <v>http://dx.doi.org/10.1007/s00294-016-0602-6</v>
      </c>
      <c r="BG769" s="1" t="s">
        <v>74</v>
      </c>
      <c r="BH769" s="1" t="s">
        <v>74</v>
      </c>
      <c r="BI769" s="1" t="s">
        <v>74</v>
      </c>
      <c r="BJ769" s="1" t="s">
        <v>74</v>
      </c>
      <c r="BK769" s="1" t="s">
        <v>74</v>
      </c>
      <c r="BL769" s="1" t="s">
        <v>74</v>
      </c>
      <c r="BM769" s="1" t="s">
        <v>74</v>
      </c>
      <c r="BN769" s="1">
        <v>2.7085523E7</v>
      </c>
      <c r="BO769" s="1" t="s">
        <v>74</v>
      </c>
      <c r="BP769" s="1" t="s">
        <v>74</v>
      </c>
      <c r="BQ769" s="1" t="s">
        <v>74</v>
      </c>
      <c r="BR769" s="1" t="s">
        <v>74</v>
      </c>
      <c r="BS769" s="1" t="s">
        <v>7094</v>
      </c>
      <c r="BT769" s="1" t="str">
        <f>HYPERLINK("https%3A%2F%2Fwww.webofscience.com%2Fwos%2Fwoscc%2Ffull-record%2FWOS:000385168400011","View Full Record in Web of Science")</f>
        <v>View Full Record in Web of Science</v>
      </c>
    </row>
    <row r="770" ht="12.75" customHeight="1">
      <c r="A770" s="1" t="s">
        <v>72</v>
      </c>
      <c r="B770" s="1" t="s">
        <v>7095</v>
      </c>
      <c r="C770" s="1" t="s">
        <v>74</v>
      </c>
      <c r="D770" s="1" t="s">
        <v>74</v>
      </c>
      <c r="E770" s="1" t="s">
        <v>74</v>
      </c>
      <c r="F770" s="1" t="s">
        <v>7096</v>
      </c>
      <c r="G770" s="1" t="s">
        <v>74</v>
      </c>
      <c r="H770" s="1" t="s">
        <v>74</v>
      </c>
      <c r="I770" s="1" t="s">
        <v>7097</v>
      </c>
      <c r="J770" s="1" t="s">
        <v>7098</v>
      </c>
      <c r="K770" s="1" t="s">
        <v>74</v>
      </c>
      <c r="L770" s="1" t="s">
        <v>74</v>
      </c>
      <c r="M770" s="1" t="s">
        <v>74</v>
      </c>
      <c r="N770" s="1" t="s">
        <v>74</v>
      </c>
      <c r="O770" s="1" t="s">
        <v>74</v>
      </c>
      <c r="P770" s="1" t="s">
        <v>74</v>
      </c>
      <c r="Q770" s="1" t="s">
        <v>74</v>
      </c>
      <c r="R770" s="1" t="s">
        <v>74</v>
      </c>
      <c r="S770" s="1" t="s">
        <v>74</v>
      </c>
      <c r="T770" s="1" t="s">
        <v>74</v>
      </c>
      <c r="U770" s="1" t="s">
        <v>74</v>
      </c>
      <c r="V770" s="1" t="s">
        <v>7099</v>
      </c>
      <c r="W770" s="1" t="s">
        <v>74</v>
      </c>
      <c r="X770" s="1" t="s">
        <v>74</v>
      </c>
      <c r="Y770" s="1" t="s">
        <v>74</v>
      </c>
      <c r="Z770" s="1" t="s">
        <v>74</v>
      </c>
      <c r="AA770" s="1" t="s">
        <v>5490</v>
      </c>
      <c r="AB770" s="1" t="s">
        <v>7100</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7101</v>
      </c>
      <c r="AP770" s="1" t="s">
        <v>7102</v>
      </c>
      <c r="AQ770" s="1" t="s">
        <v>74</v>
      </c>
      <c r="AR770" s="1" t="s">
        <v>74</v>
      </c>
      <c r="AS770" s="1" t="s">
        <v>74</v>
      </c>
      <c r="AT770" s="1" t="s">
        <v>353</v>
      </c>
      <c r="AU770" s="1">
        <v>2016.0</v>
      </c>
      <c r="AV770" s="1">
        <v>93.0</v>
      </c>
      <c r="AW770" s="1">
        <v>2.0</v>
      </c>
      <c r="AX770" s="1" t="s">
        <v>74</v>
      </c>
      <c r="AY770" s="1" t="s">
        <v>74</v>
      </c>
      <c r="AZ770" s="1" t="s">
        <v>74</v>
      </c>
      <c r="BA770" s="1" t="s">
        <v>74</v>
      </c>
      <c r="BB770" s="1">
        <v>363.0</v>
      </c>
      <c r="BC770" s="1">
        <v>374.0</v>
      </c>
      <c r="BD770" s="1" t="s">
        <v>74</v>
      </c>
      <c r="BE770" s="1" t="s">
        <v>7103</v>
      </c>
      <c r="BF770" s="2" t="str">
        <f>HYPERLINK("http://dx.doi.org/10.1007/s00233-016-9788-7","http://dx.doi.org/10.1007/s00233-016-9788-7")</f>
        <v>http://dx.doi.org/10.1007/s00233-016-9788-7</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7104</v>
      </c>
      <c r="BT770" s="1" t="str">
        <f>HYPERLINK("https%3A%2F%2Fwww.webofscience.com%2Fwos%2Fwoscc%2Ffull-record%2FWOS:000383476500008","View Full Record in Web of Science")</f>
        <v>View Full Record in Web of Science</v>
      </c>
    </row>
    <row r="771" ht="12.75" customHeight="1">
      <c r="A771" s="1" t="s">
        <v>72</v>
      </c>
      <c r="B771" s="1" t="s">
        <v>7105</v>
      </c>
      <c r="C771" s="1" t="s">
        <v>74</v>
      </c>
      <c r="D771" s="1" t="s">
        <v>74</v>
      </c>
      <c r="E771" s="1" t="s">
        <v>74</v>
      </c>
      <c r="F771" s="1" t="s">
        <v>7106</v>
      </c>
      <c r="G771" s="1" t="s">
        <v>74</v>
      </c>
      <c r="H771" s="1" t="s">
        <v>74</v>
      </c>
      <c r="I771" s="1" t="s">
        <v>7107</v>
      </c>
      <c r="J771" s="1" t="s">
        <v>795</v>
      </c>
      <c r="K771" s="1" t="s">
        <v>74</v>
      </c>
      <c r="L771" s="1" t="s">
        <v>74</v>
      </c>
      <c r="M771" s="1" t="s">
        <v>74</v>
      </c>
      <c r="N771" s="1" t="s">
        <v>74</v>
      </c>
      <c r="O771" s="1" t="s">
        <v>74</v>
      </c>
      <c r="P771" s="1" t="s">
        <v>74</v>
      </c>
      <c r="Q771" s="1" t="s">
        <v>74</v>
      </c>
      <c r="R771" s="1" t="s">
        <v>74</v>
      </c>
      <c r="S771" s="1" t="s">
        <v>74</v>
      </c>
      <c r="T771" s="1" t="s">
        <v>74</v>
      </c>
      <c r="U771" s="1" t="s">
        <v>74</v>
      </c>
      <c r="V771" s="1" t="s">
        <v>7108</v>
      </c>
      <c r="W771" s="1" t="s">
        <v>74</v>
      </c>
      <c r="X771" s="1" t="s">
        <v>74</v>
      </c>
      <c r="Y771" s="1" t="s">
        <v>74</v>
      </c>
      <c r="Z771" s="1" t="s">
        <v>74</v>
      </c>
      <c r="AA771" s="1" t="s">
        <v>102</v>
      </c>
      <c r="AB771" s="1" t="s">
        <v>797</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798</v>
      </c>
      <c r="AP771" s="1" t="s">
        <v>799</v>
      </c>
      <c r="AQ771" s="1" t="s">
        <v>74</v>
      </c>
      <c r="AR771" s="1" t="s">
        <v>74</v>
      </c>
      <c r="AS771" s="1" t="s">
        <v>74</v>
      </c>
      <c r="AT771" s="1" t="s">
        <v>4578</v>
      </c>
      <c r="AU771" s="1">
        <v>2016.0</v>
      </c>
      <c r="AV771" s="1">
        <v>206.0</v>
      </c>
      <c r="AW771" s="1" t="s">
        <v>74</v>
      </c>
      <c r="AX771" s="1" t="s">
        <v>74</v>
      </c>
      <c r="AY771" s="1" t="s">
        <v>74</v>
      </c>
      <c r="AZ771" s="1" t="s">
        <v>74</v>
      </c>
      <c r="BA771" s="1" t="s">
        <v>74</v>
      </c>
      <c r="BB771" s="1">
        <v>119.0</v>
      </c>
      <c r="BC771" s="1">
        <v>123.0</v>
      </c>
      <c r="BD771" s="1" t="s">
        <v>74</v>
      </c>
      <c r="BE771" s="1" t="s">
        <v>7109</v>
      </c>
      <c r="BF771" s="2" t="str">
        <f>HYPERLINK("http://dx.doi.org/10.1016/j.foodchem.2016.03.024","http://dx.doi.org/10.1016/j.foodchem.2016.03.024")</f>
        <v>http://dx.doi.org/10.1016/j.foodchem.2016.03.024</v>
      </c>
      <c r="BG771" s="1" t="s">
        <v>74</v>
      </c>
      <c r="BH771" s="1" t="s">
        <v>74</v>
      </c>
      <c r="BI771" s="1" t="s">
        <v>74</v>
      </c>
      <c r="BJ771" s="1" t="s">
        <v>74</v>
      </c>
      <c r="BK771" s="1" t="s">
        <v>74</v>
      </c>
      <c r="BL771" s="1" t="s">
        <v>74</v>
      </c>
      <c r="BM771" s="1" t="s">
        <v>74</v>
      </c>
      <c r="BN771" s="1">
        <v>2.7041306E7</v>
      </c>
      <c r="BO771" s="1" t="s">
        <v>74</v>
      </c>
      <c r="BP771" s="1" t="s">
        <v>74</v>
      </c>
      <c r="BQ771" s="1" t="s">
        <v>74</v>
      </c>
      <c r="BR771" s="1" t="s">
        <v>74</v>
      </c>
      <c r="BS771" s="1" t="s">
        <v>7110</v>
      </c>
      <c r="BT771" s="1" t="str">
        <f>HYPERLINK("https%3A%2F%2Fwww.webofscience.com%2Fwos%2Fwoscc%2Ffull-record%2FWOS:000373054500016","View Full Record in Web of Science")</f>
        <v>View Full Record in Web of Science</v>
      </c>
    </row>
    <row r="772" ht="12.75" customHeight="1">
      <c r="A772" s="1" t="s">
        <v>241</v>
      </c>
      <c r="B772" s="1" t="s">
        <v>7111</v>
      </c>
      <c r="C772" s="1" t="s">
        <v>74</v>
      </c>
      <c r="D772" s="1" t="s">
        <v>7112</v>
      </c>
      <c r="E772" s="1" t="s">
        <v>74</v>
      </c>
      <c r="F772" s="1" t="s">
        <v>7113</v>
      </c>
      <c r="G772" s="1" t="s">
        <v>74</v>
      </c>
      <c r="H772" s="1" t="s">
        <v>74</v>
      </c>
      <c r="I772" s="1" t="s">
        <v>7114</v>
      </c>
      <c r="J772" s="1" t="s">
        <v>7115</v>
      </c>
      <c r="K772" s="1" t="s">
        <v>74</v>
      </c>
      <c r="L772" s="1" t="s">
        <v>74</v>
      </c>
      <c r="M772" s="1" t="s">
        <v>74</v>
      </c>
      <c r="N772" s="1" t="s">
        <v>74</v>
      </c>
      <c r="O772" s="1" t="s">
        <v>7116</v>
      </c>
      <c r="P772" s="1" t="s">
        <v>7117</v>
      </c>
      <c r="Q772" s="1" t="s">
        <v>7118</v>
      </c>
      <c r="R772" s="1" t="s">
        <v>7119</v>
      </c>
      <c r="S772" s="1" t="s">
        <v>7120</v>
      </c>
      <c r="T772" s="1" t="s">
        <v>74</v>
      </c>
      <c r="U772" s="1" t="s">
        <v>74</v>
      </c>
      <c r="V772" s="1" t="s">
        <v>74</v>
      </c>
      <c r="W772" s="1" t="s">
        <v>74</v>
      </c>
      <c r="X772" s="1" t="s">
        <v>74</v>
      </c>
      <c r="Y772" s="1" t="s">
        <v>74</v>
      </c>
      <c r="Z772" s="1" t="s">
        <v>74</v>
      </c>
      <c r="AA772" s="1" t="s">
        <v>5182</v>
      </c>
      <c r="AB772" s="1" t="s">
        <v>7047</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74</v>
      </c>
      <c r="AP772" s="1" t="s">
        <v>74</v>
      </c>
      <c r="AQ772" s="1" t="s">
        <v>7121</v>
      </c>
      <c r="AR772" s="1" t="s">
        <v>74</v>
      </c>
      <c r="AS772" s="1" t="s">
        <v>74</v>
      </c>
      <c r="AT772" s="1" t="s">
        <v>74</v>
      </c>
      <c r="AU772" s="1">
        <v>2016.0</v>
      </c>
      <c r="AV772" s="1" t="s">
        <v>74</v>
      </c>
      <c r="AW772" s="1" t="s">
        <v>74</v>
      </c>
      <c r="AX772" s="1" t="s">
        <v>74</v>
      </c>
      <c r="AY772" s="1" t="s">
        <v>74</v>
      </c>
      <c r="AZ772" s="1" t="s">
        <v>74</v>
      </c>
      <c r="BA772" s="1" t="s">
        <v>74</v>
      </c>
      <c r="BB772" s="1">
        <v>2397.0</v>
      </c>
      <c r="BC772" s="1">
        <v>2412.0</v>
      </c>
      <c r="BD772" s="1" t="s">
        <v>74</v>
      </c>
      <c r="BE772" s="1" t="s">
        <v>7122</v>
      </c>
      <c r="BF772" s="2" t="str">
        <f>HYPERLINK("http://dx.doi.org/10.4995/CIT2016.2016.4253","http://dx.doi.org/10.4995/CIT2016.2016.4253")</f>
        <v>http://dx.doi.org/10.4995/CIT2016.2016.4253</v>
      </c>
      <c r="BG772" s="1" t="s">
        <v>74</v>
      </c>
      <c r="BH772" s="1" t="s">
        <v>74</v>
      </c>
      <c r="BI772" s="1" t="s">
        <v>74</v>
      </c>
      <c r="BJ772" s="1" t="s">
        <v>74</v>
      </c>
      <c r="BK772" s="1" t="s">
        <v>74</v>
      </c>
      <c r="BL772" s="1" t="s">
        <v>74</v>
      </c>
      <c r="BM772" s="1" t="s">
        <v>74</v>
      </c>
      <c r="BN772" s="1" t="s">
        <v>74</v>
      </c>
      <c r="BO772" s="1" t="s">
        <v>74</v>
      </c>
      <c r="BP772" s="1" t="s">
        <v>74</v>
      </c>
      <c r="BQ772" s="1" t="s">
        <v>74</v>
      </c>
      <c r="BR772" s="1" t="s">
        <v>74</v>
      </c>
      <c r="BS772" s="1" t="s">
        <v>7123</v>
      </c>
      <c r="BT772" s="1" t="str">
        <f>HYPERLINK("https%3A%2F%2Fwww.webofscience.com%2Fwos%2Fwoscc%2Ffull-record%2FWOS:000441374000216","View Full Record in Web of Science")</f>
        <v>View Full Record in Web of Science</v>
      </c>
    </row>
    <row r="773" ht="12.75" customHeight="1">
      <c r="A773" s="1" t="s">
        <v>72</v>
      </c>
      <c r="B773" s="1" t="s">
        <v>7124</v>
      </c>
      <c r="C773" s="1" t="s">
        <v>74</v>
      </c>
      <c r="D773" s="1" t="s">
        <v>74</v>
      </c>
      <c r="E773" s="1" t="s">
        <v>74</v>
      </c>
      <c r="F773" s="1" t="s">
        <v>7125</v>
      </c>
      <c r="G773" s="1" t="s">
        <v>74</v>
      </c>
      <c r="H773" s="1" t="s">
        <v>74</v>
      </c>
      <c r="I773" s="1" t="s">
        <v>7126</v>
      </c>
      <c r="J773" s="1" t="s">
        <v>828</v>
      </c>
      <c r="K773" s="1" t="s">
        <v>74</v>
      </c>
      <c r="L773" s="1" t="s">
        <v>74</v>
      </c>
      <c r="M773" s="1" t="s">
        <v>74</v>
      </c>
      <c r="N773" s="1" t="s">
        <v>74</v>
      </c>
      <c r="O773" s="1" t="s">
        <v>74</v>
      </c>
      <c r="P773" s="1" t="s">
        <v>74</v>
      </c>
      <c r="Q773" s="1" t="s">
        <v>74</v>
      </c>
      <c r="R773" s="1" t="s">
        <v>74</v>
      </c>
      <c r="S773" s="1" t="s">
        <v>74</v>
      </c>
      <c r="T773" s="1" t="s">
        <v>74</v>
      </c>
      <c r="U773" s="1" t="s">
        <v>74</v>
      </c>
      <c r="V773" s="1" t="s">
        <v>7127</v>
      </c>
      <c r="W773" s="1" t="s">
        <v>74</v>
      </c>
      <c r="X773" s="1" t="s">
        <v>74</v>
      </c>
      <c r="Y773" s="1" t="s">
        <v>74</v>
      </c>
      <c r="Z773" s="1" t="s">
        <v>74</v>
      </c>
      <c r="AA773" s="1" t="s">
        <v>7128</v>
      </c>
      <c r="AB773" s="1" t="s">
        <v>7129</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832</v>
      </c>
      <c r="AP773" s="1" t="s">
        <v>74</v>
      </c>
      <c r="AQ773" s="1" t="s">
        <v>74</v>
      </c>
      <c r="AR773" s="1" t="s">
        <v>74</v>
      </c>
      <c r="AS773" s="1" t="s">
        <v>74</v>
      </c>
      <c r="AT773" s="1" t="s">
        <v>106</v>
      </c>
      <c r="AU773" s="1">
        <v>2015.0</v>
      </c>
      <c r="AV773" s="1">
        <v>14.0</v>
      </c>
      <c r="AW773" s="1">
        <v>5.0</v>
      </c>
      <c r="AX773" s="1" t="s">
        <v>74</v>
      </c>
      <c r="AY773" s="1" t="s">
        <v>74</v>
      </c>
      <c r="AZ773" s="1" t="s">
        <v>74</v>
      </c>
      <c r="BA773" s="1" t="s">
        <v>74</v>
      </c>
      <c r="BB773" s="1">
        <v>364.0</v>
      </c>
      <c r="BC773" s="1">
        <v>373.0</v>
      </c>
      <c r="BD773" s="1" t="s">
        <v>74</v>
      </c>
      <c r="BE773" s="1" t="s">
        <v>74</v>
      </c>
      <c r="BF773" s="1" t="s">
        <v>74</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7130</v>
      </c>
      <c r="BT773" s="1" t="str">
        <f>HYPERLINK("https%3A%2F%2Fwww.webofscience.com%2Fwos%2Fwoscc%2Ffull-record%2FWOS:000364522800003","View Full Record in Web of Science")</f>
        <v>View Full Record in Web of Science</v>
      </c>
    </row>
    <row r="774" ht="12.75" customHeight="1">
      <c r="A774" s="1" t="s">
        <v>72</v>
      </c>
      <c r="B774" s="1" t="s">
        <v>5322</v>
      </c>
      <c r="C774" s="1" t="s">
        <v>74</v>
      </c>
      <c r="D774" s="1" t="s">
        <v>74</v>
      </c>
      <c r="E774" s="1" t="s">
        <v>74</v>
      </c>
      <c r="F774" s="1" t="s">
        <v>5323</v>
      </c>
      <c r="G774" s="1" t="s">
        <v>74</v>
      </c>
      <c r="H774" s="1" t="s">
        <v>74</v>
      </c>
      <c r="I774" s="1" t="s">
        <v>7131</v>
      </c>
      <c r="J774" s="1" t="s">
        <v>7132</v>
      </c>
      <c r="K774" s="1" t="s">
        <v>74</v>
      </c>
      <c r="L774" s="1" t="s">
        <v>74</v>
      </c>
      <c r="M774" s="1" t="s">
        <v>74</v>
      </c>
      <c r="N774" s="1" t="s">
        <v>74</v>
      </c>
      <c r="O774" s="1" t="s">
        <v>74</v>
      </c>
      <c r="P774" s="1" t="s">
        <v>74</v>
      </c>
      <c r="Q774" s="1" t="s">
        <v>74</v>
      </c>
      <c r="R774" s="1" t="s">
        <v>74</v>
      </c>
      <c r="S774" s="1" t="s">
        <v>74</v>
      </c>
      <c r="T774" s="1" t="s">
        <v>74</v>
      </c>
      <c r="U774" s="1" t="s">
        <v>74</v>
      </c>
      <c r="V774" s="1" t="s">
        <v>7133</v>
      </c>
      <c r="W774" s="1" t="s">
        <v>74</v>
      </c>
      <c r="X774" s="1" t="s">
        <v>74</v>
      </c>
      <c r="Y774" s="1" t="s">
        <v>74</v>
      </c>
      <c r="Z774" s="1" t="s">
        <v>74</v>
      </c>
      <c r="AA774" s="1" t="s">
        <v>74</v>
      </c>
      <c r="AB774" s="1" t="s">
        <v>5327</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7134</v>
      </c>
      <c r="AP774" s="1" t="s">
        <v>7135</v>
      </c>
      <c r="AQ774" s="1" t="s">
        <v>74</v>
      </c>
      <c r="AR774" s="1" t="s">
        <v>74</v>
      </c>
      <c r="AS774" s="1" t="s">
        <v>74</v>
      </c>
      <c r="AT774" s="1" t="s">
        <v>174</v>
      </c>
      <c r="AU774" s="1">
        <v>2015.0</v>
      </c>
      <c r="AV774" s="1">
        <v>9.0</v>
      </c>
      <c r="AW774" s="1">
        <v>4.0</v>
      </c>
      <c r="AX774" s="1" t="s">
        <v>74</v>
      </c>
      <c r="AY774" s="1" t="s">
        <v>74</v>
      </c>
      <c r="AZ774" s="1" t="s">
        <v>74</v>
      </c>
      <c r="BA774" s="1" t="s">
        <v>74</v>
      </c>
      <c r="BB774" s="1">
        <v>663.0</v>
      </c>
      <c r="BC774" s="1">
        <v>675.0</v>
      </c>
      <c r="BD774" s="1" t="s">
        <v>74</v>
      </c>
      <c r="BE774" s="1" t="s">
        <v>7136</v>
      </c>
      <c r="BF774" s="2" t="str">
        <f>HYPERLINK("http://dx.doi.org/10.1007/s11590-014-0758-2","http://dx.doi.org/10.1007/s11590-014-0758-2")</f>
        <v>http://dx.doi.org/10.1007/s11590-014-0758-2</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7137</v>
      </c>
      <c r="BT774" s="1" t="str">
        <f>HYPERLINK("https%3A%2F%2Fwww.webofscience.com%2Fwos%2Fwoscc%2Ffull-record%2FWOS:000351520900003","View Full Record in Web of Science")</f>
        <v>View Full Record in Web of Science</v>
      </c>
    </row>
    <row r="775" ht="12.75" customHeight="1">
      <c r="A775" s="1" t="s">
        <v>241</v>
      </c>
      <c r="B775" s="1" t="s">
        <v>7138</v>
      </c>
      <c r="C775" s="1" t="s">
        <v>74</v>
      </c>
      <c r="D775" s="1" t="s">
        <v>475</v>
      </c>
      <c r="E775" s="1" t="s">
        <v>74</v>
      </c>
      <c r="F775" s="1" t="s">
        <v>7139</v>
      </c>
      <c r="G775" s="1" t="s">
        <v>74</v>
      </c>
      <c r="H775" s="1" t="s">
        <v>74</v>
      </c>
      <c r="I775" s="1" t="s">
        <v>7140</v>
      </c>
      <c r="J775" s="1" t="s">
        <v>478</v>
      </c>
      <c r="K775" s="1" t="s">
        <v>74</v>
      </c>
      <c r="L775" s="1" t="s">
        <v>74</v>
      </c>
      <c r="M775" s="1" t="s">
        <v>74</v>
      </c>
      <c r="N775" s="1" t="s">
        <v>74</v>
      </c>
      <c r="O775" s="1" t="s">
        <v>479</v>
      </c>
      <c r="P775" s="1" t="s">
        <v>480</v>
      </c>
      <c r="Q775" s="1" t="s">
        <v>481</v>
      </c>
      <c r="R775" s="1" t="s">
        <v>482</v>
      </c>
      <c r="S775" s="1" t="s">
        <v>74</v>
      </c>
      <c r="T775" s="1" t="s">
        <v>74</v>
      </c>
      <c r="U775" s="1" t="s">
        <v>74</v>
      </c>
      <c r="V775" s="1" t="s">
        <v>7141</v>
      </c>
      <c r="W775" s="1" t="s">
        <v>74</v>
      </c>
      <c r="X775" s="1" t="s">
        <v>74</v>
      </c>
      <c r="Y775" s="1" t="s">
        <v>74</v>
      </c>
      <c r="Z775" s="1" t="s">
        <v>74</v>
      </c>
      <c r="AA775" s="1" t="s">
        <v>7142</v>
      </c>
      <c r="AB775" s="1" t="s">
        <v>5479</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74</v>
      </c>
      <c r="AP775" s="1" t="s">
        <v>74</v>
      </c>
      <c r="AQ775" s="1" t="s">
        <v>486</v>
      </c>
      <c r="AR775" s="1" t="s">
        <v>74</v>
      </c>
      <c r="AS775" s="1" t="s">
        <v>74</v>
      </c>
      <c r="AT775" s="1" t="s">
        <v>74</v>
      </c>
      <c r="AU775" s="1">
        <v>2015.0</v>
      </c>
      <c r="AV775" s="1" t="s">
        <v>74</v>
      </c>
      <c r="AW775" s="1" t="s">
        <v>74</v>
      </c>
      <c r="AX775" s="1" t="s">
        <v>74</v>
      </c>
      <c r="AY775" s="1" t="s">
        <v>74</v>
      </c>
      <c r="AZ775" s="1" t="s">
        <v>74</v>
      </c>
      <c r="BA775" s="1" t="s">
        <v>74</v>
      </c>
      <c r="BB775" s="1">
        <v>723.0</v>
      </c>
      <c r="BC775" s="1">
        <v>728.0</v>
      </c>
      <c r="BD775" s="1" t="s">
        <v>74</v>
      </c>
      <c r="BE775" s="1" t="s">
        <v>74</v>
      </c>
      <c r="BF775" s="1" t="s">
        <v>74</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7143</v>
      </c>
      <c r="BT775" s="1" t="str">
        <f>HYPERLINK("https%3A%2F%2Fwww.webofscience.com%2Fwos%2Fwoscc%2Ffull-record%2FWOS:000380551100117","View Full Record in Web of Science")</f>
        <v>View Full Record in Web of Science</v>
      </c>
    </row>
    <row r="776" ht="12.75" customHeight="1">
      <c r="A776" s="1" t="s">
        <v>72</v>
      </c>
      <c r="B776" s="1" t="s">
        <v>7144</v>
      </c>
      <c r="C776" s="1" t="s">
        <v>74</v>
      </c>
      <c r="D776" s="1" t="s">
        <v>74</v>
      </c>
      <c r="E776" s="1" t="s">
        <v>74</v>
      </c>
      <c r="F776" s="1" t="s">
        <v>7145</v>
      </c>
      <c r="G776" s="1" t="s">
        <v>74</v>
      </c>
      <c r="H776" s="1" t="s">
        <v>74</v>
      </c>
      <c r="I776" s="1" t="s">
        <v>7146</v>
      </c>
      <c r="J776" s="1" t="s">
        <v>806</v>
      </c>
      <c r="K776" s="1" t="s">
        <v>74</v>
      </c>
      <c r="L776" s="1" t="s">
        <v>74</v>
      </c>
      <c r="M776" s="1" t="s">
        <v>74</v>
      </c>
      <c r="N776" s="1" t="s">
        <v>74</v>
      </c>
      <c r="O776" s="1" t="s">
        <v>74</v>
      </c>
      <c r="P776" s="1" t="s">
        <v>74</v>
      </c>
      <c r="Q776" s="1" t="s">
        <v>74</v>
      </c>
      <c r="R776" s="1" t="s">
        <v>74</v>
      </c>
      <c r="S776" s="1" t="s">
        <v>74</v>
      </c>
      <c r="T776" s="1" t="s">
        <v>74</v>
      </c>
      <c r="U776" s="1" t="s">
        <v>74</v>
      </c>
      <c r="V776" s="1" t="s">
        <v>7147</v>
      </c>
      <c r="W776" s="1" t="s">
        <v>74</v>
      </c>
      <c r="X776" s="1" t="s">
        <v>74</v>
      </c>
      <c r="Y776" s="1" t="s">
        <v>74</v>
      </c>
      <c r="Z776" s="1" t="s">
        <v>74</v>
      </c>
      <c r="AA776" s="1" t="s">
        <v>7148</v>
      </c>
      <c r="AB776" s="1" t="s">
        <v>74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810</v>
      </c>
      <c r="AP776" s="1" t="s">
        <v>74</v>
      </c>
      <c r="AQ776" s="1" t="s">
        <v>74</v>
      </c>
      <c r="AR776" s="1" t="s">
        <v>74</v>
      </c>
      <c r="AS776" s="1" t="s">
        <v>74</v>
      </c>
      <c r="AT776" s="1" t="s">
        <v>160</v>
      </c>
      <c r="AU776" s="1">
        <v>2014.0</v>
      </c>
      <c r="AV776" s="1">
        <v>12.0</v>
      </c>
      <c r="AW776" s="1">
        <v>8.0</v>
      </c>
      <c r="AX776" s="1" t="s">
        <v>74</v>
      </c>
      <c r="AY776" s="1" t="s">
        <v>74</v>
      </c>
      <c r="AZ776" s="1" t="s">
        <v>74</v>
      </c>
      <c r="BA776" s="1" t="s">
        <v>74</v>
      </c>
      <c r="BB776" s="1">
        <v>1349.0</v>
      </c>
      <c r="BC776" s="1">
        <v>1354.0</v>
      </c>
      <c r="BD776" s="1" t="s">
        <v>74</v>
      </c>
      <c r="BE776" s="1" t="s">
        <v>7149</v>
      </c>
      <c r="BF776" s="2" t="str">
        <f>HYPERLINK("http://dx.doi.org/10.1109/TLA.2014.7014500","http://dx.doi.org/10.1109/TLA.2014.7014500")</f>
        <v>http://dx.doi.org/10.1109/TLA.2014.7014500</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7150</v>
      </c>
      <c r="BT776" s="1" t="str">
        <f>HYPERLINK("https%3A%2F%2Fwww.webofscience.com%2Fwos%2Fwoscc%2Ffull-record%2FWOS:000348457900003","View Full Record in Web of Science")</f>
        <v>View Full Record in Web of Science</v>
      </c>
    </row>
    <row r="777" ht="12.75" customHeight="1">
      <c r="A777" s="1" t="s">
        <v>72</v>
      </c>
      <c r="B777" s="1" t="s">
        <v>7151</v>
      </c>
      <c r="C777" s="1" t="s">
        <v>74</v>
      </c>
      <c r="D777" s="1" t="s">
        <v>74</v>
      </c>
      <c r="E777" s="1" t="s">
        <v>74</v>
      </c>
      <c r="F777" s="1" t="s">
        <v>7152</v>
      </c>
      <c r="G777" s="1" t="s">
        <v>74</v>
      </c>
      <c r="H777" s="1" t="s">
        <v>74</v>
      </c>
      <c r="I777" s="1" t="s">
        <v>7153</v>
      </c>
      <c r="J777" s="1" t="s">
        <v>7154</v>
      </c>
      <c r="K777" s="1" t="s">
        <v>74</v>
      </c>
      <c r="L777" s="1" t="s">
        <v>74</v>
      </c>
      <c r="M777" s="1" t="s">
        <v>74</v>
      </c>
      <c r="N777" s="1" t="s">
        <v>74</v>
      </c>
      <c r="O777" s="1" t="s">
        <v>74</v>
      </c>
      <c r="P777" s="1" t="s">
        <v>74</v>
      </c>
      <c r="Q777" s="1" t="s">
        <v>74</v>
      </c>
      <c r="R777" s="1" t="s">
        <v>74</v>
      </c>
      <c r="S777" s="1" t="s">
        <v>74</v>
      </c>
      <c r="T777" s="1" t="s">
        <v>74</v>
      </c>
      <c r="U777" s="1" t="s">
        <v>74</v>
      </c>
      <c r="V777" s="1" t="s">
        <v>7155</v>
      </c>
      <c r="W777" s="1" t="s">
        <v>74</v>
      </c>
      <c r="X777" s="1" t="s">
        <v>74</v>
      </c>
      <c r="Y777" s="1" t="s">
        <v>74</v>
      </c>
      <c r="Z777" s="1" t="s">
        <v>74</v>
      </c>
      <c r="AA777" s="1" t="s">
        <v>7156</v>
      </c>
      <c r="AB777" s="1" t="s">
        <v>7157</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7158</v>
      </c>
      <c r="AP777" s="1" t="s">
        <v>7159</v>
      </c>
      <c r="AQ777" s="1" t="s">
        <v>74</v>
      </c>
      <c r="AR777" s="1" t="s">
        <v>74</v>
      </c>
      <c r="AS777" s="1" t="s">
        <v>74</v>
      </c>
      <c r="AT777" s="1" t="s">
        <v>848</v>
      </c>
      <c r="AU777" s="1">
        <v>2014.0</v>
      </c>
      <c r="AV777" s="1">
        <v>452.0</v>
      </c>
      <c r="AW777" s="1" t="s">
        <v>74</v>
      </c>
      <c r="AX777" s="1" t="s">
        <v>74</v>
      </c>
      <c r="AY777" s="1" t="s">
        <v>74</v>
      </c>
      <c r="AZ777" s="1" t="s">
        <v>74</v>
      </c>
      <c r="BA777" s="1" t="s">
        <v>74</v>
      </c>
      <c r="BB777" s="1">
        <v>74.0</v>
      </c>
      <c r="BC777" s="1">
        <v>81.0</v>
      </c>
      <c r="BD777" s="1" t="s">
        <v>74</v>
      </c>
      <c r="BE777" s="1" t="s">
        <v>7160</v>
      </c>
      <c r="BF777" s="2" t="str">
        <f>HYPERLINK("http://dx.doi.org/10.1016/j.physb.2014.07.009","http://dx.doi.org/10.1016/j.physb.2014.07.009")</f>
        <v>http://dx.doi.org/10.1016/j.physb.2014.07.009</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7161</v>
      </c>
      <c r="BT777" s="1" t="str">
        <f>HYPERLINK("https%3A%2F%2Fwww.webofscience.com%2Fwos%2Fwoscc%2Ffull-record%2FWOS:000340928400014","View Full Record in Web of Science")</f>
        <v>View Full Record in Web of Science</v>
      </c>
    </row>
    <row r="778" ht="12.75" customHeight="1">
      <c r="A778" s="1" t="s">
        <v>72</v>
      </c>
      <c r="B778" s="1" t="s">
        <v>7162</v>
      </c>
      <c r="C778" s="1" t="s">
        <v>74</v>
      </c>
      <c r="D778" s="1" t="s">
        <v>74</v>
      </c>
      <c r="E778" s="1" t="s">
        <v>74</v>
      </c>
      <c r="F778" s="1" t="s">
        <v>7163</v>
      </c>
      <c r="G778" s="1" t="s">
        <v>74</v>
      </c>
      <c r="H778" s="1" t="s">
        <v>74</v>
      </c>
      <c r="I778" s="1" t="s">
        <v>7164</v>
      </c>
      <c r="J778" s="1" t="s">
        <v>7165</v>
      </c>
      <c r="K778" s="1" t="s">
        <v>74</v>
      </c>
      <c r="L778" s="1" t="s">
        <v>74</v>
      </c>
      <c r="M778" s="1" t="s">
        <v>74</v>
      </c>
      <c r="N778" s="1" t="s">
        <v>74</v>
      </c>
      <c r="O778" s="1" t="s">
        <v>74</v>
      </c>
      <c r="P778" s="1" t="s">
        <v>74</v>
      </c>
      <c r="Q778" s="1" t="s">
        <v>74</v>
      </c>
      <c r="R778" s="1" t="s">
        <v>74</v>
      </c>
      <c r="S778" s="1" t="s">
        <v>74</v>
      </c>
      <c r="T778" s="1" t="s">
        <v>74</v>
      </c>
      <c r="U778" s="1" t="s">
        <v>74</v>
      </c>
      <c r="V778" s="1" t="s">
        <v>74</v>
      </c>
      <c r="W778" s="1" t="s">
        <v>74</v>
      </c>
      <c r="X778" s="1" t="s">
        <v>74</v>
      </c>
      <c r="Y778" s="1" t="s">
        <v>74</v>
      </c>
      <c r="Z778" s="1" t="s">
        <v>74</v>
      </c>
      <c r="AA778" s="1" t="s">
        <v>7166</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7167</v>
      </c>
      <c r="AP778" s="1" t="s">
        <v>7168</v>
      </c>
      <c r="AQ778" s="1" t="s">
        <v>74</v>
      </c>
      <c r="AR778" s="1" t="s">
        <v>74</v>
      </c>
      <c r="AS778" s="1" t="s">
        <v>74</v>
      </c>
      <c r="AT778" s="1" t="s">
        <v>106</v>
      </c>
      <c r="AU778" s="1">
        <v>2014.0</v>
      </c>
      <c r="AV778" s="1">
        <v>212.0</v>
      </c>
      <c r="AW778" s="1" t="s">
        <v>74</v>
      </c>
      <c r="AX778" s="1" t="s">
        <v>74</v>
      </c>
      <c r="AY778" s="1">
        <v>698.0</v>
      </c>
      <c r="AZ778" s="1" t="s">
        <v>2319</v>
      </c>
      <c r="BA778" s="1" t="s">
        <v>7169</v>
      </c>
      <c r="BB778" s="1">
        <v>85.0</v>
      </c>
      <c r="BC778" s="1">
        <v>86.0</v>
      </c>
      <c r="BD778" s="1" t="s">
        <v>74</v>
      </c>
      <c r="BE778" s="1" t="s">
        <v>74</v>
      </c>
      <c r="BF778" s="1" t="s">
        <v>74</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7170</v>
      </c>
      <c r="BT778" s="1" t="str">
        <f>HYPERLINK("https%3A%2F%2Fwww.webofscience.com%2Fwos%2Fwoscc%2Ffull-record%2FWOS:000342750000205","View Full Record in Web of Science")</f>
        <v>View Full Record in Web of Science</v>
      </c>
    </row>
    <row r="779" ht="12.75" customHeight="1">
      <c r="A779" s="1" t="s">
        <v>241</v>
      </c>
      <c r="B779" s="1" t="s">
        <v>7171</v>
      </c>
      <c r="C779" s="1" t="s">
        <v>74</v>
      </c>
      <c r="D779" s="1" t="s">
        <v>7172</v>
      </c>
      <c r="E779" s="1" t="s">
        <v>74</v>
      </c>
      <c r="F779" s="1" t="s">
        <v>7173</v>
      </c>
      <c r="G779" s="1" t="s">
        <v>74</v>
      </c>
      <c r="H779" s="1" t="s">
        <v>74</v>
      </c>
      <c r="I779" s="1" t="s">
        <v>7174</v>
      </c>
      <c r="J779" s="1" t="s">
        <v>7175</v>
      </c>
      <c r="K779" s="1" t="s">
        <v>7176</v>
      </c>
      <c r="L779" s="1" t="s">
        <v>74</v>
      </c>
      <c r="M779" s="1" t="s">
        <v>74</v>
      </c>
      <c r="N779" s="1" t="s">
        <v>74</v>
      </c>
      <c r="O779" s="1" t="s">
        <v>7177</v>
      </c>
      <c r="P779" s="1" t="s">
        <v>7178</v>
      </c>
      <c r="Q779" s="1" t="s">
        <v>7179</v>
      </c>
      <c r="R779" s="1" t="s">
        <v>7180</v>
      </c>
      <c r="S779" s="1" t="s">
        <v>74</v>
      </c>
      <c r="T779" s="1" t="s">
        <v>74</v>
      </c>
      <c r="U779" s="1" t="s">
        <v>74</v>
      </c>
      <c r="V779" s="1" t="s">
        <v>7181</v>
      </c>
      <c r="W779" s="1" t="s">
        <v>74</v>
      </c>
      <c r="X779" s="1" t="s">
        <v>74</v>
      </c>
      <c r="Y779" s="1" t="s">
        <v>74</v>
      </c>
      <c r="Z779" s="1" t="s">
        <v>74</v>
      </c>
      <c r="AA779" s="1" t="s">
        <v>74</v>
      </c>
      <c r="AB779" s="1" t="s">
        <v>5337</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4007</v>
      </c>
      <c r="AP779" s="1" t="s">
        <v>4008</v>
      </c>
      <c r="AQ779" s="1" t="s">
        <v>7182</v>
      </c>
      <c r="AR779" s="1" t="s">
        <v>74</v>
      </c>
      <c r="AS779" s="1" t="s">
        <v>74</v>
      </c>
      <c r="AT779" s="1" t="s">
        <v>74</v>
      </c>
      <c r="AU779" s="1">
        <v>2014.0</v>
      </c>
      <c r="AV779" s="1">
        <v>8857.0</v>
      </c>
      <c r="AW779" s="1" t="s">
        <v>74</v>
      </c>
      <c r="AX779" s="1" t="s">
        <v>74</v>
      </c>
      <c r="AY779" s="1" t="s">
        <v>74</v>
      </c>
      <c r="AZ779" s="1" t="s">
        <v>74</v>
      </c>
      <c r="BA779" s="1" t="s">
        <v>74</v>
      </c>
      <c r="BB779" s="1">
        <v>198.0</v>
      </c>
      <c r="BC779" s="1">
        <v>205.0</v>
      </c>
      <c r="BD779" s="1" t="s">
        <v>74</v>
      </c>
      <c r="BE779" s="1" t="s">
        <v>74</v>
      </c>
      <c r="BF779" s="1" t="s">
        <v>74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7183</v>
      </c>
      <c r="BT779" s="1" t="str">
        <f>HYPERLINK("https%3A%2F%2Fwww.webofscience.com%2Fwos%2Fwoscc%2Ffull-record%2FWOS:000354938000018","View Full Record in Web of Science")</f>
        <v>View Full Record in Web of Science</v>
      </c>
    </row>
    <row r="780" ht="12.75" customHeight="1">
      <c r="A780" s="1" t="s">
        <v>72</v>
      </c>
      <c r="B780" s="1" t="s">
        <v>7184</v>
      </c>
      <c r="C780" s="1" t="s">
        <v>74</v>
      </c>
      <c r="D780" s="1" t="s">
        <v>74</v>
      </c>
      <c r="E780" s="1" t="s">
        <v>74</v>
      </c>
      <c r="F780" s="1" t="s">
        <v>7185</v>
      </c>
      <c r="G780" s="1" t="s">
        <v>74</v>
      </c>
      <c r="H780" s="1" t="s">
        <v>74</v>
      </c>
      <c r="I780" s="1" t="s">
        <v>7186</v>
      </c>
      <c r="J780" s="1" t="s">
        <v>7187</v>
      </c>
      <c r="K780" s="1" t="s">
        <v>74</v>
      </c>
      <c r="L780" s="1" t="s">
        <v>74</v>
      </c>
      <c r="M780" s="1" t="s">
        <v>74</v>
      </c>
      <c r="N780" s="1" t="s">
        <v>74</v>
      </c>
      <c r="O780" s="1" t="s">
        <v>74</v>
      </c>
      <c r="P780" s="1" t="s">
        <v>74</v>
      </c>
      <c r="Q780" s="1" t="s">
        <v>74</v>
      </c>
      <c r="R780" s="1" t="s">
        <v>74</v>
      </c>
      <c r="S780" s="1" t="s">
        <v>74</v>
      </c>
      <c r="T780" s="1" t="s">
        <v>74</v>
      </c>
      <c r="U780" s="1" t="s">
        <v>74</v>
      </c>
      <c r="V780" s="1" t="s">
        <v>7188</v>
      </c>
      <c r="W780" s="1" t="s">
        <v>74</v>
      </c>
      <c r="X780" s="1" t="s">
        <v>74</v>
      </c>
      <c r="Y780" s="1" t="s">
        <v>74</v>
      </c>
      <c r="Z780" s="1" t="s">
        <v>74</v>
      </c>
      <c r="AA780" s="1" t="s">
        <v>74</v>
      </c>
      <c r="AB780" s="1" t="s">
        <v>7189</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7190</v>
      </c>
      <c r="AP780" s="1" t="s">
        <v>74</v>
      </c>
      <c r="AQ780" s="1" t="s">
        <v>74</v>
      </c>
      <c r="AR780" s="1" t="s">
        <v>74</v>
      </c>
      <c r="AS780" s="1" t="s">
        <v>74</v>
      </c>
      <c r="AT780" s="1" t="s">
        <v>7191</v>
      </c>
      <c r="AU780" s="1">
        <v>2013.0</v>
      </c>
      <c r="AV780" s="1">
        <v>98.0</v>
      </c>
      <c r="AW780" s="1" t="s">
        <v>74</v>
      </c>
      <c r="AX780" s="1" t="s">
        <v>74</v>
      </c>
      <c r="AY780" s="1" t="s">
        <v>74</v>
      </c>
      <c r="AZ780" s="1" t="s">
        <v>74</v>
      </c>
      <c r="BA780" s="1" t="s">
        <v>74</v>
      </c>
      <c r="BB780" s="1">
        <v>7.0</v>
      </c>
      <c r="BC780" s="1">
        <v>11.0</v>
      </c>
      <c r="BD780" s="1" t="s">
        <v>74</v>
      </c>
      <c r="BE780" s="1" t="s">
        <v>7192</v>
      </c>
      <c r="BF780" s="2" t="str">
        <f>HYPERLINK("http://dx.doi.org/10.1016/j.ces.2013.04.050","http://dx.doi.org/10.1016/j.ces.2013.04.050")</f>
        <v>http://dx.doi.org/10.1016/j.ces.2013.04.050</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7193</v>
      </c>
      <c r="BT780" s="1" t="str">
        <f>HYPERLINK("https%3A%2F%2Fwww.webofscience.com%2Fwos%2Fwoscc%2Ffull-record%2FWOS:000321427400002","View Full Record in Web of Science")</f>
        <v>View Full Record in Web of Science</v>
      </c>
    </row>
    <row r="781" ht="12.75" customHeight="1">
      <c r="A781" s="1" t="s">
        <v>72</v>
      </c>
      <c r="B781" s="1" t="s">
        <v>7194</v>
      </c>
      <c r="C781" s="1" t="s">
        <v>74</v>
      </c>
      <c r="D781" s="1" t="s">
        <v>74</v>
      </c>
      <c r="E781" s="1" t="s">
        <v>74</v>
      </c>
      <c r="F781" s="1" t="s">
        <v>7195</v>
      </c>
      <c r="G781" s="1" t="s">
        <v>74</v>
      </c>
      <c r="H781" s="1" t="s">
        <v>74</v>
      </c>
      <c r="I781" s="1" t="s">
        <v>7196</v>
      </c>
      <c r="J781" s="1" t="s">
        <v>2628</v>
      </c>
      <c r="K781" s="1" t="s">
        <v>74</v>
      </c>
      <c r="L781" s="1" t="s">
        <v>74</v>
      </c>
      <c r="M781" s="1" t="s">
        <v>74</v>
      </c>
      <c r="N781" s="1" t="s">
        <v>74</v>
      </c>
      <c r="O781" s="1" t="s">
        <v>74</v>
      </c>
      <c r="P781" s="1" t="s">
        <v>74</v>
      </c>
      <c r="Q781" s="1" t="s">
        <v>74</v>
      </c>
      <c r="R781" s="1" t="s">
        <v>74</v>
      </c>
      <c r="S781" s="1" t="s">
        <v>74</v>
      </c>
      <c r="T781" s="1" t="s">
        <v>74</v>
      </c>
      <c r="U781" s="1" t="s">
        <v>74</v>
      </c>
      <c r="V781" s="1" t="s">
        <v>7197</v>
      </c>
      <c r="W781" s="1" t="s">
        <v>74</v>
      </c>
      <c r="X781" s="1" t="s">
        <v>74</v>
      </c>
      <c r="Y781" s="1" t="s">
        <v>74</v>
      </c>
      <c r="Z781" s="1" t="s">
        <v>74</v>
      </c>
      <c r="AA781" s="1" t="s">
        <v>7198</v>
      </c>
      <c r="AB781" s="1" t="s">
        <v>7199</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2632</v>
      </c>
      <c r="AP781" s="1" t="s">
        <v>7200</v>
      </c>
      <c r="AQ781" s="1" t="s">
        <v>74</v>
      </c>
      <c r="AR781" s="1" t="s">
        <v>74</v>
      </c>
      <c r="AS781" s="1" t="s">
        <v>74</v>
      </c>
      <c r="AT781" s="1" t="s">
        <v>183</v>
      </c>
      <c r="AU781" s="1">
        <v>2013.0</v>
      </c>
      <c r="AV781" s="1">
        <v>30.0</v>
      </c>
      <c r="AW781" s="1" t="s">
        <v>74</v>
      </c>
      <c r="AX781" s="1" t="s">
        <v>74</v>
      </c>
      <c r="AY781" s="1" t="s">
        <v>74</v>
      </c>
      <c r="AZ781" s="1" t="s">
        <v>74</v>
      </c>
      <c r="BA781" s="1" t="s">
        <v>74</v>
      </c>
      <c r="BB781" s="1">
        <v>34.0</v>
      </c>
      <c r="BC781" s="1">
        <v>37.0</v>
      </c>
      <c r="BD781" s="1" t="s">
        <v>74</v>
      </c>
      <c r="BE781" s="1" t="s">
        <v>7201</v>
      </c>
      <c r="BF781" s="2" t="str">
        <f>HYPERLINK("http://dx.doi.org/10.1016/j.elecom.2013.01.024","http://dx.doi.org/10.1016/j.elecom.2013.01.024")</f>
        <v>http://dx.doi.org/10.1016/j.elecom.2013.01.024</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7202</v>
      </c>
      <c r="BT781" s="1" t="str">
        <f>HYPERLINK("https%3A%2F%2Fwww.webofscience.com%2Fwos%2Fwoscc%2Ffull-record%2FWOS:000317453100009","View Full Record in Web of Science")</f>
        <v>View Full Record in Web of Science</v>
      </c>
    </row>
    <row r="782" ht="12.75" customHeight="1">
      <c r="A782" s="1" t="s">
        <v>72</v>
      </c>
      <c r="B782" s="1" t="s">
        <v>7203</v>
      </c>
      <c r="C782" s="1" t="s">
        <v>74</v>
      </c>
      <c r="D782" s="1" t="s">
        <v>74</v>
      </c>
      <c r="E782" s="1" t="s">
        <v>74</v>
      </c>
      <c r="F782" s="1" t="s">
        <v>7204</v>
      </c>
      <c r="G782" s="1" t="s">
        <v>74</v>
      </c>
      <c r="H782" s="1" t="s">
        <v>74</v>
      </c>
      <c r="I782" s="1" t="s">
        <v>7205</v>
      </c>
      <c r="J782" s="1" t="s">
        <v>2677</v>
      </c>
      <c r="K782" s="1" t="s">
        <v>74</v>
      </c>
      <c r="L782" s="1" t="s">
        <v>74</v>
      </c>
      <c r="M782" s="1" t="s">
        <v>74</v>
      </c>
      <c r="N782" s="1" t="s">
        <v>74</v>
      </c>
      <c r="O782" s="1" t="s">
        <v>74</v>
      </c>
      <c r="P782" s="1" t="s">
        <v>74</v>
      </c>
      <c r="Q782" s="1" t="s">
        <v>74</v>
      </c>
      <c r="R782" s="1" t="s">
        <v>74</v>
      </c>
      <c r="S782" s="1" t="s">
        <v>74</v>
      </c>
      <c r="T782" s="1" t="s">
        <v>74</v>
      </c>
      <c r="U782" s="1" t="s">
        <v>74</v>
      </c>
      <c r="V782" s="1" t="s">
        <v>7206</v>
      </c>
      <c r="W782" s="1" t="s">
        <v>74</v>
      </c>
      <c r="X782" s="1" t="s">
        <v>74</v>
      </c>
      <c r="Y782" s="1" t="s">
        <v>74</v>
      </c>
      <c r="Z782" s="1" t="s">
        <v>74</v>
      </c>
      <c r="AA782" s="1" t="s">
        <v>7207</v>
      </c>
      <c r="AB782" s="1" t="s">
        <v>7208</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3243</v>
      </c>
      <c r="AP782" s="1" t="s">
        <v>3244</v>
      </c>
      <c r="AQ782" s="1" t="s">
        <v>74</v>
      </c>
      <c r="AR782" s="1" t="s">
        <v>74</v>
      </c>
      <c r="AS782" s="1" t="s">
        <v>74</v>
      </c>
      <c r="AT782" s="1" t="s">
        <v>874</v>
      </c>
      <c r="AU782" s="1">
        <v>2013.0</v>
      </c>
      <c r="AV782" s="1">
        <v>87.0</v>
      </c>
      <c r="AW782" s="1">
        <v>4.0</v>
      </c>
      <c r="AX782" s="1" t="s">
        <v>74</v>
      </c>
      <c r="AY782" s="1" t="s">
        <v>74</v>
      </c>
      <c r="AZ782" s="1" t="s">
        <v>74</v>
      </c>
      <c r="BA782" s="1" t="s">
        <v>74</v>
      </c>
      <c r="BB782" s="1" t="s">
        <v>74</v>
      </c>
      <c r="BC782" s="1" t="s">
        <v>74</v>
      </c>
      <c r="BD782" s="1">
        <v>45009.0</v>
      </c>
      <c r="BE782" s="1" t="s">
        <v>7209</v>
      </c>
      <c r="BF782" s="2" t="str">
        <f>HYPERLINK("http://dx.doi.org/10.1103/PhysRevD.87.045009","http://dx.doi.org/10.1103/PhysRevD.87.045009")</f>
        <v>http://dx.doi.org/10.1103/PhysRevD.87.045009</v>
      </c>
      <c r="BG782" s="1" t="s">
        <v>74</v>
      </c>
      <c r="BH782" s="1" t="s">
        <v>74</v>
      </c>
      <c r="BI782" s="1" t="s">
        <v>74</v>
      </c>
      <c r="BJ782" s="1" t="s">
        <v>74</v>
      </c>
      <c r="BK782" s="1" t="s">
        <v>74</v>
      </c>
      <c r="BL782" s="1" t="s">
        <v>74</v>
      </c>
      <c r="BM782" s="1" t="s">
        <v>74</v>
      </c>
      <c r="BN782" s="1" t="s">
        <v>74</v>
      </c>
      <c r="BO782" s="1" t="s">
        <v>74</v>
      </c>
      <c r="BP782" s="1" t="s">
        <v>74</v>
      </c>
      <c r="BQ782" s="1" t="s">
        <v>74</v>
      </c>
      <c r="BR782" s="1" t="s">
        <v>74</v>
      </c>
      <c r="BS782" s="1" t="s">
        <v>7210</v>
      </c>
      <c r="BT782" s="1" t="str">
        <f>HYPERLINK("https%3A%2F%2Fwww.webofscience.com%2Fwos%2Fwoscc%2Ffull-record%2FWOS:000314878900009","View Full Record in Web of Science")</f>
        <v>View Full Record in Web of Science</v>
      </c>
    </row>
    <row r="783" ht="12.75" customHeight="1">
      <c r="A783" s="1" t="s">
        <v>241</v>
      </c>
      <c r="B783" s="1" t="s">
        <v>7211</v>
      </c>
      <c r="C783" s="1" t="s">
        <v>74</v>
      </c>
      <c r="D783" s="1" t="s">
        <v>7212</v>
      </c>
      <c r="E783" s="1" t="s">
        <v>74</v>
      </c>
      <c r="F783" s="1" t="s">
        <v>7213</v>
      </c>
      <c r="G783" s="1" t="s">
        <v>74</v>
      </c>
      <c r="H783" s="1" t="s">
        <v>74</v>
      </c>
      <c r="I783" s="1" t="s">
        <v>7214</v>
      </c>
      <c r="J783" s="1" t="s">
        <v>7215</v>
      </c>
      <c r="K783" s="1" t="s">
        <v>7216</v>
      </c>
      <c r="L783" s="1" t="s">
        <v>74</v>
      </c>
      <c r="M783" s="1" t="s">
        <v>74</v>
      </c>
      <c r="N783" s="1" t="s">
        <v>74</v>
      </c>
      <c r="O783" s="1" t="s">
        <v>7217</v>
      </c>
      <c r="P783" s="1" t="s">
        <v>7218</v>
      </c>
      <c r="Q783" s="1" t="s">
        <v>7219</v>
      </c>
      <c r="R783" s="1" t="s">
        <v>7220</v>
      </c>
      <c r="S783" s="1" t="s">
        <v>74</v>
      </c>
      <c r="T783" s="1" t="s">
        <v>74</v>
      </c>
      <c r="U783" s="1" t="s">
        <v>74</v>
      </c>
      <c r="V783" s="1" t="s">
        <v>7221</v>
      </c>
      <c r="W783" s="1" t="s">
        <v>74</v>
      </c>
      <c r="X783" s="1" t="s">
        <v>74</v>
      </c>
      <c r="Y783" s="1" t="s">
        <v>74</v>
      </c>
      <c r="Z783" s="1" t="s">
        <v>74</v>
      </c>
      <c r="AA783" s="1" t="s">
        <v>74</v>
      </c>
      <c r="AB783" s="1" t="s">
        <v>5337</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7222</v>
      </c>
      <c r="AP783" s="1" t="s">
        <v>74</v>
      </c>
      <c r="AQ783" s="1" t="s">
        <v>7223</v>
      </c>
      <c r="AR783" s="1" t="s">
        <v>74</v>
      </c>
      <c r="AS783" s="1" t="s">
        <v>74</v>
      </c>
      <c r="AT783" s="1" t="s">
        <v>74</v>
      </c>
      <c r="AU783" s="1">
        <v>2013.0</v>
      </c>
      <c r="AV783" s="1">
        <v>35.0</v>
      </c>
      <c r="AW783" s="1" t="s">
        <v>74</v>
      </c>
      <c r="AX783" s="1" t="s">
        <v>74</v>
      </c>
      <c r="AY783" s="1" t="s">
        <v>74</v>
      </c>
      <c r="AZ783" s="1" t="s">
        <v>74</v>
      </c>
      <c r="BA783" s="1" t="s">
        <v>74</v>
      </c>
      <c r="BB783" s="1">
        <v>961.0</v>
      </c>
      <c r="BC783" s="1">
        <v>966.0</v>
      </c>
      <c r="BD783" s="1" t="s">
        <v>74</v>
      </c>
      <c r="BE783" s="1" t="s">
        <v>7224</v>
      </c>
      <c r="BF783" s="2" t="str">
        <f>HYPERLINK("http://dx.doi.org/10.3303/CET1335160","http://dx.doi.org/10.3303/CET1335160")</f>
        <v>http://dx.doi.org/10.3303/CET1335160</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7225</v>
      </c>
      <c r="BT783" s="1" t="str">
        <f>HYPERLINK("https%3A%2F%2Fwww.webofscience.com%2Fwos%2Fwoscc%2Ffull-record%2FWOS:000337963900160","View Full Record in Web of Science")</f>
        <v>View Full Record in Web of Science</v>
      </c>
    </row>
    <row r="784" ht="12.75" customHeight="1">
      <c r="A784" s="1" t="s">
        <v>72</v>
      </c>
      <c r="B784" s="1" t="s">
        <v>7226</v>
      </c>
      <c r="C784" s="1" t="s">
        <v>74</v>
      </c>
      <c r="D784" s="1" t="s">
        <v>74</v>
      </c>
      <c r="E784" s="1" t="s">
        <v>74</v>
      </c>
      <c r="F784" s="1" t="s">
        <v>7227</v>
      </c>
      <c r="G784" s="1" t="s">
        <v>74</v>
      </c>
      <c r="H784" s="1" t="s">
        <v>74</v>
      </c>
      <c r="I784" s="1" t="s">
        <v>7228</v>
      </c>
      <c r="J784" s="1" t="s">
        <v>7229</v>
      </c>
      <c r="K784" s="1" t="s">
        <v>74</v>
      </c>
      <c r="L784" s="1" t="s">
        <v>74</v>
      </c>
      <c r="M784" s="1" t="s">
        <v>74</v>
      </c>
      <c r="N784" s="1" t="s">
        <v>74</v>
      </c>
      <c r="O784" s="1" t="s">
        <v>74</v>
      </c>
      <c r="P784" s="1" t="s">
        <v>74</v>
      </c>
      <c r="Q784" s="1" t="s">
        <v>74</v>
      </c>
      <c r="R784" s="1" t="s">
        <v>74</v>
      </c>
      <c r="S784" s="1" t="s">
        <v>74</v>
      </c>
      <c r="T784" s="1" t="s">
        <v>74</v>
      </c>
      <c r="U784" s="1" t="s">
        <v>74</v>
      </c>
      <c r="V784" s="1" t="s">
        <v>7230</v>
      </c>
      <c r="W784" s="1" t="s">
        <v>74</v>
      </c>
      <c r="X784" s="1" t="s">
        <v>74</v>
      </c>
      <c r="Y784" s="1" t="s">
        <v>74</v>
      </c>
      <c r="Z784" s="1" t="s">
        <v>74</v>
      </c>
      <c r="AA784" s="1" t="s">
        <v>7231</v>
      </c>
      <c r="AB784" s="1" t="s">
        <v>485</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7232</v>
      </c>
      <c r="AP784" s="1" t="s">
        <v>7233</v>
      </c>
      <c r="AQ784" s="1" t="s">
        <v>74</v>
      </c>
      <c r="AR784" s="1" t="s">
        <v>74</v>
      </c>
      <c r="AS784" s="1" t="s">
        <v>74</v>
      </c>
      <c r="AT784" s="1" t="s">
        <v>82</v>
      </c>
      <c r="AU784" s="1">
        <v>2011.0</v>
      </c>
      <c r="AV784" s="1">
        <v>5.0</v>
      </c>
      <c r="AW784" s="1">
        <v>9.0</v>
      </c>
      <c r="AX784" s="1" t="s">
        <v>74</v>
      </c>
      <c r="AY784" s="1" t="s">
        <v>74</v>
      </c>
      <c r="AZ784" s="1" t="s">
        <v>74</v>
      </c>
      <c r="BA784" s="1" t="s">
        <v>74</v>
      </c>
      <c r="BB784" s="1">
        <v>1085.0</v>
      </c>
      <c r="BC784" s="1">
        <v>1091.0</v>
      </c>
      <c r="BD784" s="1" t="s">
        <v>74</v>
      </c>
      <c r="BE784" s="1" t="s">
        <v>7234</v>
      </c>
      <c r="BF784" s="2" t="str">
        <f>HYPERLINK("http://dx.doi.org/10.1049/iet-cta.2010.0175","http://dx.doi.org/10.1049/iet-cta.2010.0175")</f>
        <v>http://dx.doi.org/10.1049/iet-cta.2010.0175</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7235</v>
      </c>
      <c r="BT784" s="1" t="str">
        <f>HYPERLINK("https%3A%2F%2Fwww.webofscience.com%2Fwos%2Fwoscc%2Ffull-record%2FWOS:000292634600004","View Full Record in Web of Science")</f>
        <v>View Full Record in Web of Science</v>
      </c>
    </row>
    <row r="785" ht="12.75" customHeight="1">
      <c r="A785" s="1" t="s">
        <v>72</v>
      </c>
      <c r="B785" s="1" t="s">
        <v>7236</v>
      </c>
      <c r="C785" s="1" t="s">
        <v>74</v>
      </c>
      <c r="D785" s="1" t="s">
        <v>74</v>
      </c>
      <c r="E785" s="1" t="s">
        <v>74</v>
      </c>
      <c r="F785" s="1" t="s">
        <v>7237</v>
      </c>
      <c r="G785" s="1" t="s">
        <v>74</v>
      </c>
      <c r="H785" s="1" t="s">
        <v>74</v>
      </c>
      <c r="I785" s="1" t="s">
        <v>7238</v>
      </c>
      <c r="J785" s="1" t="s">
        <v>7239</v>
      </c>
      <c r="K785" s="1" t="s">
        <v>74</v>
      </c>
      <c r="L785" s="1" t="s">
        <v>74</v>
      </c>
      <c r="M785" s="1" t="s">
        <v>74</v>
      </c>
      <c r="N785" s="1" t="s">
        <v>74</v>
      </c>
      <c r="O785" s="1" t="s">
        <v>74</v>
      </c>
      <c r="P785" s="1" t="s">
        <v>74</v>
      </c>
      <c r="Q785" s="1" t="s">
        <v>74</v>
      </c>
      <c r="R785" s="1" t="s">
        <v>74</v>
      </c>
      <c r="S785" s="1" t="s">
        <v>74</v>
      </c>
      <c r="T785" s="1" t="s">
        <v>74</v>
      </c>
      <c r="U785" s="1" t="s">
        <v>74</v>
      </c>
      <c r="V785" s="1" t="s">
        <v>7240</v>
      </c>
      <c r="W785" s="1" t="s">
        <v>74</v>
      </c>
      <c r="X785" s="1" t="s">
        <v>74</v>
      </c>
      <c r="Y785" s="1" t="s">
        <v>74</v>
      </c>
      <c r="Z785" s="1" t="s">
        <v>74</v>
      </c>
      <c r="AA785" s="1" t="s">
        <v>7241</v>
      </c>
      <c r="AB785" s="1" t="s">
        <v>7242</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7243</v>
      </c>
      <c r="AP785" s="1" t="s">
        <v>7244</v>
      </c>
      <c r="AQ785" s="1" t="s">
        <v>74</v>
      </c>
      <c r="AR785" s="1" t="s">
        <v>74</v>
      </c>
      <c r="AS785" s="1" t="s">
        <v>74</v>
      </c>
      <c r="AT785" s="1" t="s">
        <v>7245</v>
      </c>
      <c r="AU785" s="1">
        <v>2011.0</v>
      </c>
      <c r="AV785" s="1">
        <v>71.0</v>
      </c>
      <c r="AW785" s="1">
        <v>4.0</v>
      </c>
      <c r="AX785" s="1" t="s">
        <v>74</v>
      </c>
      <c r="AY785" s="1" t="s">
        <v>74</v>
      </c>
      <c r="AZ785" s="1" t="s">
        <v>74</v>
      </c>
      <c r="BA785" s="1" t="s">
        <v>74</v>
      </c>
      <c r="BB785" s="1">
        <v>535.0</v>
      </c>
      <c r="BC785" s="1">
        <v>540.0</v>
      </c>
      <c r="BD785" s="1" t="s">
        <v>74</v>
      </c>
      <c r="BE785" s="1" t="s">
        <v>7246</v>
      </c>
      <c r="BF785" s="2" t="str">
        <f>HYPERLINK("http://dx.doi.org/10.1016/j.compscitech.2011.01.002","http://dx.doi.org/10.1016/j.compscitech.2011.01.002")</f>
        <v>http://dx.doi.org/10.1016/j.compscitech.2011.01.002</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7247</v>
      </c>
      <c r="BT785" s="1" t="str">
        <f>HYPERLINK("https%3A%2F%2Fwww.webofscience.com%2Fwos%2Fwoscc%2Ffull-record%2FWOS:000288357700015","View Full Record in Web of Science")</f>
        <v>View Full Record in Web of Science</v>
      </c>
    </row>
    <row r="786" ht="12.75" customHeight="1">
      <c r="A786" s="1" t="s">
        <v>72</v>
      </c>
      <c r="B786" s="1" t="s">
        <v>7248</v>
      </c>
      <c r="C786" s="1" t="s">
        <v>74</v>
      </c>
      <c r="D786" s="1" t="s">
        <v>74</v>
      </c>
      <c r="E786" s="1" t="s">
        <v>74</v>
      </c>
      <c r="F786" s="1" t="s">
        <v>7249</v>
      </c>
      <c r="G786" s="1" t="s">
        <v>74</v>
      </c>
      <c r="H786" s="1" t="s">
        <v>74</v>
      </c>
      <c r="I786" s="1" t="s">
        <v>7250</v>
      </c>
      <c r="J786" s="1" t="s">
        <v>7251</v>
      </c>
      <c r="K786" s="1" t="s">
        <v>74</v>
      </c>
      <c r="L786" s="1" t="s">
        <v>74</v>
      </c>
      <c r="M786" s="1" t="s">
        <v>74</v>
      </c>
      <c r="N786" s="1" t="s">
        <v>74</v>
      </c>
      <c r="O786" s="1" t="s">
        <v>74</v>
      </c>
      <c r="P786" s="1" t="s">
        <v>74</v>
      </c>
      <c r="Q786" s="1" t="s">
        <v>74</v>
      </c>
      <c r="R786" s="1" t="s">
        <v>74</v>
      </c>
      <c r="S786" s="1" t="s">
        <v>74</v>
      </c>
      <c r="T786" s="1" t="s">
        <v>74</v>
      </c>
      <c r="U786" s="1" t="s">
        <v>74</v>
      </c>
      <c r="V786" s="1" t="s">
        <v>7252</v>
      </c>
      <c r="W786" s="1" t="s">
        <v>74</v>
      </c>
      <c r="X786" s="1" t="s">
        <v>74</v>
      </c>
      <c r="Y786" s="1" t="s">
        <v>74</v>
      </c>
      <c r="Z786" s="1" t="s">
        <v>74</v>
      </c>
      <c r="AA786" s="1" t="s">
        <v>7253</v>
      </c>
      <c r="AB786" s="1" t="s">
        <v>7254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7255</v>
      </c>
      <c r="AP786" s="1" t="s">
        <v>7256</v>
      </c>
      <c r="AQ786" s="1" t="s">
        <v>74</v>
      </c>
      <c r="AR786" s="1" t="s">
        <v>74</v>
      </c>
      <c r="AS786" s="1" t="s">
        <v>74</v>
      </c>
      <c r="AT786" s="1" t="s">
        <v>74</v>
      </c>
      <c r="AU786" s="1">
        <v>2011.0</v>
      </c>
      <c r="AV786" s="1" t="s">
        <v>74</v>
      </c>
      <c r="AW786" s="1">
        <v>57.0</v>
      </c>
      <c r="AX786" s="1" t="s">
        <v>74</v>
      </c>
      <c r="AY786" s="1" t="s">
        <v>74</v>
      </c>
      <c r="AZ786" s="1" t="s">
        <v>74</v>
      </c>
      <c r="BA786" s="1" t="s">
        <v>74</v>
      </c>
      <c r="BB786" s="1">
        <v>33.0</v>
      </c>
      <c r="BC786" s="1">
        <v>56.0</v>
      </c>
      <c r="BD786" s="1" t="s">
        <v>74</v>
      </c>
      <c r="BE786" s="1" t="s">
        <v>74</v>
      </c>
      <c r="BF786" s="1" t="s">
        <v>74</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7257</v>
      </c>
      <c r="BT786" s="1" t="str">
        <f>HYPERLINK("https%3A%2F%2Fwww.webofscience.com%2Fwos%2Fwoscc%2Ffull-record%2FWOS:000299301800002","View Full Record in Web of Science")</f>
        <v>View Full Record in Web of Science</v>
      </c>
    </row>
    <row r="787" ht="12.75" customHeight="1">
      <c r="A787" s="1" t="s">
        <v>72</v>
      </c>
      <c r="B787" s="1" t="s">
        <v>7258</v>
      </c>
      <c r="C787" s="1" t="s">
        <v>74</v>
      </c>
      <c r="D787" s="1" t="s">
        <v>74</v>
      </c>
      <c r="E787" s="1" t="s">
        <v>74</v>
      </c>
      <c r="F787" s="1" t="s">
        <v>7259</v>
      </c>
      <c r="G787" s="1" t="s">
        <v>74</v>
      </c>
      <c r="H787" s="1" t="s">
        <v>74</v>
      </c>
      <c r="I787" s="1" t="s">
        <v>7260</v>
      </c>
      <c r="J787" s="1" t="s">
        <v>7261</v>
      </c>
      <c r="K787" s="1" t="s">
        <v>74</v>
      </c>
      <c r="L787" s="1" t="s">
        <v>74</v>
      </c>
      <c r="M787" s="1" t="s">
        <v>74</v>
      </c>
      <c r="N787" s="1" t="s">
        <v>74</v>
      </c>
      <c r="O787" s="1" t="s">
        <v>74</v>
      </c>
      <c r="P787" s="1" t="s">
        <v>74</v>
      </c>
      <c r="Q787" s="1" t="s">
        <v>74</v>
      </c>
      <c r="R787" s="1" t="s">
        <v>74</v>
      </c>
      <c r="S787" s="1" t="s">
        <v>74</v>
      </c>
      <c r="T787" s="1" t="s">
        <v>74</v>
      </c>
      <c r="U787" s="1" t="s">
        <v>74</v>
      </c>
      <c r="V787" s="1" t="s">
        <v>7262</v>
      </c>
      <c r="W787" s="1" t="s">
        <v>74</v>
      </c>
      <c r="X787" s="1" t="s">
        <v>74</v>
      </c>
      <c r="Y787" s="1" t="s">
        <v>74</v>
      </c>
      <c r="Z787" s="1" t="s">
        <v>74</v>
      </c>
      <c r="AA787" s="1" t="s">
        <v>7263</v>
      </c>
      <c r="AB787" s="1" t="s">
        <v>7264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7265</v>
      </c>
      <c r="AP787" s="1" t="s">
        <v>74</v>
      </c>
      <c r="AQ787" s="1" t="s">
        <v>74</v>
      </c>
      <c r="AR787" s="1" t="s">
        <v>74</v>
      </c>
      <c r="AS787" s="1" t="s">
        <v>74</v>
      </c>
      <c r="AT787" s="1" t="s">
        <v>74</v>
      </c>
      <c r="AU787" s="1">
        <v>2011.0</v>
      </c>
      <c r="AV787" s="1">
        <v>41.0</v>
      </c>
      <c r="AW787" s="1">
        <v>6.0</v>
      </c>
      <c r="AX787" s="1" t="s">
        <v>74</v>
      </c>
      <c r="AY787" s="1" t="s">
        <v>74</v>
      </c>
      <c r="AZ787" s="1" t="s">
        <v>74</v>
      </c>
      <c r="BA787" s="1" t="s">
        <v>74</v>
      </c>
      <c r="BB787" s="1">
        <v>1861.0</v>
      </c>
      <c r="BC787" s="1">
        <v>1882.0</v>
      </c>
      <c r="BD787" s="1" t="s">
        <v>74</v>
      </c>
      <c r="BE787" s="1" t="s">
        <v>7266</v>
      </c>
      <c r="BF787" s="2" t="str">
        <f>HYPERLINK("http://dx.doi.org/10.1216/RMJ-2011-41-6-1861","http://dx.doi.org/10.1216/RMJ-2011-41-6-1861")</f>
        <v>http://dx.doi.org/10.1216/RMJ-2011-41-6-1861</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7267</v>
      </c>
      <c r="BT787" s="1" t="str">
        <f>HYPERLINK("https%3A%2F%2Fwww.webofscience.com%2Fwos%2Fwoscc%2Ffull-record%2FWOS:000298020300006","View Full Record in Web of Science")</f>
        <v>View Full Record in Web of Science</v>
      </c>
    </row>
    <row r="788" ht="12.75" customHeight="1">
      <c r="A788" s="1" t="s">
        <v>72</v>
      </c>
      <c r="B788" s="1" t="s">
        <v>7268</v>
      </c>
      <c r="C788" s="1" t="s">
        <v>74</v>
      </c>
      <c r="D788" s="1" t="s">
        <v>74</v>
      </c>
      <c r="E788" s="1" t="s">
        <v>74</v>
      </c>
      <c r="F788" s="1" t="s">
        <v>7269</v>
      </c>
      <c r="G788" s="1" t="s">
        <v>74</v>
      </c>
      <c r="H788" s="1" t="s">
        <v>74</v>
      </c>
      <c r="I788" s="1" t="s">
        <v>7270</v>
      </c>
      <c r="J788" s="1" t="s">
        <v>7271</v>
      </c>
      <c r="K788" s="1" t="s">
        <v>74</v>
      </c>
      <c r="L788" s="1" t="s">
        <v>74</v>
      </c>
      <c r="M788" s="1" t="s">
        <v>74</v>
      </c>
      <c r="N788" s="1" t="s">
        <v>74</v>
      </c>
      <c r="O788" s="1" t="s">
        <v>74</v>
      </c>
      <c r="P788" s="1" t="s">
        <v>74</v>
      </c>
      <c r="Q788" s="1" t="s">
        <v>74</v>
      </c>
      <c r="R788" s="1" t="s">
        <v>74</v>
      </c>
      <c r="S788" s="1" t="s">
        <v>74</v>
      </c>
      <c r="T788" s="1" t="s">
        <v>74</v>
      </c>
      <c r="U788" s="1" t="s">
        <v>74</v>
      </c>
      <c r="V788" s="1" t="s">
        <v>7272</v>
      </c>
      <c r="W788" s="1" t="s">
        <v>74</v>
      </c>
      <c r="X788" s="1" t="s">
        <v>74</v>
      </c>
      <c r="Y788" s="1" t="s">
        <v>74</v>
      </c>
      <c r="Z788" s="1" t="s">
        <v>74</v>
      </c>
      <c r="AA788" s="1" t="s">
        <v>6570</v>
      </c>
      <c r="AB788" s="1" t="s">
        <v>6571</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7273</v>
      </c>
      <c r="AP788" s="1" t="s">
        <v>7274</v>
      </c>
      <c r="AQ788" s="1" t="s">
        <v>74</v>
      </c>
      <c r="AR788" s="1" t="s">
        <v>74</v>
      </c>
      <c r="AS788" s="1" t="s">
        <v>74</v>
      </c>
      <c r="AT788" s="1" t="s">
        <v>74</v>
      </c>
      <c r="AU788" s="1">
        <v>2011.0</v>
      </c>
      <c r="AV788" s="1">
        <v>7.0</v>
      </c>
      <c r="AW788" s="1">
        <v>6.0</v>
      </c>
      <c r="AX788" s="1" t="s">
        <v>74</v>
      </c>
      <c r="AY788" s="1" t="s">
        <v>74</v>
      </c>
      <c r="AZ788" s="1" t="s">
        <v>74</v>
      </c>
      <c r="BA788" s="1" t="s">
        <v>74</v>
      </c>
      <c r="BB788" s="1" t="s">
        <v>74</v>
      </c>
      <c r="BC788" s="1" t="s">
        <v>74</v>
      </c>
      <c r="BD788" s="1">
        <v>11.0</v>
      </c>
      <c r="BE788" s="1" t="s">
        <v>7275</v>
      </c>
      <c r="BF788" s="2" t="str">
        <f>HYPERLINK("http://dx.doi.org/10.1515/1556-3758.1966","http://dx.doi.org/10.1515/1556-3758.1966")</f>
        <v>http://dx.doi.org/10.1515/1556-3758.1966</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7276</v>
      </c>
      <c r="BT788" s="1" t="str">
        <f>HYPERLINK("https%3A%2F%2Fwww.webofscience.com%2Fwos%2Fwoscc%2Ffull-record%2FWOS:000302348500011","View Full Record in Web of Science")</f>
        <v>View Full Record in Web of Science</v>
      </c>
    </row>
    <row r="789" ht="12.75" customHeight="1">
      <c r="A789" s="1" t="s">
        <v>72</v>
      </c>
      <c r="B789" s="1" t="s">
        <v>5485</v>
      </c>
      <c r="C789" s="1" t="s">
        <v>74</v>
      </c>
      <c r="D789" s="1" t="s">
        <v>74</v>
      </c>
      <c r="E789" s="1" t="s">
        <v>74</v>
      </c>
      <c r="F789" s="1" t="s">
        <v>5486</v>
      </c>
      <c r="G789" s="1" t="s">
        <v>74</v>
      </c>
      <c r="H789" s="1" t="s">
        <v>74</v>
      </c>
      <c r="I789" s="1" t="s">
        <v>7277</v>
      </c>
      <c r="J789" s="1" t="s">
        <v>7278</v>
      </c>
      <c r="K789" s="1" t="s">
        <v>74</v>
      </c>
      <c r="L789" s="1" t="s">
        <v>74</v>
      </c>
      <c r="M789" s="1" t="s">
        <v>74</v>
      </c>
      <c r="N789" s="1" t="s">
        <v>74</v>
      </c>
      <c r="O789" s="1" t="s">
        <v>74</v>
      </c>
      <c r="P789" s="1" t="s">
        <v>74</v>
      </c>
      <c r="Q789" s="1" t="s">
        <v>74</v>
      </c>
      <c r="R789" s="1" t="s">
        <v>74</v>
      </c>
      <c r="S789" s="1" t="s">
        <v>74</v>
      </c>
      <c r="T789" s="1" t="s">
        <v>74</v>
      </c>
      <c r="U789" s="1" t="s">
        <v>74</v>
      </c>
      <c r="V789" s="1" t="s">
        <v>7279</v>
      </c>
      <c r="W789" s="1" t="s">
        <v>74</v>
      </c>
      <c r="X789" s="1" t="s">
        <v>74</v>
      </c>
      <c r="Y789" s="1" t="s">
        <v>74</v>
      </c>
      <c r="Z789" s="1" t="s">
        <v>74</v>
      </c>
      <c r="AA789" s="1" t="s">
        <v>5490</v>
      </c>
      <c r="AB789" s="1" t="s">
        <v>5491</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7280</v>
      </c>
      <c r="AP789" s="1" t="s">
        <v>74</v>
      </c>
      <c r="AQ789" s="1" t="s">
        <v>74</v>
      </c>
      <c r="AR789" s="1" t="s">
        <v>74</v>
      </c>
      <c r="AS789" s="1" t="s">
        <v>74</v>
      </c>
      <c r="AT789" s="1" t="s">
        <v>501</v>
      </c>
      <c r="AU789" s="1">
        <v>2010.0</v>
      </c>
      <c r="AV789" s="1">
        <v>23.0</v>
      </c>
      <c r="AW789" s="1">
        <v>11.0</v>
      </c>
      <c r="AX789" s="1" t="s">
        <v>74</v>
      </c>
      <c r="AY789" s="1" t="s">
        <v>74</v>
      </c>
      <c r="AZ789" s="1" t="s">
        <v>74</v>
      </c>
      <c r="BA789" s="1" t="s">
        <v>74</v>
      </c>
      <c r="BB789" s="1">
        <v>1361.0</v>
      </c>
      <c r="BC789" s="1">
        <v>1366.0</v>
      </c>
      <c r="BD789" s="1" t="s">
        <v>74</v>
      </c>
      <c r="BE789" s="1" t="s">
        <v>7281</v>
      </c>
      <c r="BF789" s="2" t="str">
        <f>HYPERLINK("http://dx.doi.org/10.1016/j.aml.2010.06.032","http://dx.doi.org/10.1016/j.aml.2010.06.032")</f>
        <v>http://dx.doi.org/10.1016/j.aml.2010.06.032</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7282</v>
      </c>
      <c r="BT789" s="1" t="str">
        <f>HYPERLINK("https%3A%2F%2Fwww.webofscience.com%2Fwos%2Fwoscc%2Ffull-record%2FWOS:000281877200010","View Full Record in Web of Science")</f>
        <v>View Full Record in Web of Science</v>
      </c>
    </row>
    <row r="790" ht="12.75" customHeight="1">
      <c r="A790" s="1" t="s">
        <v>72</v>
      </c>
      <c r="B790" s="1" t="s">
        <v>7283</v>
      </c>
      <c r="C790" s="1" t="s">
        <v>74</v>
      </c>
      <c r="D790" s="1" t="s">
        <v>74</v>
      </c>
      <c r="E790" s="1" t="s">
        <v>74</v>
      </c>
      <c r="F790" s="1" t="s">
        <v>7284</v>
      </c>
      <c r="G790" s="1" t="s">
        <v>74</v>
      </c>
      <c r="H790" s="1" t="s">
        <v>74</v>
      </c>
      <c r="I790" s="1" t="s">
        <v>7285</v>
      </c>
      <c r="J790" s="1" t="s">
        <v>3453</v>
      </c>
      <c r="K790" s="1" t="s">
        <v>74</v>
      </c>
      <c r="L790" s="1" t="s">
        <v>74</v>
      </c>
      <c r="M790" s="1" t="s">
        <v>74</v>
      </c>
      <c r="N790" s="1" t="s">
        <v>74</v>
      </c>
      <c r="O790" s="1" t="s">
        <v>74</v>
      </c>
      <c r="P790" s="1" t="s">
        <v>74</v>
      </c>
      <c r="Q790" s="1" t="s">
        <v>74</v>
      </c>
      <c r="R790" s="1" t="s">
        <v>74</v>
      </c>
      <c r="S790" s="1" t="s">
        <v>74</v>
      </c>
      <c r="T790" s="1" t="s">
        <v>74</v>
      </c>
      <c r="U790" s="1" t="s">
        <v>74</v>
      </c>
      <c r="V790" s="1" t="s">
        <v>7286</v>
      </c>
      <c r="W790" s="1" t="s">
        <v>74</v>
      </c>
      <c r="X790" s="1" t="s">
        <v>74</v>
      </c>
      <c r="Y790" s="1" t="s">
        <v>74</v>
      </c>
      <c r="Z790" s="1" t="s">
        <v>74</v>
      </c>
      <c r="AA790" s="1" t="s">
        <v>5408</v>
      </c>
      <c r="AB790" s="1" t="s">
        <v>5409</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3456</v>
      </c>
      <c r="AP790" s="1" t="s">
        <v>3457</v>
      </c>
      <c r="AQ790" s="1" t="s">
        <v>74</v>
      </c>
      <c r="AR790" s="1" t="s">
        <v>74</v>
      </c>
      <c r="AS790" s="1" t="s">
        <v>74</v>
      </c>
      <c r="AT790" s="1" t="s">
        <v>5239</v>
      </c>
      <c r="AU790" s="1">
        <v>2010.0</v>
      </c>
      <c r="AV790" s="1">
        <v>361.0</v>
      </c>
      <c r="AW790" s="1">
        <v>1.0</v>
      </c>
      <c r="AX790" s="1" t="s">
        <v>74</v>
      </c>
      <c r="AY790" s="1" t="s">
        <v>74</v>
      </c>
      <c r="AZ790" s="1" t="s">
        <v>74</v>
      </c>
      <c r="BA790" s="1" t="s">
        <v>74</v>
      </c>
      <c r="BB790" s="1">
        <v>234.0</v>
      </c>
      <c r="BC790" s="1">
        <v>245.0</v>
      </c>
      <c r="BD790" s="1" t="s">
        <v>74</v>
      </c>
      <c r="BE790" s="1" t="s">
        <v>7287</v>
      </c>
      <c r="BF790" s="2" t="str">
        <f>HYPERLINK("http://dx.doi.org/10.1016/j.jmaa.2009.08.063","http://dx.doi.org/10.1016/j.jmaa.2009.08.063")</f>
        <v>http://dx.doi.org/10.1016/j.jmaa.2009.08.063</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7288</v>
      </c>
      <c r="BT790" s="1" t="str">
        <f>HYPERLINK("https%3A%2F%2Fwww.webofscience.com%2Fwos%2Fwoscc%2Ffull-record%2FWOS:000273063900021","View Full Record in Web of Science")</f>
        <v>View Full Record in Web of Science</v>
      </c>
    </row>
    <row r="791" ht="12.75" customHeight="1">
      <c r="A791" s="1" t="s">
        <v>241</v>
      </c>
      <c r="B791" s="1" t="s">
        <v>7289</v>
      </c>
      <c r="C791" s="1" t="s">
        <v>74</v>
      </c>
      <c r="D791" s="1" t="s">
        <v>3861</v>
      </c>
      <c r="E791" s="1" t="s">
        <v>74</v>
      </c>
      <c r="F791" s="1" t="s">
        <v>7290</v>
      </c>
      <c r="G791" s="1" t="s">
        <v>74</v>
      </c>
      <c r="H791" s="1" t="s">
        <v>74</v>
      </c>
      <c r="I791" s="1" t="s">
        <v>7291</v>
      </c>
      <c r="J791" s="1" t="s">
        <v>3864</v>
      </c>
      <c r="K791" s="1" t="s">
        <v>1237</v>
      </c>
      <c r="L791" s="1" t="s">
        <v>74</v>
      </c>
      <c r="M791" s="1" t="s">
        <v>74</v>
      </c>
      <c r="N791" s="1" t="s">
        <v>74</v>
      </c>
      <c r="O791" s="1" t="s">
        <v>1263</v>
      </c>
      <c r="P791" s="1" t="s">
        <v>3865</v>
      </c>
      <c r="Q791" s="1" t="s">
        <v>3866</v>
      </c>
      <c r="R791" s="1" t="s">
        <v>74</v>
      </c>
      <c r="S791" s="1" t="s">
        <v>3867</v>
      </c>
      <c r="T791" s="1" t="s">
        <v>74</v>
      </c>
      <c r="U791" s="1" t="s">
        <v>74</v>
      </c>
      <c r="V791" s="1" t="s">
        <v>7292</v>
      </c>
      <c r="W791" s="1" t="s">
        <v>74</v>
      </c>
      <c r="X791" s="1" t="s">
        <v>74</v>
      </c>
      <c r="Y791" s="1" t="s">
        <v>74</v>
      </c>
      <c r="Z791" s="1" t="s">
        <v>74</v>
      </c>
      <c r="AA791" s="1" t="s">
        <v>7293</v>
      </c>
      <c r="AB791" s="1" t="s">
        <v>7294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1245</v>
      </c>
      <c r="AP791" s="1" t="s">
        <v>74</v>
      </c>
      <c r="AQ791" s="1" t="s">
        <v>74</v>
      </c>
      <c r="AR791" s="1" t="s">
        <v>74</v>
      </c>
      <c r="AS791" s="1" t="s">
        <v>74</v>
      </c>
      <c r="AT791" s="1" t="s">
        <v>74</v>
      </c>
      <c r="AU791" s="1">
        <v>2010.0</v>
      </c>
      <c r="AV791" s="1">
        <v>3.0</v>
      </c>
      <c r="AW791" s="1">
        <v>1.0</v>
      </c>
      <c r="AX791" s="1" t="s">
        <v>74</v>
      </c>
      <c r="AY791" s="1" t="s">
        <v>74</v>
      </c>
      <c r="AZ791" s="1" t="s">
        <v>74</v>
      </c>
      <c r="BA791" s="1" t="s">
        <v>74</v>
      </c>
      <c r="BB791" s="1">
        <v>855.0</v>
      </c>
      <c r="BC791" s="1">
        <v>861.0</v>
      </c>
      <c r="BD791" s="1" t="s">
        <v>74</v>
      </c>
      <c r="BE791" s="1" t="s">
        <v>7295</v>
      </c>
      <c r="BF791" s="2" t="str">
        <f>HYPERLINK("http://dx.doi.org/10.1016/j.phpro.2010.01.110","http://dx.doi.org/10.1016/j.phpro.2010.01.110")</f>
        <v>http://dx.doi.org/10.1016/j.phpro.2010.01.110</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7296</v>
      </c>
      <c r="BT791" s="1" t="str">
        <f>HYPERLINK("https%3A%2F%2Fwww.webofscience.com%2Fwos%2Fwoscc%2Ffull-record%2FWOS:000275913100122","View Full Record in Web of Science")</f>
        <v>View Full Record in Web of Science</v>
      </c>
    </row>
    <row r="792" ht="12.75" customHeight="1">
      <c r="A792" s="1" t="s">
        <v>72</v>
      </c>
      <c r="B792" s="1" t="s">
        <v>7297</v>
      </c>
      <c r="C792" s="1" t="s">
        <v>74</v>
      </c>
      <c r="D792" s="1" t="s">
        <v>74</v>
      </c>
      <c r="E792" s="1" t="s">
        <v>74</v>
      </c>
      <c r="F792" s="1" t="s">
        <v>7298</v>
      </c>
      <c r="G792" s="1" t="s">
        <v>74</v>
      </c>
      <c r="H792" s="1" t="s">
        <v>74</v>
      </c>
      <c r="I792" s="1" t="s">
        <v>7299</v>
      </c>
      <c r="J792" s="1" t="s">
        <v>2058</v>
      </c>
      <c r="K792" s="1" t="s">
        <v>74</v>
      </c>
      <c r="L792" s="1" t="s">
        <v>74</v>
      </c>
      <c r="M792" s="1" t="s">
        <v>74</v>
      </c>
      <c r="N792" s="1" t="s">
        <v>74</v>
      </c>
      <c r="O792" s="1" t="s">
        <v>74</v>
      </c>
      <c r="P792" s="1" t="s">
        <v>74</v>
      </c>
      <c r="Q792" s="1" t="s">
        <v>74</v>
      </c>
      <c r="R792" s="1" t="s">
        <v>74</v>
      </c>
      <c r="S792" s="1" t="s">
        <v>74</v>
      </c>
      <c r="T792" s="1" t="s">
        <v>74</v>
      </c>
      <c r="U792" s="1" t="s">
        <v>74</v>
      </c>
      <c r="V792" s="1" t="s">
        <v>7300</v>
      </c>
      <c r="W792" s="1" t="s">
        <v>74</v>
      </c>
      <c r="X792" s="1" t="s">
        <v>74</v>
      </c>
      <c r="Y792" s="1" t="s">
        <v>74</v>
      </c>
      <c r="Z792" s="1" t="s">
        <v>74</v>
      </c>
      <c r="AA792" s="1" t="s">
        <v>74</v>
      </c>
      <c r="AB792" s="1" t="s">
        <v>7301</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2062</v>
      </c>
      <c r="AP792" s="1" t="s">
        <v>2063</v>
      </c>
      <c r="AQ792" s="1" t="s">
        <v>74</v>
      </c>
      <c r="AR792" s="1" t="s">
        <v>74</v>
      </c>
      <c r="AS792" s="1" t="s">
        <v>74</v>
      </c>
      <c r="AT792" s="1" t="s">
        <v>74</v>
      </c>
      <c r="AU792" s="1">
        <v>2010.0</v>
      </c>
      <c r="AV792" s="1">
        <v>63.0</v>
      </c>
      <c r="AW792" s="1">
        <v>8.0</v>
      </c>
      <c r="AX792" s="1" t="s">
        <v>74</v>
      </c>
      <c r="AY792" s="1" t="s">
        <v>74</v>
      </c>
      <c r="AZ792" s="1" t="s">
        <v>74</v>
      </c>
      <c r="BA792" s="1" t="s">
        <v>74</v>
      </c>
      <c r="BB792" s="1">
        <v>1283.0</v>
      </c>
      <c r="BC792" s="1">
        <v>1294.0</v>
      </c>
      <c r="BD792" s="1" t="s">
        <v>7302</v>
      </c>
      <c r="BE792" s="1" t="s">
        <v>7303</v>
      </c>
      <c r="BF792" s="2" t="str">
        <f>HYPERLINK("http://dx.doi.org/10.1080/00958971003802091","http://dx.doi.org/10.1080/00958971003802091")</f>
        <v>http://dx.doi.org/10.1080/00958971003802091</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7304</v>
      </c>
      <c r="BT792" s="1" t="str">
        <f>HYPERLINK("https%3A%2F%2Fwww.webofscience.com%2Fwos%2Fwoscc%2Ffull-record%2FWOS:000277737700001","View Full Record in Web of Science")</f>
        <v>View Full Record in Web of Science</v>
      </c>
    </row>
    <row r="793" ht="12.75" customHeight="1">
      <c r="A793" s="1" t="s">
        <v>241</v>
      </c>
      <c r="B793" s="1" t="s">
        <v>7305</v>
      </c>
      <c r="C793" s="1" t="s">
        <v>74</v>
      </c>
      <c r="D793" s="1" t="s">
        <v>3861</v>
      </c>
      <c r="E793" s="1" t="s">
        <v>74</v>
      </c>
      <c r="F793" s="1" t="s">
        <v>7306</v>
      </c>
      <c r="G793" s="1" t="s">
        <v>74</v>
      </c>
      <c r="H793" s="1" t="s">
        <v>74</v>
      </c>
      <c r="I793" s="1" t="s">
        <v>7307</v>
      </c>
      <c r="J793" s="1" t="s">
        <v>3864</v>
      </c>
      <c r="K793" s="1" t="s">
        <v>1237</v>
      </c>
      <c r="L793" s="1" t="s">
        <v>74</v>
      </c>
      <c r="M793" s="1" t="s">
        <v>74</v>
      </c>
      <c r="N793" s="1" t="s">
        <v>74</v>
      </c>
      <c r="O793" s="1" t="s">
        <v>1263</v>
      </c>
      <c r="P793" s="1" t="s">
        <v>3865</v>
      </c>
      <c r="Q793" s="1" t="s">
        <v>3866</v>
      </c>
      <c r="R793" s="1" t="s">
        <v>74</v>
      </c>
      <c r="S793" s="1" t="s">
        <v>3867</v>
      </c>
      <c r="T793" s="1" t="s">
        <v>74</v>
      </c>
      <c r="U793" s="1" t="s">
        <v>74</v>
      </c>
      <c r="V793" s="1" t="s">
        <v>7308</v>
      </c>
      <c r="W793" s="1" t="s">
        <v>74</v>
      </c>
      <c r="X793" s="1" t="s">
        <v>74</v>
      </c>
      <c r="Y793" s="1" t="s">
        <v>74</v>
      </c>
      <c r="Z793" s="1" t="s">
        <v>74</v>
      </c>
      <c r="AA793" s="1" t="s">
        <v>7309</v>
      </c>
      <c r="AB793" s="1" t="s">
        <v>7310</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1245</v>
      </c>
      <c r="AP793" s="1" t="s">
        <v>74</v>
      </c>
      <c r="AQ793" s="1" t="s">
        <v>74</v>
      </c>
      <c r="AR793" s="1" t="s">
        <v>74</v>
      </c>
      <c r="AS793" s="1" t="s">
        <v>74</v>
      </c>
      <c r="AT793" s="1" t="s">
        <v>74</v>
      </c>
      <c r="AU793" s="1">
        <v>2010.0</v>
      </c>
      <c r="AV793" s="1">
        <v>3.0</v>
      </c>
      <c r="AW793" s="1">
        <v>1.0</v>
      </c>
      <c r="AX793" s="1" t="s">
        <v>74</v>
      </c>
      <c r="AY793" s="1" t="s">
        <v>74</v>
      </c>
      <c r="AZ793" s="1" t="s">
        <v>74</v>
      </c>
      <c r="BA793" s="1" t="s">
        <v>74</v>
      </c>
      <c r="BB793" s="1">
        <v>863.0</v>
      </c>
      <c r="BC793" s="1">
        <v>871.0</v>
      </c>
      <c r="BD793" s="1" t="s">
        <v>74</v>
      </c>
      <c r="BE793" s="1" t="s">
        <v>7311</v>
      </c>
      <c r="BF793" s="2" t="str">
        <f>HYPERLINK("http://dx.doi.org/10.1016/j.phpro.2010.01.111","http://dx.doi.org/10.1016/j.phpro.2010.01.111")</f>
        <v>http://dx.doi.org/10.1016/j.phpro.2010.01.111</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7312</v>
      </c>
      <c r="BT793" s="1" t="str">
        <f>HYPERLINK("https%3A%2F%2Fwww.webofscience.com%2Fwos%2Fwoscc%2Ffull-record%2FWOS:000275913100123","View Full Record in Web of Science")</f>
        <v>View Full Record in Web of Science</v>
      </c>
    </row>
    <row r="794" ht="12.75" customHeight="1">
      <c r="A794" s="1" t="s">
        <v>72</v>
      </c>
      <c r="B794" s="1" t="s">
        <v>5485</v>
      </c>
      <c r="C794" s="1" t="s">
        <v>74</v>
      </c>
      <c r="D794" s="1" t="s">
        <v>74</v>
      </c>
      <c r="E794" s="1" t="s">
        <v>74</v>
      </c>
      <c r="F794" s="1" t="s">
        <v>7313</v>
      </c>
      <c r="G794" s="1" t="s">
        <v>74</v>
      </c>
      <c r="H794" s="1" t="s">
        <v>74</v>
      </c>
      <c r="I794" s="1" t="s">
        <v>7314</v>
      </c>
      <c r="J794" s="1" t="s">
        <v>2842</v>
      </c>
      <c r="K794" s="1" t="s">
        <v>74</v>
      </c>
      <c r="L794" s="1" t="s">
        <v>74</v>
      </c>
      <c r="M794" s="1" t="s">
        <v>74</v>
      </c>
      <c r="N794" s="1" t="s">
        <v>74</v>
      </c>
      <c r="O794" s="1" t="s">
        <v>74</v>
      </c>
      <c r="P794" s="1" t="s">
        <v>74</v>
      </c>
      <c r="Q794" s="1" t="s">
        <v>74</v>
      </c>
      <c r="R794" s="1" t="s">
        <v>74</v>
      </c>
      <c r="S794" s="1" t="s">
        <v>74</v>
      </c>
      <c r="T794" s="1" t="s">
        <v>74</v>
      </c>
      <c r="U794" s="1" t="s">
        <v>74</v>
      </c>
      <c r="V794" s="1" t="s">
        <v>7315</v>
      </c>
      <c r="W794" s="1" t="s">
        <v>74</v>
      </c>
      <c r="X794" s="1" t="s">
        <v>74</v>
      </c>
      <c r="Y794" s="1" t="s">
        <v>74</v>
      </c>
      <c r="Z794" s="1" t="s">
        <v>74</v>
      </c>
      <c r="AA794" s="1" t="s">
        <v>5490</v>
      </c>
      <c r="AB794" s="1" t="s">
        <v>5491</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2846</v>
      </c>
      <c r="AP794" s="1" t="s">
        <v>74</v>
      </c>
      <c r="AQ794" s="1" t="s">
        <v>74</v>
      </c>
      <c r="AR794" s="1" t="s">
        <v>74</v>
      </c>
      <c r="AS794" s="1" t="s">
        <v>74</v>
      </c>
      <c r="AT794" s="1" t="s">
        <v>353</v>
      </c>
      <c r="AU794" s="1">
        <v>2009.0</v>
      </c>
      <c r="AV794" s="1" t="s">
        <v>7316</v>
      </c>
      <c r="AW794" s="1" t="s">
        <v>74</v>
      </c>
      <c r="AX794" s="1" t="s">
        <v>74</v>
      </c>
      <c r="AY794" s="1" t="s">
        <v>74</v>
      </c>
      <c r="AZ794" s="1" t="s">
        <v>74</v>
      </c>
      <c r="BA794" s="1" t="s">
        <v>74</v>
      </c>
      <c r="BB794" s="1" t="s">
        <v>74</v>
      </c>
      <c r="BC794" s="1" t="s">
        <v>74</v>
      </c>
      <c r="BD794" s="1">
        <v>14030.0</v>
      </c>
      <c r="BE794" s="1" t="s">
        <v>7317</v>
      </c>
      <c r="BF794" s="2" t="str">
        <f>HYPERLINK("http://dx.doi.org/10.1088/0031-8949/2009/T136/014030","http://dx.doi.org/10.1088/0031-8949/2009/T136/014030")</f>
        <v>http://dx.doi.org/10.1088/0031-8949/2009/T136/014030</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7318</v>
      </c>
      <c r="BT794" s="1" t="str">
        <f>HYPERLINK("https%3A%2F%2Fwww.webofscience.com%2Fwos%2Fwoscc%2Ffull-record%2FWOS:000270803300031","View Full Record in Web of Science")</f>
        <v>View Full Record in Web of Science</v>
      </c>
    </row>
    <row r="795" ht="12.75" customHeight="1">
      <c r="A795" s="1" t="s">
        <v>72</v>
      </c>
      <c r="B795" s="1" t="s">
        <v>7319</v>
      </c>
      <c r="C795" s="1" t="s">
        <v>74</v>
      </c>
      <c r="D795" s="1" t="s">
        <v>74</v>
      </c>
      <c r="E795" s="1" t="s">
        <v>74</v>
      </c>
      <c r="F795" s="1" t="s">
        <v>7320</v>
      </c>
      <c r="G795" s="1" t="s">
        <v>74</v>
      </c>
      <c r="H795" s="1" t="s">
        <v>74</v>
      </c>
      <c r="I795" s="1" t="s">
        <v>7321</v>
      </c>
      <c r="J795" s="1" t="s">
        <v>7322</v>
      </c>
      <c r="K795" s="1" t="s">
        <v>74</v>
      </c>
      <c r="L795" s="1" t="s">
        <v>74</v>
      </c>
      <c r="M795" s="1" t="s">
        <v>74</v>
      </c>
      <c r="N795" s="1" t="s">
        <v>74</v>
      </c>
      <c r="O795" s="1" t="s">
        <v>74</v>
      </c>
      <c r="P795" s="1" t="s">
        <v>74</v>
      </c>
      <c r="Q795" s="1" t="s">
        <v>74</v>
      </c>
      <c r="R795" s="1" t="s">
        <v>74</v>
      </c>
      <c r="S795" s="1" t="s">
        <v>74</v>
      </c>
      <c r="T795" s="1" t="s">
        <v>74</v>
      </c>
      <c r="U795" s="1" t="s">
        <v>74</v>
      </c>
      <c r="V795" s="1" t="s">
        <v>7323</v>
      </c>
      <c r="W795" s="1" t="s">
        <v>74</v>
      </c>
      <c r="X795" s="1" t="s">
        <v>74</v>
      </c>
      <c r="Y795" s="1" t="s">
        <v>74</v>
      </c>
      <c r="Z795" s="1" t="s">
        <v>74</v>
      </c>
      <c r="AA795" s="1" t="s">
        <v>7324</v>
      </c>
      <c r="AB795" s="1" t="s">
        <v>7325</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7326</v>
      </c>
      <c r="AP795" s="1" t="s">
        <v>74</v>
      </c>
      <c r="AQ795" s="1" t="s">
        <v>74</v>
      </c>
      <c r="AR795" s="1" t="s">
        <v>74</v>
      </c>
      <c r="AS795" s="1" t="s">
        <v>74</v>
      </c>
      <c r="AT795" s="1" t="s">
        <v>106</v>
      </c>
      <c r="AU795" s="1">
        <v>2009.0</v>
      </c>
      <c r="AV795" s="1">
        <v>70.0</v>
      </c>
      <c r="AW795" s="1">
        <v>9.0</v>
      </c>
      <c r="AX795" s="1" t="s">
        <v>74</v>
      </c>
      <c r="AY795" s="1" t="s">
        <v>74</v>
      </c>
      <c r="AZ795" s="1" t="s">
        <v>74</v>
      </c>
      <c r="BA795" s="1" t="s">
        <v>74</v>
      </c>
      <c r="BB795" s="1">
        <v>1235.0</v>
      </c>
      <c r="BC795" s="1">
        <v>1240.0</v>
      </c>
      <c r="BD795" s="1" t="s">
        <v>74</v>
      </c>
      <c r="BE795" s="1" t="s">
        <v>7327</v>
      </c>
      <c r="BF795" s="2" t="str">
        <f>HYPERLINK("http://dx.doi.org/10.1016/j.apacoust.2009.03.008","http://dx.doi.org/10.1016/j.apacoust.2009.03.008")</f>
        <v>http://dx.doi.org/10.1016/j.apacoust.2009.03.008</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7328</v>
      </c>
      <c r="BT795" s="1" t="str">
        <f>HYPERLINK("https%3A%2F%2Fwww.webofscience.com%2Fwos%2Fwoscc%2Ffull-record%2FWOS:000267530300012","View Full Record in Web of Science")</f>
        <v>View Full Record in Web of Science</v>
      </c>
    </row>
    <row r="796" ht="12.75" customHeight="1">
      <c r="A796" s="1" t="s">
        <v>72</v>
      </c>
      <c r="B796" s="1" t="s">
        <v>7329</v>
      </c>
      <c r="C796" s="1" t="s">
        <v>74</v>
      </c>
      <c r="D796" s="1" t="s">
        <v>74</v>
      </c>
      <c r="E796" s="1" t="s">
        <v>74</v>
      </c>
      <c r="F796" s="1" t="s">
        <v>7330</v>
      </c>
      <c r="G796" s="1" t="s">
        <v>74</v>
      </c>
      <c r="H796" s="1" t="s">
        <v>74</v>
      </c>
      <c r="I796" s="1" t="s">
        <v>7331</v>
      </c>
      <c r="J796" s="1" t="s">
        <v>7332</v>
      </c>
      <c r="K796" s="1" t="s">
        <v>74</v>
      </c>
      <c r="L796" s="1" t="s">
        <v>74</v>
      </c>
      <c r="M796" s="1" t="s">
        <v>74</v>
      </c>
      <c r="N796" s="1" t="s">
        <v>74</v>
      </c>
      <c r="O796" s="1" t="s">
        <v>74</v>
      </c>
      <c r="P796" s="1" t="s">
        <v>74</v>
      </c>
      <c r="Q796" s="1" t="s">
        <v>74</v>
      </c>
      <c r="R796" s="1" t="s">
        <v>74</v>
      </c>
      <c r="S796" s="1" t="s">
        <v>74</v>
      </c>
      <c r="T796" s="1" t="s">
        <v>74</v>
      </c>
      <c r="U796" s="1" t="s">
        <v>74</v>
      </c>
      <c r="V796" s="1" t="s">
        <v>7333</v>
      </c>
      <c r="W796" s="1" t="s">
        <v>74</v>
      </c>
      <c r="X796" s="1" t="s">
        <v>74</v>
      </c>
      <c r="Y796" s="1" t="s">
        <v>74</v>
      </c>
      <c r="Z796" s="1" t="s">
        <v>74</v>
      </c>
      <c r="AA796" s="1" t="s">
        <v>7334</v>
      </c>
      <c r="AB796" s="1" t="s">
        <v>7335</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7336</v>
      </c>
      <c r="AP796" s="1" t="s">
        <v>7337</v>
      </c>
      <c r="AQ796" s="1" t="s">
        <v>74</v>
      </c>
      <c r="AR796" s="1" t="s">
        <v>74</v>
      </c>
      <c r="AS796" s="1" t="s">
        <v>74</v>
      </c>
      <c r="AT796" s="1" t="s">
        <v>7338</v>
      </c>
      <c r="AU796" s="1">
        <v>2009.0</v>
      </c>
      <c r="AV796" s="1">
        <v>1216.0</v>
      </c>
      <c r="AW796" s="1">
        <v>10.0</v>
      </c>
      <c r="AX796" s="1" t="s">
        <v>74</v>
      </c>
      <c r="AY796" s="1" t="s">
        <v>74</v>
      </c>
      <c r="AZ796" s="1" t="s">
        <v>74</v>
      </c>
      <c r="BA796" s="1" t="s">
        <v>74</v>
      </c>
      <c r="BB796" s="1">
        <v>1838.0</v>
      </c>
      <c r="BC796" s="1">
        <v>1844.0</v>
      </c>
      <c r="BD796" s="1" t="s">
        <v>74</v>
      </c>
      <c r="BE796" s="1" t="s">
        <v>7339</v>
      </c>
      <c r="BF796" s="2" t="str">
        <f>HYPERLINK("http://dx.doi.org/10.1016/j.chroma.2008.11.089","http://dx.doi.org/10.1016/j.chroma.2008.11.089")</f>
        <v>http://dx.doi.org/10.1016/j.chroma.2008.11.089</v>
      </c>
      <c r="BG796" s="1" t="s">
        <v>74</v>
      </c>
      <c r="BH796" s="1" t="s">
        <v>74</v>
      </c>
      <c r="BI796" s="1" t="s">
        <v>74</v>
      </c>
      <c r="BJ796" s="1" t="s">
        <v>74</v>
      </c>
      <c r="BK796" s="1" t="s">
        <v>74</v>
      </c>
      <c r="BL796" s="1" t="s">
        <v>74</v>
      </c>
      <c r="BM796" s="1" t="s">
        <v>74</v>
      </c>
      <c r="BN796" s="1">
        <v>1.9100553E7</v>
      </c>
      <c r="BO796" s="1" t="s">
        <v>74</v>
      </c>
      <c r="BP796" s="1" t="s">
        <v>74</v>
      </c>
      <c r="BQ796" s="1" t="s">
        <v>74</v>
      </c>
      <c r="BR796" s="1" t="s">
        <v>74</v>
      </c>
      <c r="BS796" s="1" t="s">
        <v>7340</v>
      </c>
      <c r="BT796" s="1" t="str">
        <f>HYPERLINK("https%3A%2F%2Fwww.webofscience.com%2Fwos%2Fwoscc%2Ffull-record%2FWOS:000264025600020","View Full Record in Web of Science")</f>
        <v>View Full Record in Web of Science</v>
      </c>
    </row>
    <row r="797" ht="12.75" customHeight="1">
      <c r="A797" s="1" t="s">
        <v>72</v>
      </c>
      <c r="B797" s="1" t="s">
        <v>7283</v>
      </c>
      <c r="C797" s="1" t="s">
        <v>74</v>
      </c>
      <c r="D797" s="1" t="s">
        <v>74</v>
      </c>
      <c r="E797" s="1" t="s">
        <v>74</v>
      </c>
      <c r="F797" s="1" t="s">
        <v>7284</v>
      </c>
      <c r="G797" s="1" t="s">
        <v>74</v>
      </c>
      <c r="H797" s="1" t="s">
        <v>74</v>
      </c>
      <c r="I797" s="1" t="s">
        <v>7341</v>
      </c>
      <c r="J797" s="1" t="s">
        <v>7278</v>
      </c>
      <c r="K797" s="1" t="s">
        <v>74</v>
      </c>
      <c r="L797" s="1" t="s">
        <v>74</v>
      </c>
      <c r="M797" s="1" t="s">
        <v>74</v>
      </c>
      <c r="N797" s="1" t="s">
        <v>74</v>
      </c>
      <c r="O797" s="1" t="s">
        <v>74</v>
      </c>
      <c r="P797" s="1" t="s">
        <v>74</v>
      </c>
      <c r="Q797" s="1" t="s">
        <v>74</v>
      </c>
      <c r="R797" s="1" t="s">
        <v>74</v>
      </c>
      <c r="S797" s="1" t="s">
        <v>74</v>
      </c>
      <c r="T797" s="1" t="s">
        <v>74</v>
      </c>
      <c r="U797" s="1" t="s">
        <v>74</v>
      </c>
      <c r="V797" s="1" t="s">
        <v>7342</v>
      </c>
      <c r="W797" s="1" t="s">
        <v>74</v>
      </c>
      <c r="X797" s="1" t="s">
        <v>74</v>
      </c>
      <c r="Y797" s="1" t="s">
        <v>74</v>
      </c>
      <c r="Z797" s="1" t="s">
        <v>74</v>
      </c>
      <c r="AA797" s="1" t="s">
        <v>5408</v>
      </c>
      <c r="AB797" s="1" t="s">
        <v>5409</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7280</v>
      </c>
      <c r="AP797" s="1" t="s">
        <v>74</v>
      </c>
      <c r="AQ797" s="1" t="s">
        <v>74</v>
      </c>
      <c r="AR797" s="1" t="s">
        <v>74</v>
      </c>
      <c r="AS797" s="1" t="s">
        <v>74</v>
      </c>
      <c r="AT797" s="1" t="s">
        <v>160</v>
      </c>
      <c r="AU797" s="1">
        <v>2008.0</v>
      </c>
      <c r="AV797" s="1">
        <v>21.0</v>
      </c>
      <c r="AW797" s="1">
        <v>12.0</v>
      </c>
      <c r="AX797" s="1" t="s">
        <v>74</v>
      </c>
      <c r="AY797" s="1" t="s">
        <v>74</v>
      </c>
      <c r="AZ797" s="1" t="s">
        <v>74</v>
      </c>
      <c r="BA797" s="1" t="s">
        <v>74</v>
      </c>
      <c r="BB797" s="1">
        <v>1315.0</v>
      </c>
      <c r="BC797" s="1">
        <v>1319.0</v>
      </c>
      <c r="BD797" s="1" t="s">
        <v>74</v>
      </c>
      <c r="BE797" s="1" t="s">
        <v>7343</v>
      </c>
      <c r="BF797" s="2" t="str">
        <f>HYPERLINK("http://dx.doi.org/10.1016/j.aml.2008.02.001","http://dx.doi.org/10.1016/j.aml.2008.02.001")</f>
        <v>http://dx.doi.org/10.1016/j.aml.2008.02.001</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7344</v>
      </c>
      <c r="BT797" s="1" t="str">
        <f>HYPERLINK("https%3A%2F%2Fwww.webofscience.com%2Fwos%2Fwoscc%2Ffull-record%2FWOS:000260724600018","View Full Record in Web of Science")</f>
        <v>View Full Record in Web of Science</v>
      </c>
    </row>
    <row r="798" ht="12.75" customHeight="1">
      <c r="A798" s="1" t="s">
        <v>72</v>
      </c>
      <c r="B798" s="1" t="s">
        <v>7345</v>
      </c>
      <c r="C798" s="1" t="s">
        <v>74</v>
      </c>
      <c r="D798" s="1" t="s">
        <v>74</v>
      </c>
      <c r="E798" s="1" t="s">
        <v>74</v>
      </c>
      <c r="F798" s="1" t="s">
        <v>7346</v>
      </c>
      <c r="G798" s="1" t="s">
        <v>74</v>
      </c>
      <c r="H798" s="1" t="s">
        <v>74</v>
      </c>
      <c r="I798" s="1" t="s">
        <v>7347</v>
      </c>
      <c r="J798" s="1" t="s">
        <v>2069</v>
      </c>
      <c r="K798" s="1" t="s">
        <v>74</v>
      </c>
      <c r="L798" s="1" t="s">
        <v>74</v>
      </c>
      <c r="M798" s="1" t="s">
        <v>74</v>
      </c>
      <c r="N798" s="1" t="s">
        <v>74</v>
      </c>
      <c r="O798" s="1" t="s">
        <v>74</v>
      </c>
      <c r="P798" s="1" t="s">
        <v>74</v>
      </c>
      <c r="Q798" s="1" t="s">
        <v>74</v>
      </c>
      <c r="R798" s="1" t="s">
        <v>74</v>
      </c>
      <c r="S798" s="1" t="s">
        <v>74</v>
      </c>
      <c r="T798" s="1" t="s">
        <v>74</v>
      </c>
      <c r="U798" s="1" t="s">
        <v>74</v>
      </c>
      <c r="V798" s="1" t="s">
        <v>7348</v>
      </c>
      <c r="W798" s="1" t="s">
        <v>74</v>
      </c>
      <c r="X798" s="1" t="s">
        <v>74</v>
      </c>
      <c r="Y798" s="1" t="s">
        <v>74</v>
      </c>
      <c r="Z798" s="1" t="s">
        <v>74</v>
      </c>
      <c r="AA798" s="1" t="s">
        <v>7349</v>
      </c>
      <c r="AB798" s="1" t="s">
        <v>7350</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2073</v>
      </c>
      <c r="AP798" s="1" t="s">
        <v>74</v>
      </c>
      <c r="AQ798" s="1" t="s">
        <v>74</v>
      </c>
      <c r="AR798" s="1" t="s">
        <v>74</v>
      </c>
      <c r="AS798" s="1" t="s">
        <v>74</v>
      </c>
      <c r="AT798" s="1" t="s">
        <v>517</v>
      </c>
      <c r="AU798" s="1">
        <v>2007.0</v>
      </c>
      <c r="AV798" s="1">
        <v>83.0</v>
      </c>
      <c r="AW798" s="1">
        <v>3.0</v>
      </c>
      <c r="AX798" s="1" t="s">
        <v>74</v>
      </c>
      <c r="AY798" s="1" t="s">
        <v>74</v>
      </c>
      <c r="AZ798" s="1" t="s">
        <v>74</v>
      </c>
      <c r="BA798" s="1" t="s">
        <v>74</v>
      </c>
      <c r="BB798" s="1">
        <v>563.0</v>
      </c>
      <c r="BC798" s="1">
        <v>569.0</v>
      </c>
      <c r="BD798" s="1" t="s">
        <v>74</v>
      </c>
      <c r="BE798" s="1" t="s">
        <v>7351</v>
      </c>
      <c r="BF798" s="2" t="str">
        <f>HYPERLINK("http://dx.doi.org/10.1562/2006-08-01-RA-990","http://dx.doi.org/10.1562/2006-08-01-RA-990")</f>
        <v>http://dx.doi.org/10.1562/2006-08-01-RA-990</v>
      </c>
      <c r="BG798" s="1" t="s">
        <v>74</v>
      </c>
      <c r="BH798" s="1" t="s">
        <v>74</v>
      </c>
      <c r="BI798" s="1" t="s">
        <v>74</v>
      </c>
      <c r="BJ798" s="1" t="s">
        <v>74</v>
      </c>
      <c r="BK798" s="1" t="s">
        <v>74</v>
      </c>
      <c r="BL798" s="1" t="s">
        <v>74</v>
      </c>
      <c r="BM798" s="1" t="s">
        <v>74</v>
      </c>
      <c r="BN798" s="1">
        <v>1.7007563E7</v>
      </c>
      <c r="BO798" s="1" t="s">
        <v>74</v>
      </c>
      <c r="BP798" s="1" t="s">
        <v>74</v>
      </c>
      <c r="BQ798" s="1" t="s">
        <v>74</v>
      </c>
      <c r="BR798" s="1" t="s">
        <v>74</v>
      </c>
      <c r="BS798" s="1" t="s">
        <v>7352</v>
      </c>
      <c r="BT798" s="1" t="str">
        <f>HYPERLINK("https%3A%2F%2Fwww.webofscience.com%2Fwos%2Fwoscc%2Ffull-record%2FWOS:000247327400014","View Full Record in Web of Science")</f>
        <v>View Full Record in Web of Science</v>
      </c>
    </row>
    <row r="799" ht="12.75" customHeight="1">
      <c r="A799" s="1" t="s">
        <v>72</v>
      </c>
      <c r="B799" s="1" t="s">
        <v>7353</v>
      </c>
      <c r="C799" s="1" t="s">
        <v>74</v>
      </c>
      <c r="D799" s="1" t="s">
        <v>74</v>
      </c>
      <c r="E799" s="1" t="s">
        <v>74</v>
      </c>
      <c r="F799" s="1" t="s">
        <v>7354</v>
      </c>
      <c r="G799" s="1" t="s">
        <v>74</v>
      </c>
      <c r="H799" s="1" t="s">
        <v>74</v>
      </c>
      <c r="I799" s="1" t="s">
        <v>7355</v>
      </c>
      <c r="J799" s="1" t="s">
        <v>268</v>
      </c>
      <c r="K799" s="1" t="s">
        <v>74</v>
      </c>
      <c r="L799" s="1" t="s">
        <v>74</v>
      </c>
      <c r="M799" s="1" t="s">
        <v>74</v>
      </c>
      <c r="N799" s="1" t="s">
        <v>74</v>
      </c>
      <c r="O799" s="1" t="s">
        <v>74</v>
      </c>
      <c r="P799" s="1" t="s">
        <v>74</v>
      </c>
      <c r="Q799" s="1" t="s">
        <v>74</v>
      </c>
      <c r="R799" s="1" t="s">
        <v>74</v>
      </c>
      <c r="S799" s="1" t="s">
        <v>74</v>
      </c>
      <c r="T799" s="1" t="s">
        <v>74</v>
      </c>
      <c r="U799" s="1" t="s">
        <v>74</v>
      </c>
      <c r="V799" s="1" t="s">
        <v>7356</v>
      </c>
      <c r="W799" s="1" t="s">
        <v>74</v>
      </c>
      <c r="X799" s="1" t="s">
        <v>74</v>
      </c>
      <c r="Y799" s="1" t="s">
        <v>74</v>
      </c>
      <c r="Z799" s="1" t="s">
        <v>74</v>
      </c>
      <c r="AA799" s="1" t="s">
        <v>7357</v>
      </c>
      <c r="AB799" s="1" t="s">
        <v>7358</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272</v>
      </c>
      <c r="AP799" s="1" t="s">
        <v>273</v>
      </c>
      <c r="AQ799" s="1" t="s">
        <v>74</v>
      </c>
      <c r="AR799" s="1" t="s">
        <v>74</v>
      </c>
      <c r="AS799" s="1" t="s">
        <v>74</v>
      </c>
      <c r="AT799" s="1" t="s">
        <v>319</v>
      </c>
      <c r="AU799" s="1">
        <v>2007.0</v>
      </c>
      <c r="AV799" s="1">
        <v>310.0</v>
      </c>
      <c r="AW799" s="1">
        <v>2.0</v>
      </c>
      <c r="AX799" s="1">
        <v>3.0</v>
      </c>
      <c r="AY799" s="1" t="s">
        <v>74</v>
      </c>
      <c r="AZ799" s="1" t="s">
        <v>74</v>
      </c>
      <c r="BA799" s="1" t="s">
        <v>74</v>
      </c>
      <c r="BB799" s="1">
        <v>2448.0</v>
      </c>
      <c r="BC799" s="1">
        <v>2450.0</v>
      </c>
      <c r="BD799" s="1" t="s">
        <v>74</v>
      </c>
      <c r="BE799" s="1" t="s">
        <v>7359</v>
      </c>
      <c r="BF799" s="2" t="str">
        <f>HYPERLINK("http://dx.doi.org/10.1016/j.jmmm.2006.10.910","http://dx.doi.org/10.1016/j.jmmm.2006.10.910")</f>
        <v>http://dx.doi.org/10.1016/j.jmmm.2006.10.910</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7360</v>
      </c>
      <c r="BT799" s="1" t="str">
        <f>HYPERLINK("https%3A%2F%2Fwww.webofscience.com%2Fwos%2Fwoscc%2Ffull-record%2FWOS:000247720400194","View Full Record in Web of Science")</f>
        <v>View Full Record in Web of Science</v>
      </c>
    </row>
    <row r="800" ht="12.75" customHeight="1">
      <c r="A800" s="1" t="s">
        <v>72</v>
      </c>
      <c r="B800" s="1" t="s">
        <v>7361</v>
      </c>
      <c r="C800" s="1" t="s">
        <v>74</v>
      </c>
      <c r="D800" s="1" t="s">
        <v>74</v>
      </c>
      <c r="E800" s="1" t="s">
        <v>74</v>
      </c>
      <c r="F800" s="1" t="s">
        <v>7362</v>
      </c>
      <c r="G800" s="1" t="s">
        <v>74</v>
      </c>
      <c r="H800" s="1" t="s">
        <v>74</v>
      </c>
      <c r="I800" s="1" t="s">
        <v>7363</v>
      </c>
      <c r="J800" s="1" t="s">
        <v>601</v>
      </c>
      <c r="K800" s="1" t="s">
        <v>74</v>
      </c>
      <c r="L800" s="1" t="s">
        <v>74</v>
      </c>
      <c r="M800" s="1" t="s">
        <v>74</v>
      </c>
      <c r="N800" s="1" t="s">
        <v>74</v>
      </c>
      <c r="O800" s="1" t="s">
        <v>74</v>
      </c>
      <c r="P800" s="1" t="s">
        <v>74</v>
      </c>
      <c r="Q800" s="1" t="s">
        <v>74</v>
      </c>
      <c r="R800" s="1" t="s">
        <v>74</v>
      </c>
      <c r="S800" s="1" t="s">
        <v>74</v>
      </c>
      <c r="T800" s="1" t="s">
        <v>74</v>
      </c>
      <c r="U800" s="1" t="s">
        <v>74</v>
      </c>
      <c r="V800" s="1" t="s">
        <v>7364</v>
      </c>
      <c r="W800" s="1" t="s">
        <v>74</v>
      </c>
      <c r="X800" s="1" t="s">
        <v>74</v>
      </c>
      <c r="Y800" s="1" t="s">
        <v>74</v>
      </c>
      <c r="Z800" s="1" t="s">
        <v>74</v>
      </c>
      <c r="AA800" s="1" t="s">
        <v>7365</v>
      </c>
      <c r="AB800" s="1" t="s">
        <v>7366</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605</v>
      </c>
      <c r="AP800" s="1" t="s">
        <v>606</v>
      </c>
      <c r="AQ800" s="1" t="s">
        <v>74</v>
      </c>
      <c r="AR800" s="1" t="s">
        <v>74</v>
      </c>
      <c r="AS800" s="1" t="s">
        <v>74</v>
      </c>
      <c r="AT800" s="1" t="s">
        <v>607</v>
      </c>
      <c r="AU800" s="1">
        <v>2007.0</v>
      </c>
      <c r="AV800" s="1">
        <v>26.0</v>
      </c>
      <c r="AW800" s="1">
        <v>2.0</v>
      </c>
      <c r="AX800" s="1" t="s">
        <v>74</v>
      </c>
      <c r="AY800" s="1" t="s">
        <v>74</v>
      </c>
      <c r="AZ800" s="1" t="s">
        <v>74</v>
      </c>
      <c r="BA800" s="1" t="s">
        <v>74</v>
      </c>
      <c r="BB800" s="1">
        <v>135.0</v>
      </c>
      <c r="BC800" s="1">
        <v>141.0</v>
      </c>
      <c r="BD800" s="1" t="s">
        <v>74</v>
      </c>
      <c r="BE800" s="1" t="s">
        <v>7367</v>
      </c>
      <c r="BF800" s="2" t="str">
        <f>HYPERLINK("http://dx.doi.org/10.1007/s10930-006-9054-z","http://dx.doi.org/10.1007/s10930-006-9054-z")</f>
        <v>http://dx.doi.org/10.1007/s10930-006-9054-z</v>
      </c>
      <c r="BG800" s="1" t="s">
        <v>74</v>
      </c>
      <c r="BH800" s="1" t="s">
        <v>74</v>
      </c>
      <c r="BI800" s="1" t="s">
        <v>74</v>
      </c>
      <c r="BJ800" s="1" t="s">
        <v>74</v>
      </c>
      <c r="BK800" s="1" t="s">
        <v>74</v>
      </c>
      <c r="BL800" s="1" t="s">
        <v>74</v>
      </c>
      <c r="BM800" s="1" t="s">
        <v>74</v>
      </c>
      <c r="BN800" s="1">
        <v>1.7195942E7</v>
      </c>
      <c r="BO800" s="1" t="s">
        <v>74</v>
      </c>
      <c r="BP800" s="1" t="s">
        <v>74</v>
      </c>
      <c r="BQ800" s="1" t="s">
        <v>74</v>
      </c>
      <c r="BR800" s="1" t="s">
        <v>74</v>
      </c>
      <c r="BS800" s="1" t="s">
        <v>7368</v>
      </c>
      <c r="BT800" s="1" t="str">
        <f>HYPERLINK("https%3A%2F%2Fwww.webofscience.com%2Fwos%2Fwoscc%2Ffull-record%2FWOS:000245408100007","View Full Record in Web of Science")</f>
        <v>View Full Record in Web of Science</v>
      </c>
    </row>
    <row r="801" ht="12.75" customHeight="1">
      <c r="A801" s="1" t="s">
        <v>72</v>
      </c>
      <c r="B801" s="1" t="s">
        <v>7369</v>
      </c>
      <c r="C801" s="1" t="s">
        <v>74</v>
      </c>
      <c r="D801" s="1" t="s">
        <v>74</v>
      </c>
      <c r="E801" s="1" t="s">
        <v>74</v>
      </c>
      <c r="F801" s="1" t="s">
        <v>7370</v>
      </c>
      <c r="G801" s="1" t="s">
        <v>74</v>
      </c>
      <c r="H801" s="1" t="s">
        <v>74</v>
      </c>
      <c r="I801" s="1" t="s">
        <v>7371</v>
      </c>
      <c r="J801" s="1" t="s">
        <v>2004</v>
      </c>
      <c r="K801" s="1" t="s">
        <v>74</v>
      </c>
      <c r="L801" s="1" t="s">
        <v>74</v>
      </c>
      <c r="M801" s="1" t="s">
        <v>74</v>
      </c>
      <c r="N801" s="1" t="s">
        <v>74</v>
      </c>
      <c r="O801" s="1" t="s">
        <v>74</v>
      </c>
      <c r="P801" s="1" t="s">
        <v>74</v>
      </c>
      <c r="Q801" s="1" t="s">
        <v>74</v>
      </c>
      <c r="R801" s="1" t="s">
        <v>74</v>
      </c>
      <c r="S801" s="1" t="s">
        <v>74</v>
      </c>
      <c r="T801" s="1" t="s">
        <v>74</v>
      </c>
      <c r="U801" s="1" t="s">
        <v>74</v>
      </c>
      <c r="V801" s="1" t="s">
        <v>7372</v>
      </c>
      <c r="W801" s="1" t="s">
        <v>74</v>
      </c>
      <c r="X801" s="1" t="s">
        <v>74</v>
      </c>
      <c r="Y801" s="1" t="s">
        <v>74</v>
      </c>
      <c r="Z801" s="1" t="s">
        <v>74</v>
      </c>
      <c r="AA801" s="1" t="s">
        <v>74</v>
      </c>
      <c r="AB801" s="1" t="s">
        <v>7373</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2008</v>
      </c>
      <c r="AP801" s="1" t="s">
        <v>2009</v>
      </c>
      <c r="AQ801" s="1" t="s">
        <v>74</v>
      </c>
      <c r="AR801" s="1" t="s">
        <v>74</v>
      </c>
      <c r="AS801" s="1" t="s">
        <v>74</v>
      </c>
      <c r="AT801" s="1" t="s">
        <v>160</v>
      </c>
      <c r="AU801" s="1">
        <v>2006.0</v>
      </c>
      <c r="AV801" s="1">
        <v>321.0</v>
      </c>
      <c r="AW801" s="1">
        <v>12.0</v>
      </c>
      <c r="AX801" s="1" t="s">
        <v>74</v>
      </c>
      <c r="AY801" s="1" t="s">
        <v>74</v>
      </c>
      <c r="AZ801" s="1" t="s">
        <v>74</v>
      </c>
      <c r="BA801" s="1" t="s">
        <v>74</v>
      </c>
      <c r="BB801" s="1">
        <v>2830.0</v>
      </c>
      <c r="BC801" s="1">
        <v>2848.0</v>
      </c>
      <c r="BD801" s="1" t="s">
        <v>74</v>
      </c>
      <c r="BE801" s="1" t="s">
        <v>7374</v>
      </c>
      <c r="BF801" s="2" t="str">
        <f>HYPERLINK("http://dx.doi.org/10.1016/j.aop.2006.03.001","http://dx.doi.org/10.1016/j.aop.2006.03.001")</f>
        <v>http://dx.doi.org/10.1016/j.aop.2006.03.001</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7375</v>
      </c>
      <c r="BT801" s="1" t="str">
        <f>HYPERLINK("https%3A%2F%2Fwww.webofscience.com%2Fwos%2Fwoscc%2Ffull-record%2FWOS:000242740400006","View Full Record in Web of Science")</f>
        <v>View Full Record in Web of Science</v>
      </c>
    </row>
    <row r="802" ht="12.75" customHeight="1">
      <c r="A802" s="1" t="s">
        <v>72</v>
      </c>
      <c r="B802" s="1" t="s">
        <v>7376</v>
      </c>
      <c r="C802" s="1" t="s">
        <v>74</v>
      </c>
      <c r="D802" s="1" t="s">
        <v>74</v>
      </c>
      <c r="E802" s="1" t="s">
        <v>74</v>
      </c>
      <c r="F802" s="1" t="s">
        <v>7377</v>
      </c>
      <c r="G802" s="1" t="s">
        <v>74</v>
      </c>
      <c r="H802" s="1" t="s">
        <v>74</v>
      </c>
      <c r="I802" s="1" t="s">
        <v>7378</v>
      </c>
      <c r="J802" s="1" t="s">
        <v>2347</v>
      </c>
      <c r="K802" s="1" t="s">
        <v>74</v>
      </c>
      <c r="L802" s="1" t="s">
        <v>74</v>
      </c>
      <c r="M802" s="1" t="s">
        <v>74</v>
      </c>
      <c r="N802" s="1" t="s">
        <v>74</v>
      </c>
      <c r="O802" s="1" t="s">
        <v>74</v>
      </c>
      <c r="P802" s="1" t="s">
        <v>74</v>
      </c>
      <c r="Q802" s="1" t="s">
        <v>74</v>
      </c>
      <c r="R802" s="1" t="s">
        <v>74</v>
      </c>
      <c r="S802" s="1" t="s">
        <v>74</v>
      </c>
      <c r="T802" s="1" t="s">
        <v>74</v>
      </c>
      <c r="U802" s="1" t="s">
        <v>74</v>
      </c>
      <c r="V802" s="1" t="s">
        <v>7379</v>
      </c>
      <c r="W802" s="1" t="s">
        <v>74</v>
      </c>
      <c r="X802" s="1" t="s">
        <v>74</v>
      </c>
      <c r="Y802" s="1" t="s">
        <v>74</v>
      </c>
      <c r="Z802" s="1" t="s">
        <v>74</v>
      </c>
      <c r="AA802" s="1" t="s">
        <v>7380</v>
      </c>
      <c r="AB802" s="1" t="s">
        <v>7381</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2351</v>
      </c>
      <c r="AP802" s="1" t="s">
        <v>2352</v>
      </c>
      <c r="AQ802" s="1" t="s">
        <v>74</v>
      </c>
      <c r="AR802" s="1" t="s">
        <v>74</v>
      </c>
      <c r="AS802" s="1" t="s">
        <v>74</v>
      </c>
      <c r="AT802" s="1" t="s">
        <v>501</v>
      </c>
      <c r="AU802" s="1">
        <v>2006.0</v>
      </c>
      <c r="AV802" s="1">
        <v>10.0</v>
      </c>
      <c r="AW802" s="1">
        <v>11.0</v>
      </c>
      <c r="AX802" s="1" t="s">
        <v>74</v>
      </c>
      <c r="AY802" s="1" t="s">
        <v>74</v>
      </c>
      <c r="AZ802" s="1" t="s">
        <v>74</v>
      </c>
      <c r="BA802" s="1" t="s">
        <v>74</v>
      </c>
      <c r="BB802" s="1">
        <v>894.0</v>
      </c>
      <c r="BC802" s="1">
        <v>904.0</v>
      </c>
      <c r="BD802" s="1" t="s">
        <v>74</v>
      </c>
      <c r="BE802" s="1" t="s">
        <v>7382</v>
      </c>
      <c r="BF802" s="2" t="str">
        <f>HYPERLINK("http://dx.doi.org/10.1007/s10008-005-0014-x","http://dx.doi.org/10.1007/s10008-005-0014-x")</f>
        <v>http://dx.doi.org/10.1007/s10008-005-0014-x</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7383</v>
      </c>
      <c r="BT802" s="1" t="str">
        <f>HYPERLINK("https%3A%2F%2Fwww.webofscience.com%2Fwos%2Fwoscc%2Ffull-record%2FWOS:000239720300003","View Full Record in Web of Science")</f>
        <v>View Full Record in Web of Science</v>
      </c>
    </row>
    <row r="803" ht="12.75" customHeight="1">
      <c r="A803" s="1" t="s">
        <v>72</v>
      </c>
      <c r="B803" s="1" t="s">
        <v>7384</v>
      </c>
      <c r="C803" s="1" t="s">
        <v>74</v>
      </c>
      <c r="D803" s="1" t="s">
        <v>74</v>
      </c>
      <c r="E803" s="1" t="s">
        <v>74</v>
      </c>
      <c r="F803" s="1" t="s">
        <v>7384</v>
      </c>
      <c r="G803" s="1" t="s">
        <v>74</v>
      </c>
      <c r="H803" s="1" t="s">
        <v>74</v>
      </c>
      <c r="I803" s="1" t="s">
        <v>7385</v>
      </c>
      <c r="J803" s="1" t="s">
        <v>7386</v>
      </c>
      <c r="K803" s="1" t="s">
        <v>74</v>
      </c>
      <c r="L803" s="1" t="s">
        <v>74</v>
      </c>
      <c r="M803" s="1" t="s">
        <v>74</v>
      </c>
      <c r="N803" s="1" t="s">
        <v>74</v>
      </c>
      <c r="O803" s="1" t="s">
        <v>74</v>
      </c>
      <c r="P803" s="1" t="s">
        <v>74</v>
      </c>
      <c r="Q803" s="1" t="s">
        <v>74</v>
      </c>
      <c r="R803" s="1" t="s">
        <v>74</v>
      </c>
      <c r="S803" s="1" t="s">
        <v>74</v>
      </c>
      <c r="T803" s="1" t="s">
        <v>74</v>
      </c>
      <c r="U803" s="1" t="s">
        <v>74</v>
      </c>
      <c r="V803" s="1" t="s">
        <v>7387</v>
      </c>
      <c r="W803" s="1" t="s">
        <v>74</v>
      </c>
      <c r="X803" s="1" t="s">
        <v>74</v>
      </c>
      <c r="Y803" s="1" t="s">
        <v>74</v>
      </c>
      <c r="Z803" s="1" t="s">
        <v>74</v>
      </c>
      <c r="AA803" s="1" t="s">
        <v>7388</v>
      </c>
      <c r="AB803" s="1" t="s">
        <v>7389</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7390</v>
      </c>
      <c r="AP803" s="1" t="s">
        <v>74</v>
      </c>
      <c r="AQ803" s="1" t="s">
        <v>74</v>
      </c>
      <c r="AR803" s="1" t="s">
        <v>74</v>
      </c>
      <c r="AS803" s="1" t="s">
        <v>74</v>
      </c>
      <c r="AT803" s="1" t="s">
        <v>607</v>
      </c>
      <c r="AU803" s="1">
        <v>2006.0</v>
      </c>
      <c r="AV803" s="1">
        <v>62.0</v>
      </c>
      <c r="AW803" s="1">
        <v>6.0</v>
      </c>
      <c r="AX803" s="1" t="s">
        <v>74</v>
      </c>
      <c r="AY803" s="1" t="s">
        <v>74</v>
      </c>
      <c r="AZ803" s="1" t="s">
        <v>74</v>
      </c>
      <c r="BA803" s="1" t="s">
        <v>74</v>
      </c>
      <c r="BB803" s="1">
        <v>1011.0</v>
      </c>
      <c r="BC803" s="1">
        <v>1020.0</v>
      </c>
      <c r="BD803" s="1" t="s">
        <v>74</v>
      </c>
      <c r="BE803" s="1" t="s">
        <v>7391</v>
      </c>
      <c r="BF803" s="2" t="str">
        <f>HYPERLINK("http://dx.doi.org/10.1016/j.chemosphere.2005.06.022","http://dx.doi.org/10.1016/j.chemosphere.2005.06.022")</f>
        <v>http://dx.doi.org/10.1016/j.chemosphere.2005.06.022</v>
      </c>
      <c r="BG803" s="1" t="s">
        <v>74</v>
      </c>
      <c r="BH803" s="1" t="s">
        <v>74</v>
      </c>
      <c r="BI803" s="1" t="s">
        <v>74</v>
      </c>
      <c r="BJ803" s="1" t="s">
        <v>74</v>
      </c>
      <c r="BK803" s="1" t="s">
        <v>74</v>
      </c>
      <c r="BL803" s="1" t="s">
        <v>74</v>
      </c>
      <c r="BM803" s="1" t="s">
        <v>74</v>
      </c>
      <c r="BN803" s="1">
        <v>1.6084564E7</v>
      </c>
      <c r="BO803" s="1" t="s">
        <v>74</v>
      </c>
      <c r="BP803" s="1" t="s">
        <v>74</v>
      </c>
      <c r="BQ803" s="1" t="s">
        <v>74</v>
      </c>
      <c r="BR803" s="1" t="s">
        <v>74</v>
      </c>
      <c r="BS803" s="1" t="s">
        <v>7392</v>
      </c>
      <c r="BT803" s="1" t="str">
        <f>HYPERLINK("https%3A%2F%2Fwww.webofscience.com%2Fwos%2Fwoscc%2Ffull-record%2FWOS:000235594800016","View Full Record in Web of Science")</f>
        <v>View Full Record in Web of Science</v>
      </c>
    </row>
    <row r="804" ht="12.75" customHeight="1">
      <c r="A804" s="1" t="s">
        <v>72</v>
      </c>
      <c r="B804" s="1" t="s">
        <v>7393</v>
      </c>
      <c r="C804" s="1" t="s">
        <v>74</v>
      </c>
      <c r="D804" s="1" t="s">
        <v>74</v>
      </c>
      <c r="E804" s="1" t="s">
        <v>74</v>
      </c>
      <c r="F804" s="1" t="s">
        <v>7394</v>
      </c>
      <c r="G804" s="1" t="s">
        <v>74</v>
      </c>
      <c r="H804" s="1" t="s">
        <v>74</v>
      </c>
      <c r="I804" s="1" t="s">
        <v>7395</v>
      </c>
      <c r="J804" s="1" t="s">
        <v>7396</v>
      </c>
      <c r="K804" s="1" t="s">
        <v>74</v>
      </c>
      <c r="L804" s="1" t="s">
        <v>74</v>
      </c>
      <c r="M804" s="1" t="s">
        <v>74</v>
      </c>
      <c r="N804" s="1" t="s">
        <v>74</v>
      </c>
      <c r="O804" s="1" t="s">
        <v>74</v>
      </c>
      <c r="P804" s="1" t="s">
        <v>74</v>
      </c>
      <c r="Q804" s="1" t="s">
        <v>74</v>
      </c>
      <c r="R804" s="1" t="s">
        <v>74</v>
      </c>
      <c r="S804" s="1" t="s">
        <v>74</v>
      </c>
      <c r="T804" s="1" t="s">
        <v>74</v>
      </c>
      <c r="U804" s="1" t="s">
        <v>74</v>
      </c>
      <c r="V804" s="1" t="s">
        <v>7397</v>
      </c>
      <c r="W804" s="1" t="s">
        <v>74</v>
      </c>
      <c r="X804" s="1" t="s">
        <v>74</v>
      </c>
      <c r="Y804" s="1" t="s">
        <v>74</v>
      </c>
      <c r="Z804" s="1" t="s">
        <v>74</v>
      </c>
      <c r="AA804" s="1" t="s">
        <v>7398</v>
      </c>
      <c r="AB804" s="1" t="s">
        <v>7399</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7400</v>
      </c>
      <c r="AP804" s="1" t="s">
        <v>74</v>
      </c>
      <c r="AQ804" s="1" t="s">
        <v>74</v>
      </c>
      <c r="AR804" s="1" t="s">
        <v>74</v>
      </c>
      <c r="AS804" s="1" t="s">
        <v>74</v>
      </c>
      <c r="AT804" s="1" t="s">
        <v>74</v>
      </c>
      <c r="AU804" s="1">
        <v>2006.0</v>
      </c>
      <c r="AV804" s="1">
        <v>38.0</v>
      </c>
      <c r="AW804" s="1">
        <v>3.0</v>
      </c>
      <c r="AX804" s="1" t="s">
        <v>74</v>
      </c>
      <c r="AY804" s="1" t="s">
        <v>74</v>
      </c>
      <c r="AZ804" s="1" t="s">
        <v>74</v>
      </c>
      <c r="BA804" s="1" t="s">
        <v>74</v>
      </c>
      <c r="BB804" s="1">
        <v>551.0</v>
      </c>
      <c r="BC804" s="1">
        <v>565.0</v>
      </c>
      <c r="BD804" s="1" t="s">
        <v>74</v>
      </c>
      <c r="BE804" s="1" t="s">
        <v>74</v>
      </c>
      <c r="BF804" s="1" t="s">
        <v>74</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7401</v>
      </c>
      <c r="BT804" s="1" t="str">
        <f>HYPERLINK("https%3A%2F%2Fwww.webofscience.com%2Fwos%2Fwoscc%2Ffull-record%2FWOS:000241903200008","View Full Record in Web of Science")</f>
        <v>View Full Record in Web of Science</v>
      </c>
    </row>
    <row r="805" ht="12.75" customHeight="1">
      <c r="A805" s="1" t="s">
        <v>72</v>
      </c>
      <c r="B805" s="1" t="s">
        <v>7402</v>
      </c>
      <c r="C805" s="1" t="s">
        <v>74</v>
      </c>
      <c r="D805" s="1" t="s">
        <v>74</v>
      </c>
      <c r="E805" s="1" t="s">
        <v>74</v>
      </c>
      <c r="F805" s="1" t="s">
        <v>7402</v>
      </c>
      <c r="G805" s="1" t="s">
        <v>74</v>
      </c>
      <c r="H805" s="1" t="s">
        <v>74</v>
      </c>
      <c r="I805" s="1" t="s">
        <v>7403</v>
      </c>
      <c r="J805" s="1" t="s">
        <v>280</v>
      </c>
      <c r="K805" s="1" t="s">
        <v>74</v>
      </c>
      <c r="L805" s="1" t="s">
        <v>74</v>
      </c>
      <c r="M805" s="1" t="s">
        <v>74</v>
      </c>
      <c r="N805" s="1" t="s">
        <v>74</v>
      </c>
      <c r="O805" s="1" t="s">
        <v>74</v>
      </c>
      <c r="P805" s="1" t="s">
        <v>74</v>
      </c>
      <c r="Q805" s="1" t="s">
        <v>74</v>
      </c>
      <c r="R805" s="1" t="s">
        <v>74</v>
      </c>
      <c r="S805" s="1" t="s">
        <v>74</v>
      </c>
      <c r="T805" s="1" t="s">
        <v>74</v>
      </c>
      <c r="U805" s="1" t="s">
        <v>74</v>
      </c>
      <c r="V805" s="1" t="s">
        <v>7404</v>
      </c>
      <c r="W805" s="1" t="s">
        <v>74</v>
      </c>
      <c r="X805" s="1" t="s">
        <v>74</v>
      </c>
      <c r="Y805" s="1" t="s">
        <v>74</v>
      </c>
      <c r="Z805" s="1" t="s">
        <v>74</v>
      </c>
      <c r="AA805" s="1" t="s">
        <v>74</v>
      </c>
      <c r="AB805" s="1" t="s">
        <v>74</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533</v>
      </c>
      <c r="AP805" s="1" t="s">
        <v>74</v>
      </c>
      <c r="AQ805" s="1" t="s">
        <v>74</v>
      </c>
      <c r="AR805" s="1" t="s">
        <v>74</v>
      </c>
      <c r="AS805" s="1" t="s">
        <v>74</v>
      </c>
      <c r="AT805" s="1" t="s">
        <v>160</v>
      </c>
      <c r="AU805" s="1">
        <v>2003.0</v>
      </c>
      <c r="AV805" s="1">
        <v>48.0</v>
      </c>
      <c r="AW805" s="1">
        <v>4.0</v>
      </c>
      <c r="AX805" s="1" t="s">
        <v>74</v>
      </c>
      <c r="AY805" s="1" t="s">
        <v>74</v>
      </c>
      <c r="AZ805" s="1" t="s">
        <v>74</v>
      </c>
      <c r="BA805" s="1" t="s">
        <v>74</v>
      </c>
      <c r="BB805" s="1">
        <v>11.0</v>
      </c>
      <c r="BC805" s="1">
        <v>16.0</v>
      </c>
      <c r="BD805" s="1" t="s">
        <v>74</v>
      </c>
      <c r="BE805" s="1" t="s">
        <v>74</v>
      </c>
      <c r="BF805" s="1" t="s">
        <v>74</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7405</v>
      </c>
      <c r="BT805" s="1" t="str">
        <f>HYPERLINK("https%3A%2F%2Fwww.webofscience.com%2Fwos%2Fwoscc%2Ffull-record%2FWOS:000187318000001","View Full Record in Web of Science")</f>
        <v>View Full Record in Web of Science</v>
      </c>
    </row>
    <row r="806" ht="12.75" customHeight="1">
      <c r="A806" s="1" t="s">
        <v>72</v>
      </c>
      <c r="B806" s="1" t="s">
        <v>7406</v>
      </c>
      <c r="C806" s="1" t="s">
        <v>74</v>
      </c>
      <c r="D806" s="1" t="s">
        <v>74</v>
      </c>
      <c r="E806" s="1" t="s">
        <v>74</v>
      </c>
      <c r="F806" s="1" t="s">
        <v>7406</v>
      </c>
      <c r="G806" s="1" t="s">
        <v>74</v>
      </c>
      <c r="H806" s="1" t="s">
        <v>74</v>
      </c>
      <c r="I806" s="1" t="s">
        <v>7407</v>
      </c>
      <c r="J806" s="1" t="s">
        <v>3453</v>
      </c>
      <c r="K806" s="1" t="s">
        <v>74</v>
      </c>
      <c r="L806" s="1" t="s">
        <v>74</v>
      </c>
      <c r="M806" s="1" t="s">
        <v>74</v>
      </c>
      <c r="N806" s="1" t="s">
        <v>74</v>
      </c>
      <c r="O806" s="1" t="s">
        <v>74</v>
      </c>
      <c r="P806" s="1" t="s">
        <v>74</v>
      </c>
      <c r="Q806" s="1" t="s">
        <v>74</v>
      </c>
      <c r="R806" s="1" t="s">
        <v>74</v>
      </c>
      <c r="S806" s="1" t="s">
        <v>74</v>
      </c>
      <c r="T806" s="1" t="s">
        <v>74</v>
      </c>
      <c r="U806" s="1" t="s">
        <v>74</v>
      </c>
      <c r="V806" s="1" t="s">
        <v>7408</v>
      </c>
      <c r="W806" s="1" t="s">
        <v>74</v>
      </c>
      <c r="X806" s="1" t="s">
        <v>74</v>
      </c>
      <c r="Y806" s="1" t="s">
        <v>74</v>
      </c>
      <c r="Z806" s="1" t="s">
        <v>74</v>
      </c>
      <c r="AA806" s="1" t="s">
        <v>74</v>
      </c>
      <c r="AB806" s="1" t="s">
        <v>7409</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3456</v>
      </c>
      <c r="AP806" s="1" t="s">
        <v>74</v>
      </c>
      <c r="AQ806" s="1" t="s">
        <v>74</v>
      </c>
      <c r="AR806" s="1" t="s">
        <v>74</v>
      </c>
      <c r="AS806" s="1" t="s">
        <v>74</v>
      </c>
      <c r="AT806" s="1" t="s">
        <v>800</v>
      </c>
      <c r="AU806" s="1">
        <v>2003.0</v>
      </c>
      <c r="AV806" s="1">
        <v>280.0</v>
      </c>
      <c r="AW806" s="1">
        <v>2.0</v>
      </c>
      <c r="AX806" s="1" t="s">
        <v>74</v>
      </c>
      <c r="AY806" s="1" t="s">
        <v>74</v>
      </c>
      <c r="AZ806" s="1" t="s">
        <v>74</v>
      </c>
      <c r="BA806" s="1" t="s">
        <v>74</v>
      </c>
      <c r="BB806" s="1">
        <v>284.0</v>
      </c>
      <c r="BC806" s="1">
        <v>312.0</v>
      </c>
      <c r="BD806" s="1" t="s">
        <v>74</v>
      </c>
      <c r="BE806" s="1" t="s">
        <v>7410</v>
      </c>
      <c r="BF806" s="2" t="str">
        <f>HYPERLINK("http://dx.doi.org/10.1016/S0022-247X(03)00042-8","http://dx.doi.org/10.1016/S0022-247X(03)00042-8")</f>
        <v>http://dx.doi.org/10.1016/S0022-247X(03)00042-8</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7411</v>
      </c>
      <c r="BT806" s="1" t="str">
        <f>HYPERLINK("https%3A%2F%2Fwww.webofscience.com%2Fwos%2Fwoscc%2Ffull-record%2FWOS:000182876800008","View Full Record in Web of Science")</f>
        <v>View Full Record in Web of Science</v>
      </c>
    </row>
    <row r="807" ht="12.75" customHeight="1">
      <c r="A807" s="1" t="s">
        <v>72</v>
      </c>
      <c r="B807" s="1" t="s">
        <v>7412</v>
      </c>
      <c r="C807" s="1" t="s">
        <v>74</v>
      </c>
      <c r="D807" s="1" t="s">
        <v>74</v>
      </c>
      <c r="E807" s="1" t="s">
        <v>74</v>
      </c>
      <c r="F807" s="1" t="s">
        <v>7412</v>
      </c>
      <c r="G807" s="1" t="s">
        <v>74</v>
      </c>
      <c r="H807" s="1" t="s">
        <v>74</v>
      </c>
      <c r="I807" s="1" t="s">
        <v>7413</v>
      </c>
      <c r="J807" s="1" t="s">
        <v>7414</v>
      </c>
      <c r="K807" s="1" t="s">
        <v>74</v>
      </c>
      <c r="L807" s="1" t="s">
        <v>74</v>
      </c>
      <c r="M807" s="1" t="s">
        <v>74</v>
      </c>
      <c r="N807" s="1" t="s">
        <v>74</v>
      </c>
      <c r="O807" s="1" t="s">
        <v>74</v>
      </c>
      <c r="P807" s="1" t="s">
        <v>74</v>
      </c>
      <c r="Q807" s="1" t="s">
        <v>74</v>
      </c>
      <c r="R807" s="1" t="s">
        <v>74</v>
      </c>
      <c r="S807" s="1" t="s">
        <v>74</v>
      </c>
      <c r="T807" s="1" t="s">
        <v>74</v>
      </c>
      <c r="U807" s="1" t="s">
        <v>74</v>
      </c>
      <c r="V807" s="1" t="s">
        <v>7415</v>
      </c>
      <c r="W807" s="1" t="s">
        <v>74</v>
      </c>
      <c r="X807" s="1" t="s">
        <v>74</v>
      </c>
      <c r="Y807" s="1" t="s">
        <v>74</v>
      </c>
      <c r="Z807" s="1" t="s">
        <v>74</v>
      </c>
      <c r="AA807" s="1" t="s">
        <v>5548</v>
      </c>
      <c r="AB807" s="1" t="s">
        <v>7416</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7417</v>
      </c>
      <c r="AP807" s="1" t="s">
        <v>74</v>
      </c>
      <c r="AQ807" s="1" t="s">
        <v>74</v>
      </c>
      <c r="AR807" s="1" t="s">
        <v>74</v>
      </c>
      <c r="AS807" s="1" t="s">
        <v>74</v>
      </c>
      <c r="AT807" s="1" t="s">
        <v>353</v>
      </c>
      <c r="AU807" s="1">
        <v>2002.0</v>
      </c>
      <c r="AV807" s="1">
        <v>26.0</v>
      </c>
      <c r="AW807" s="1">
        <v>4.0</v>
      </c>
      <c r="AX807" s="1" t="s">
        <v>74</v>
      </c>
      <c r="AY807" s="1" t="s">
        <v>74</v>
      </c>
      <c r="AZ807" s="1" t="s">
        <v>74</v>
      </c>
      <c r="BA807" s="1" t="s">
        <v>74</v>
      </c>
      <c r="BB807" s="1">
        <v>237.0</v>
      </c>
      <c r="BC807" s="1">
        <v>257.0</v>
      </c>
      <c r="BD807" s="1" t="s">
        <v>74</v>
      </c>
      <c r="BE807" s="1" t="s">
        <v>7418</v>
      </c>
      <c r="BF807" s="2" t="str">
        <f>HYPERLINK("http://dx.doi.org/10.1111/j.1745-4549.2002.tb00482.x","http://dx.doi.org/10.1111/j.1745-4549.2002.tb00482.x")</f>
        <v>http://dx.doi.org/10.1111/j.1745-4549.2002.tb00482.x</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7419</v>
      </c>
      <c r="BT807" s="1" t="str">
        <f>HYPERLINK("https%3A%2F%2Fwww.webofscience.com%2Fwos%2Fwoscc%2Ffull-record%2FWOS:000179258200001","View Full Record in Web of Science")</f>
        <v>View Full Record in Web of Science</v>
      </c>
    </row>
    <row r="808" ht="12.75" customHeight="1">
      <c r="A808" s="1" t="s">
        <v>72</v>
      </c>
      <c r="B808" s="1" t="s">
        <v>7420</v>
      </c>
      <c r="C808" s="1" t="s">
        <v>74</v>
      </c>
      <c r="D808" s="1" t="s">
        <v>74</v>
      </c>
      <c r="E808" s="1" t="s">
        <v>74</v>
      </c>
      <c r="F808" s="1" t="s">
        <v>7420</v>
      </c>
      <c r="G808" s="1" t="s">
        <v>74</v>
      </c>
      <c r="H808" s="1" t="s">
        <v>74</v>
      </c>
      <c r="I808" s="1" t="s">
        <v>7421</v>
      </c>
      <c r="J808" s="1" t="s">
        <v>7422</v>
      </c>
      <c r="K808" s="1" t="s">
        <v>74</v>
      </c>
      <c r="L808" s="1" t="s">
        <v>74</v>
      </c>
      <c r="M808" s="1" t="s">
        <v>74</v>
      </c>
      <c r="N808" s="1" t="s">
        <v>74</v>
      </c>
      <c r="O808" s="1" t="s">
        <v>74</v>
      </c>
      <c r="P808" s="1" t="s">
        <v>74</v>
      </c>
      <c r="Q808" s="1" t="s">
        <v>74</v>
      </c>
      <c r="R808" s="1" t="s">
        <v>74</v>
      </c>
      <c r="S808" s="1" t="s">
        <v>74</v>
      </c>
      <c r="T808" s="1" t="s">
        <v>74</v>
      </c>
      <c r="U808" s="1" t="s">
        <v>74</v>
      </c>
      <c r="V808" s="1" t="s">
        <v>7423</v>
      </c>
      <c r="W808" s="1" t="s">
        <v>74</v>
      </c>
      <c r="X808" s="1" t="s">
        <v>74</v>
      </c>
      <c r="Y808" s="1" t="s">
        <v>74</v>
      </c>
      <c r="Z808" s="1" t="s">
        <v>74</v>
      </c>
      <c r="AA808" s="1" t="s">
        <v>74</v>
      </c>
      <c r="AB808" s="1" t="s">
        <v>74</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7424</v>
      </c>
      <c r="AP808" s="1" t="s">
        <v>74</v>
      </c>
      <c r="AQ808" s="1" t="s">
        <v>74</v>
      </c>
      <c r="AR808" s="1" t="s">
        <v>74</v>
      </c>
      <c r="AS808" s="1" t="s">
        <v>74</v>
      </c>
      <c r="AT808" s="1" t="s">
        <v>2405</v>
      </c>
      <c r="AU808" s="1">
        <v>2001.0</v>
      </c>
      <c r="AV808" s="1">
        <v>14.0</v>
      </c>
      <c r="AW808" s="1">
        <v>2.0</v>
      </c>
      <c r="AX808" s="1" t="s">
        <v>74</v>
      </c>
      <c r="AY808" s="1" t="s">
        <v>74</v>
      </c>
      <c r="AZ808" s="1" t="s">
        <v>74</v>
      </c>
      <c r="BA808" s="1" t="s">
        <v>74</v>
      </c>
      <c r="BB808" s="1">
        <v>194.0</v>
      </c>
      <c r="BC808" s="1">
        <v>205.0</v>
      </c>
      <c r="BD808" s="1" t="s">
        <v>74</v>
      </c>
      <c r="BE808" s="1" t="s">
        <v>7425</v>
      </c>
      <c r="BF808" s="2" t="str">
        <f>HYPERLINK("http://dx.doi.org/10.1080/09511920150216314","http://dx.doi.org/10.1080/09511920150216314")</f>
        <v>http://dx.doi.org/10.1080/09511920150216314</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7426</v>
      </c>
      <c r="BT808" s="1" t="str">
        <f>HYPERLINK("https%3A%2F%2Fwww.webofscience.com%2Fwos%2Fwoscc%2Ffull-record%2FWOS:000166613200007","View Full Record in Web of Science")</f>
        <v>View Full Record in Web of Science</v>
      </c>
    </row>
    <row r="809" ht="12.75" customHeight="1">
      <c r="A809" s="1" t="s">
        <v>72</v>
      </c>
      <c r="B809" s="1" t="s">
        <v>7427</v>
      </c>
      <c r="C809" s="1" t="s">
        <v>74</v>
      </c>
      <c r="D809" s="1" t="s">
        <v>74</v>
      </c>
      <c r="E809" s="1" t="s">
        <v>74</v>
      </c>
      <c r="F809" s="1" t="s">
        <v>7427</v>
      </c>
      <c r="G809" s="1" t="s">
        <v>74</v>
      </c>
      <c r="H809" s="1" t="s">
        <v>74</v>
      </c>
      <c r="I809" s="1" t="s">
        <v>7428</v>
      </c>
      <c r="J809" s="1" t="s">
        <v>7429</v>
      </c>
      <c r="K809" s="1" t="s">
        <v>74</v>
      </c>
      <c r="L809" s="1" t="s">
        <v>74</v>
      </c>
      <c r="M809" s="1" t="s">
        <v>74</v>
      </c>
      <c r="N809" s="1" t="s">
        <v>74</v>
      </c>
      <c r="O809" s="1" t="s">
        <v>7430</v>
      </c>
      <c r="P809" s="1" t="s">
        <v>7431</v>
      </c>
      <c r="Q809" s="1" t="s">
        <v>7432</v>
      </c>
      <c r="R809" s="1" t="s">
        <v>7433</v>
      </c>
      <c r="S809" s="1" t="s">
        <v>74</v>
      </c>
      <c r="T809" s="1" t="s">
        <v>74</v>
      </c>
      <c r="U809" s="1" t="s">
        <v>74</v>
      </c>
      <c r="V809" s="1" t="s">
        <v>7434</v>
      </c>
      <c r="W809" s="1" t="s">
        <v>74</v>
      </c>
      <c r="X809" s="1" t="s">
        <v>74</v>
      </c>
      <c r="Y809" s="1" t="s">
        <v>74</v>
      </c>
      <c r="Z809" s="1" t="s">
        <v>74</v>
      </c>
      <c r="AA809" s="1" t="s">
        <v>7435</v>
      </c>
      <c r="AB809" s="1" t="s">
        <v>7436</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7437</v>
      </c>
      <c r="AP809" s="1" t="s">
        <v>7438</v>
      </c>
      <c r="AQ809" s="1" t="s">
        <v>74</v>
      </c>
      <c r="AR809" s="1" t="s">
        <v>74</v>
      </c>
      <c r="AS809" s="1" t="s">
        <v>74</v>
      </c>
      <c r="AT809" s="1" t="s">
        <v>319</v>
      </c>
      <c r="AU809" s="1">
        <v>2001.0</v>
      </c>
      <c r="AV809" s="1">
        <v>168.0</v>
      </c>
      <c r="AW809" s="1" t="s">
        <v>74</v>
      </c>
      <c r="AX809" s="1" t="s">
        <v>74</v>
      </c>
      <c r="AY809" s="1" t="s">
        <v>74</v>
      </c>
      <c r="AZ809" s="1" t="s">
        <v>74</v>
      </c>
      <c r="BA809" s="1" t="s">
        <v>74</v>
      </c>
      <c r="BB809" s="1">
        <v>31.0</v>
      </c>
      <c r="BC809" s="1">
        <v>42.0</v>
      </c>
      <c r="BD809" s="1" t="s">
        <v>74</v>
      </c>
      <c r="BE809" s="1" t="s">
        <v>7439</v>
      </c>
      <c r="BF809" s="2" t="str">
        <f>HYPERLINK("http://dx.doi.org/10.1002/1521-3900(200103)168:1&lt;31::AID-MASY31&gt;3.0.CO;2-B","http://dx.doi.org/10.1002/1521-3900(200103)168:1&lt;31::AID-MASY31&gt;3.0.CO;2-B")</f>
        <v>http://dx.doi.org/10.1002/1521-3900(200103)168:1&lt;31::AID-MASY31&gt;3.0.CO;2-B</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7440</v>
      </c>
      <c r="BT809" s="1" t="str">
        <f>HYPERLINK("https%3A%2F%2Fwww.webofscience.com%2Fwos%2Fwoscc%2Ffull-record%2FWOS:000168550700004","View Full Record in Web of Science")</f>
        <v>View Full Record in Web of Science</v>
      </c>
    </row>
    <row r="810" ht="12.75" customHeight="1">
      <c r="A810" s="1" t="s">
        <v>72</v>
      </c>
      <c r="B810" s="1" t="s">
        <v>7441</v>
      </c>
      <c r="C810" s="1" t="s">
        <v>74</v>
      </c>
      <c r="D810" s="1" t="s">
        <v>74</v>
      </c>
      <c r="E810" s="1" t="s">
        <v>74</v>
      </c>
      <c r="F810" s="1" t="s">
        <v>7441</v>
      </c>
      <c r="G810" s="1" t="s">
        <v>74</v>
      </c>
      <c r="H810" s="1" t="s">
        <v>74</v>
      </c>
      <c r="I810" s="1" t="s">
        <v>7442</v>
      </c>
      <c r="J810" s="1" t="s">
        <v>7443</v>
      </c>
      <c r="K810" s="1" t="s">
        <v>74</v>
      </c>
      <c r="L810" s="1" t="s">
        <v>74</v>
      </c>
      <c r="M810" s="1" t="s">
        <v>74</v>
      </c>
      <c r="N810" s="1" t="s">
        <v>74</v>
      </c>
      <c r="O810" s="1" t="s">
        <v>7444</v>
      </c>
      <c r="P810" s="1" t="s">
        <v>7445</v>
      </c>
      <c r="Q810" s="1" t="s">
        <v>7446</v>
      </c>
      <c r="R810" s="1" t="s">
        <v>7447</v>
      </c>
      <c r="S810" s="1" t="s">
        <v>7448</v>
      </c>
      <c r="T810" s="1" t="s">
        <v>74</v>
      </c>
      <c r="U810" s="1" t="s">
        <v>74</v>
      </c>
      <c r="V810" s="1" t="s">
        <v>7449</v>
      </c>
      <c r="W810" s="1" t="s">
        <v>74</v>
      </c>
      <c r="X810" s="1" t="s">
        <v>74</v>
      </c>
      <c r="Y810" s="1" t="s">
        <v>74</v>
      </c>
      <c r="Z810" s="1" t="s">
        <v>74</v>
      </c>
      <c r="AA810" s="1" t="s">
        <v>7450</v>
      </c>
      <c r="AB810" s="1" t="s">
        <v>7451</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7158</v>
      </c>
      <c r="AP810" s="1" t="s">
        <v>74</v>
      </c>
      <c r="AQ810" s="1" t="s">
        <v>74</v>
      </c>
      <c r="AR810" s="1" t="s">
        <v>74</v>
      </c>
      <c r="AS810" s="1" t="s">
        <v>74</v>
      </c>
      <c r="AT810" s="1" t="s">
        <v>116</v>
      </c>
      <c r="AU810" s="1">
        <v>2000.0</v>
      </c>
      <c r="AV810" s="1">
        <v>284.0</v>
      </c>
      <c r="AW810" s="1" t="s">
        <v>74</v>
      </c>
      <c r="AX810" s="1">
        <v>2.0</v>
      </c>
      <c r="AY810" s="1" t="s">
        <v>74</v>
      </c>
      <c r="AZ810" s="1" t="s">
        <v>74</v>
      </c>
      <c r="BA810" s="1" t="s">
        <v>74</v>
      </c>
      <c r="BB810" s="1">
        <v>1211.0</v>
      </c>
      <c r="BC810" s="1">
        <v>1212.0</v>
      </c>
      <c r="BD810" s="1" t="s">
        <v>74</v>
      </c>
      <c r="BE810" s="1" t="s">
        <v>7452</v>
      </c>
      <c r="BF810" s="2" t="str">
        <f>HYPERLINK("http://dx.doi.org/10.1016/S0921-4526(99)02669-1","http://dx.doi.org/10.1016/S0921-4526(99)02669-1")</f>
        <v>http://dx.doi.org/10.1016/S0921-4526(99)02669-1</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7453</v>
      </c>
      <c r="BT810" s="1" t="str">
        <f>HYPERLINK("https%3A%2F%2Fwww.webofscience.com%2Fwos%2Fwoscc%2Ffull-record%2FWOS:000087423100045","View Full Record in Web of Science")</f>
        <v>View Full Record in Web of Science</v>
      </c>
    </row>
    <row r="811" ht="12.75" customHeight="1">
      <c r="A811" s="1" t="s">
        <v>72</v>
      </c>
      <c r="B811" s="1" t="s">
        <v>7454</v>
      </c>
      <c r="C811" s="1" t="s">
        <v>74</v>
      </c>
      <c r="D811" s="1" t="s">
        <v>74</v>
      </c>
      <c r="E811" s="1" t="s">
        <v>74</v>
      </c>
      <c r="F811" s="1" t="s">
        <v>7454</v>
      </c>
      <c r="G811" s="1" t="s">
        <v>74</v>
      </c>
      <c r="H811" s="1" t="s">
        <v>74</v>
      </c>
      <c r="I811" s="1" t="s">
        <v>7455</v>
      </c>
      <c r="J811" s="1" t="s">
        <v>7456</v>
      </c>
      <c r="K811" s="1" t="s">
        <v>74</v>
      </c>
      <c r="L811" s="1" t="s">
        <v>74</v>
      </c>
      <c r="M811" s="1" t="s">
        <v>74</v>
      </c>
      <c r="N811" s="1" t="s">
        <v>74</v>
      </c>
      <c r="O811" s="1" t="s">
        <v>74</v>
      </c>
      <c r="P811" s="1" t="s">
        <v>74</v>
      </c>
      <c r="Q811" s="1" t="s">
        <v>74</v>
      </c>
      <c r="R811" s="1" t="s">
        <v>74</v>
      </c>
      <c r="S811" s="1" t="s">
        <v>74</v>
      </c>
      <c r="T811" s="1" t="s">
        <v>74</v>
      </c>
      <c r="U811" s="1" t="s">
        <v>74</v>
      </c>
      <c r="V811" s="1" t="s">
        <v>7457</v>
      </c>
      <c r="W811" s="1" t="s">
        <v>74</v>
      </c>
      <c r="X811" s="1" t="s">
        <v>74</v>
      </c>
      <c r="Y811" s="1" t="s">
        <v>74</v>
      </c>
      <c r="Z811" s="1" t="s">
        <v>74</v>
      </c>
      <c r="AA811" s="1" t="s">
        <v>7458</v>
      </c>
      <c r="AB811" s="1" t="s">
        <v>7459</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7460</v>
      </c>
      <c r="AP811" s="1" t="s">
        <v>74</v>
      </c>
      <c r="AQ811" s="1" t="s">
        <v>74</v>
      </c>
      <c r="AR811" s="1" t="s">
        <v>74</v>
      </c>
      <c r="AS811" s="1" t="s">
        <v>74</v>
      </c>
      <c r="AT811" s="1" t="s">
        <v>183</v>
      </c>
      <c r="AU811" s="1">
        <v>2000.0</v>
      </c>
      <c r="AV811" s="1">
        <v>18.0</v>
      </c>
      <c r="AW811" s="1">
        <v>3.0</v>
      </c>
      <c r="AX811" s="1" t="s">
        <v>74</v>
      </c>
      <c r="AY811" s="1" t="s">
        <v>74</v>
      </c>
      <c r="AZ811" s="1" t="s">
        <v>74</v>
      </c>
      <c r="BA811" s="1" t="s">
        <v>74</v>
      </c>
      <c r="BB811" s="1">
        <v>249.0</v>
      </c>
      <c r="BC811" s="1">
        <v>254.0</v>
      </c>
      <c r="BD811" s="1" t="s">
        <v>74</v>
      </c>
      <c r="BE811" s="1" t="s">
        <v>74</v>
      </c>
      <c r="BF811" s="1" t="s">
        <v>74</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7461</v>
      </c>
      <c r="BT811" s="1" t="str">
        <f>HYPERLINK("https%3A%2F%2Fwww.webofscience.com%2Fwos%2Fwoscc%2Ffull-record%2FWOS:000086762200008","View Full Record in Web of Science")</f>
        <v>View Full Record in Web of Science</v>
      </c>
    </row>
    <row r="812" ht="12.75" customHeight="1">
      <c r="A812" s="1" t="s">
        <v>72</v>
      </c>
      <c r="B812" s="1" t="s">
        <v>7462</v>
      </c>
      <c r="C812" s="1" t="s">
        <v>74</v>
      </c>
      <c r="D812" s="1" t="s">
        <v>74</v>
      </c>
      <c r="E812" s="1" t="s">
        <v>74</v>
      </c>
      <c r="F812" s="1" t="s">
        <v>7462</v>
      </c>
      <c r="G812" s="1" t="s">
        <v>74</v>
      </c>
      <c r="H812" s="1" t="s">
        <v>74</v>
      </c>
      <c r="I812" s="1" t="s">
        <v>7463</v>
      </c>
      <c r="J812" s="1" t="s">
        <v>7464</v>
      </c>
      <c r="K812" s="1" t="s">
        <v>74</v>
      </c>
      <c r="L812" s="1" t="s">
        <v>74</v>
      </c>
      <c r="M812" s="1" t="s">
        <v>74</v>
      </c>
      <c r="N812" s="1" t="s">
        <v>74</v>
      </c>
      <c r="O812" s="1" t="s">
        <v>74</v>
      </c>
      <c r="P812" s="1" t="s">
        <v>74</v>
      </c>
      <c r="Q812" s="1" t="s">
        <v>74</v>
      </c>
      <c r="R812" s="1" t="s">
        <v>74</v>
      </c>
      <c r="S812" s="1" t="s">
        <v>74</v>
      </c>
      <c r="T812" s="1" t="s">
        <v>74</v>
      </c>
      <c r="U812" s="1" t="s">
        <v>74</v>
      </c>
      <c r="V812" s="1" t="s">
        <v>7465</v>
      </c>
      <c r="W812" s="1" t="s">
        <v>74</v>
      </c>
      <c r="X812" s="1" t="s">
        <v>74</v>
      </c>
      <c r="Y812" s="1" t="s">
        <v>74</v>
      </c>
      <c r="Z812" s="1" t="s">
        <v>74</v>
      </c>
      <c r="AA812" s="1" t="s">
        <v>7466</v>
      </c>
      <c r="AB812" s="1" t="s">
        <v>3042</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7467</v>
      </c>
      <c r="AP812" s="1" t="s">
        <v>74</v>
      </c>
      <c r="AQ812" s="1" t="s">
        <v>74</v>
      </c>
      <c r="AR812" s="1" t="s">
        <v>74</v>
      </c>
      <c r="AS812" s="1" t="s">
        <v>74</v>
      </c>
      <c r="AT812" s="1" t="s">
        <v>174</v>
      </c>
      <c r="AU812" s="1">
        <v>1999.0</v>
      </c>
      <c r="AV812" s="1" t="s">
        <v>74</v>
      </c>
      <c r="AW812" s="1">
        <v>4.0</v>
      </c>
      <c r="AX812" s="1" t="s">
        <v>74</v>
      </c>
      <c r="AY812" s="1" t="s">
        <v>74</v>
      </c>
      <c r="AZ812" s="1" t="s">
        <v>74</v>
      </c>
      <c r="BA812" s="1" t="s">
        <v>74</v>
      </c>
      <c r="BB812" s="1">
        <v>713.0</v>
      </c>
      <c r="BC812" s="1">
        <v>717.0</v>
      </c>
      <c r="BD812" s="1" t="s">
        <v>74</v>
      </c>
      <c r="BE812" s="1" t="s">
        <v>7468</v>
      </c>
      <c r="BF812" s="2" t="str">
        <f>HYPERLINK("http://dx.doi.org/10.1039/a900470j","http://dx.doi.org/10.1039/a900470j")</f>
        <v>http://dx.doi.org/10.1039/a900470j</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7469</v>
      </c>
      <c r="BT812" s="1" t="str">
        <f>HYPERLINK("https%3A%2F%2Fwww.webofscience.com%2Fwos%2Fwoscc%2Ffull-record%2FWOS:000079747400007","View Full Record in Web of Science")</f>
        <v>View Full Record in Web of Science</v>
      </c>
    </row>
    <row r="813" ht="12.75" customHeight="1">
      <c r="A813" s="1" t="s">
        <v>72</v>
      </c>
      <c r="B813" s="1" t="s">
        <v>7470</v>
      </c>
      <c r="C813" s="1" t="s">
        <v>74</v>
      </c>
      <c r="D813" s="1" t="s">
        <v>74</v>
      </c>
      <c r="E813" s="1" t="s">
        <v>74</v>
      </c>
      <c r="F813" s="1" t="s">
        <v>7470</v>
      </c>
      <c r="G813" s="1" t="s">
        <v>74</v>
      </c>
      <c r="H813" s="1" t="s">
        <v>74</v>
      </c>
      <c r="I813" s="1" t="s">
        <v>7471</v>
      </c>
      <c r="J813" s="1" t="s">
        <v>1042</v>
      </c>
      <c r="K813" s="1" t="s">
        <v>74</v>
      </c>
      <c r="L813" s="1" t="s">
        <v>74</v>
      </c>
      <c r="M813" s="1" t="s">
        <v>74</v>
      </c>
      <c r="N813" s="1" t="s">
        <v>74</v>
      </c>
      <c r="O813" s="1" t="s">
        <v>74</v>
      </c>
      <c r="P813" s="1" t="s">
        <v>74</v>
      </c>
      <c r="Q813" s="1" t="s">
        <v>74</v>
      </c>
      <c r="R813" s="1" t="s">
        <v>74</v>
      </c>
      <c r="S813" s="1" t="s">
        <v>74</v>
      </c>
      <c r="T813" s="1" t="s">
        <v>74</v>
      </c>
      <c r="U813" s="1" t="s">
        <v>74</v>
      </c>
      <c r="V813" s="1" t="s">
        <v>7472</v>
      </c>
      <c r="W813" s="1" t="s">
        <v>74</v>
      </c>
      <c r="X813" s="1" t="s">
        <v>74</v>
      </c>
      <c r="Y813" s="1" t="s">
        <v>74</v>
      </c>
      <c r="Z813" s="1" t="s">
        <v>74</v>
      </c>
      <c r="AA813" s="1" t="s">
        <v>7473</v>
      </c>
      <c r="AB813" s="1" t="s">
        <v>7474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1043</v>
      </c>
      <c r="AP813" s="1" t="s">
        <v>74</v>
      </c>
      <c r="AQ813" s="1" t="s">
        <v>74</v>
      </c>
      <c r="AR813" s="1" t="s">
        <v>74</v>
      </c>
      <c r="AS813" s="1" t="s">
        <v>74</v>
      </c>
      <c r="AT813" s="1" t="s">
        <v>106</v>
      </c>
      <c r="AU813" s="1">
        <v>1998.0</v>
      </c>
      <c r="AV813" s="1">
        <v>43.0</v>
      </c>
      <c r="AW813" s="1">
        <v>3.0</v>
      </c>
      <c r="AX813" s="1" t="s">
        <v>74</v>
      </c>
      <c r="AY813" s="1" t="s">
        <v>74</v>
      </c>
      <c r="AZ813" s="1" t="s">
        <v>74</v>
      </c>
      <c r="BA813" s="1" t="s">
        <v>74</v>
      </c>
      <c r="BB813" s="1">
        <v>281.0</v>
      </c>
      <c r="BC813" s="1">
        <v>285.0</v>
      </c>
      <c r="BD813" s="1" t="s">
        <v>74</v>
      </c>
      <c r="BE813" s="1" t="s">
        <v>74</v>
      </c>
      <c r="BF813" s="1" t="s">
        <v>74</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7475</v>
      </c>
      <c r="BT813" s="1" t="str">
        <f>HYPERLINK("https%3A%2F%2Fwww.webofscience.com%2Fwos%2Fwoscc%2Ffull-record%2FWOS:000076339000006","View Full Record in Web of Science")</f>
        <v>View Full Record in Web of Science</v>
      </c>
    </row>
    <row r="814" ht="12.75" customHeight="1">
      <c r="A814" s="1" t="s">
        <v>72</v>
      </c>
      <c r="B814" s="1" t="s">
        <v>7476</v>
      </c>
      <c r="C814" s="1" t="s">
        <v>74</v>
      </c>
      <c r="D814" s="1" t="s">
        <v>74</v>
      </c>
      <c r="E814" s="1" t="s">
        <v>74</v>
      </c>
      <c r="F814" s="1" t="s">
        <v>7476</v>
      </c>
      <c r="G814" s="1" t="s">
        <v>74</v>
      </c>
      <c r="H814" s="1" t="s">
        <v>74</v>
      </c>
      <c r="I814" s="1" t="s">
        <v>7477</v>
      </c>
      <c r="J814" s="1" t="s">
        <v>7478</v>
      </c>
      <c r="K814" s="1" t="s">
        <v>74</v>
      </c>
      <c r="L814" s="1" t="s">
        <v>74</v>
      </c>
      <c r="M814" s="1" t="s">
        <v>74</v>
      </c>
      <c r="N814" s="1" t="s">
        <v>74</v>
      </c>
      <c r="O814" s="1" t="s">
        <v>74</v>
      </c>
      <c r="P814" s="1" t="s">
        <v>74</v>
      </c>
      <c r="Q814" s="1" t="s">
        <v>74</v>
      </c>
      <c r="R814" s="1" t="s">
        <v>74</v>
      </c>
      <c r="S814" s="1" t="s">
        <v>74</v>
      </c>
      <c r="T814" s="1" t="s">
        <v>74</v>
      </c>
      <c r="U814" s="1" t="s">
        <v>74</v>
      </c>
      <c r="V814" s="1" t="s">
        <v>74</v>
      </c>
      <c r="W814" s="1" t="s">
        <v>74</v>
      </c>
      <c r="X814" s="1" t="s">
        <v>74</v>
      </c>
      <c r="Y814" s="1" t="s">
        <v>74</v>
      </c>
      <c r="Z814" s="1" t="s">
        <v>74</v>
      </c>
      <c r="AA814" s="1" t="s">
        <v>4288</v>
      </c>
      <c r="AB814" s="1" t="s">
        <v>7479</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7480</v>
      </c>
      <c r="AP814" s="1" t="s">
        <v>74</v>
      </c>
      <c r="AQ814" s="1" t="s">
        <v>74</v>
      </c>
      <c r="AR814" s="1" t="s">
        <v>74</v>
      </c>
      <c r="AS814" s="1" t="s">
        <v>74</v>
      </c>
      <c r="AT814" s="1" t="s">
        <v>7481</v>
      </c>
      <c r="AU814" s="1">
        <v>1988.0</v>
      </c>
      <c r="AV814" s="1">
        <v>131.0</v>
      </c>
      <c r="AW814" s="1" t="s">
        <v>7482</v>
      </c>
      <c r="AX814" s="1" t="s">
        <v>74</v>
      </c>
      <c r="AY814" s="1" t="s">
        <v>74</v>
      </c>
      <c r="AZ814" s="1" t="s">
        <v>74</v>
      </c>
      <c r="BA814" s="1" t="s">
        <v>74</v>
      </c>
      <c r="BB814" s="1">
        <v>445.0</v>
      </c>
      <c r="BC814" s="1">
        <v>448.0</v>
      </c>
      <c r="BD814" s="1" t="s">
        <v>74</v>
      </c>
      <c r="BE814" s="1" t="s">
        <v>7483</v>
      </c>
      <c r="BF814" s="2" t="str">
        <f>HYPERLINK("http://dx.doi.org/10.1016/0375-9601(88)90298-8","http://dx.doi.org/10.1016/0375-9601(88)90298-8")</f>
        <v>http://dx.doi.org/10.1016/0375-9601(88)90298-8</v>
      </c>
      <c r="BG814" s="1" t="s">
        <v>74</v>
      </c>
      <c r="BH814" s="1" t="s">
        <v>74</v>
      </c>
      <c r="BI814" s="1" t="s">
        <v>74</v>
      </c>
      <c r="BJ814" s="1" t="s">
        <v>74</v>
      </c>
      <c r="BK814" s="1" t="s">
        <v>74</v>
      </c>
      <c r="BL814" s="1" t="s">
        <v>74</v>
      </c>
      <c r="BM814" s="1" t="s">
        <v>74</v>
      </c>
      <c r="BN814" s="1" t="s">
        <v>74</v>
      </c>
      <c r="BO814" s="1" t="s">
        <v>74</v>
      </c>
      <c r="BP814" s="1" t="s">
        <v>74</v>
      </c>
      <c r="BQ814" s="1" t="s">
        <v>74</v>
      </c>
      <c r="BR814" s="1" t="s">
        <v>74</v>
      </c>
      <c r="BS814" s="1" t="s">
        <v>7484</v>
      </c>
      <c r="BT814" s="1" t="str">
        <f>HYPERLINK("https%3A%2F%2Fwww.webofscience.com%2Fwos%2Fwoscc%2Ffull-record%2FWOS:A1988Q132900010","View Full Record in Web of Science")</f>
        <v>View Full Record in Web of Science</v>
      </c>
    </row>
    <row r="815" ht="12.75" customHeight="1">
      <c r="A815" s="1" t="s">
        <v>72</v>
      </c>
      <c r="B815" s="1" t="s">
        <v>7485</v>
      </c>
      <c r="C815" s="1" t="s">
        <v>74</v>
      </c>
      <c r="D815" s="1" t="s">
        <v>74</v>
      </c>
      <c r="E815" s="1" t="s">
        <v>74</v>
      </c>
      <c r="F815" s="1" t="s">
        <v>7485</v>
      </c>
      <c r="G815" s="1" t="s">
        <v>74</v>
      </c>
      <c r="H815" s="1" t="s">
        <v>74</v>
      </c>
      <c r="I815" s="1" t="s">
        <v>7486</v>
      </c>
      <c r="J815" s="1" t="s">
        <v>7487</v>
      </c>
      <c r="K815" s="1" t="s">
        <v>74</v>
      </c>
      <c r="L815" s="1" t="s">
        <v>74</v>
      </c>
      <c r="M815" s="1" t="s">
        <v>74</v>
      </c>
      <c r="N815" s="1" t="s">
        <v>74</v>
      </c>
      <c r="O815" s="1" t="s">
        <v>74</v>
      </c>
      <c r="P815" s="1" t="s">
        <v>74</v>
      </c>
      <c r="Q815" s="1" t="s">
        <v>74</v>
      </c>
      <c r="R815" s="1" t="s">
        <v>74</v>
      </c>
      <c r="S815" s="1" t="s">
        <v>74</v>
      </c>
      <c r="T815" s="1" t="s">
        <v>74</v>
      </c>
      <c r="U815" s="1" t="s">
        <v>74</v>
      </c>
      <c r="V815" s="1" t="s">
        <v>74</v>
      </c>
      <c r="W815" s="1" t="s">
        <v>74</v>
      </c>
      <c r="X815" s="1" t="s">
        <v>74</v>
      </c>
      <c r="Y815" s="1" t="s">
        <v>74</v>
      </c>
      <c r="Z815" s="1" t="s">
        <v>74</v>
      </c>
      <c r="AA815" s="1" t="s">
        <v>74</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7488</v>
      </c>
      <c r="AP815" s="1" t="s">
        <v>74</v>
      </c>
      <c r="AQ815" s="1" t="s">
        <v>74</v>
      </c>
      <c r="AR815" s="1" t="s">
        <v>74</v>
      </c>
      <c r="AS815" s="1" t="s">
        <v>74</v>
      </c>
      <c r="AT815" s="1" t="s">
        <v>74</v>
      </c>
      <c r="AU815" s="1">
        <v>1985.0</v>
      </c>
      <c r="AV815" s="1">
        <v>18.0</v>
      </c>
      <c r="AW815" s="1">
        <v>2.0</v>
      </c>
      <c r="AX815" s="1" t="s">
        <v>74</v>
      </c>
      <c r="AY815" s="1" t="s">
        <v>74</v>
      </c>
      <c r="AZ815" s="1" t="s">
        <v>74</v>
      </c>
      <c r="BA815" s="1" t="s">
        <v>74</v>
      </c>
      <c r="BB815" s="1" t="s">
        <v>7489</v>
      </c>
      <c r="BC815" s="1" t="s">
        <v>7489</v>
      </c>
      <c r="BD815" s="1" t="s">
        <v>74</v>
      </c>
      <c r="BE815" s="1" t="s">
        <v>74</v>
      </c>
      <c r="BF815" s="1" t="s">
        <v>74</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7490</v>
      </c>
      <c r="BT815" s="1" t="str">
        <f>HYPERLINK("https%3A%2F%2Fwww.webofscience.com%2Fwos%2Fwoscc%2Ffull-record%2FWOS:A1985AVC7500255","View Full Record in Web of Science")</f>
        <v>View Full Record in Web of Science</v>
      </c>
    </row>
    <row r="816" ht="12.75" customHeight="1">
      <c r="A816" s="1" t="s">
        <v>72</v>
      </c>
      <c r="B816" s="1" t="s">
        <v>7491</v>
      </c>
      <c r="C816" s="1" t="s">
        <v>74</v>
      </c>
      <c r="D816" s="1" t="s">
        <v>74</v>
      </c>
      <c r="E816" s="1" t="s">
        <v>74</v>
      </c>
      <c r="F816" s="1" t="s">
        <v>7492</v>
      </c>
      <c r="G816" s="1" t="s">
        <v>74</v>
      </c>
      <c r="H816" s="1" t="s">
        <v>74</v>
      </c>
      <c r="I816" s="1" t="s">
        <v>7493</v>
      </c>
      <c r="J816" s="1" t="s">
        <v>7494</v>
      </c>
      <c r="K816" s="1" t="s">
        <v>74</v>
      </c>
      <c r="L816" s="1" t="s">
        <v>74</v>
      </c>
      <c r="M816" s="1" t="s">
        <v>74</v>
      </c>
      <c r="N816" s="1" t="s">
        <v>74</v>
      </c>
      <c r="O816" s="1" t="s">
        <v>74</v>
      </c>
      <c r="P816" s="1" t="s">
        <v>74</v>
      </c>
      <c r="Q816" s="1" t="s">
        <v>74</v>
      </c>
      <c r="R816" s="1" t="s">
        <v>74</v>
      </c>
      <c r="S816" s="1" t="s">
        <v>74</v>
      </c>
      <c r="T816" s="1" t="s">
        <v>74</v>
      </c>
      <c r="U816" s="1" t="s">
        <v>74</v>
      </c>
      <c r="V816" s="1" t="s">
        <v>7495</v>
      </c>
      <c r="W816" s="1" t="s">
        <v>74</v>
      </c>
      <c r="X816" s="1" t="s">
        <v>74</v>
      </c>
      <c r="Y816" s="1" t="s">
        <v>74</v>
      </c>
      <c r="Z816" s="1" t="s">
        <v>74</v>
      </c>
      <c r="AA816" s="1" t="s">
        <v>7496</v>
      </c>
      <c r="AB816" s="1" t="s">
        <v>7497</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7498</v>
      </c>
      <c r="AP816" s="1" t="s">
        <v>7499</v>
      </c>
      <c r="AQ816" s="1" t="s">
        <v>74</v>
      </c>
      <c r="AR816" s="1" t="s">
        <v>74</v>
      </c>
      <c r="AS816" s="1" t="s">
        <v>74</v>
      </c>
      <c r="AT816" s="1" t="s">
        <v>4578</v>
      </c>
      <c r="AU816" s="1">
        <v>2024.0</v>
      </c>
      <c r="AV816" s="1">
        <v>236.0</v>
      </c>
      <c r="AW816" s="1" t="s">
        <v>74</v>
      </c>
      <c r="AX816" s="1" t="s">
        <v>74</v>
      </c>
      <c r="AY816" s="1" t="s">
        <v>74</v>
      </c>
      <c r="AZ816" s="1" t="s">
        <v>74</v>
      </c>
      <c r="BA816" s="1" t="s">
        <v>74</v>
      </c>
      <c r="BB816" s="1" t="s">
        <v>74</v>
      </c>
      <c r="BC816" s="1" t="s">
        <v>74</v>
      </c>
      <c r="BD816" s="1">
        <v>104168.0</v>
      </c>
      <c r="BE816" s="1" t="s">
        <v>7500</v>
      </c>
      <c r="BF816" s="2" t="str">
        <f>HYPERLINK("http://dx.doi.org/10.1016/j.finel.2024.104168","http://dx.doi.org/10.1016/j.finel.2024.104168")</f>
        <v>http://dx.doi.org/10.1016/j.finel.2024.104168</v>
      </c>
      <c r="BG816" s="1" t="s">
        <v>74</v>
      </c>
      <c r="BH816" s="1" t="s">
        <v>7501</v>
      </c>
      <c r="BI816" s="1" t="s">
        <v>74</v>
      </c>
      <c r="BJ816" s="1" t="s">
        <v>74</v>
      </c>
      <c r="BK816" s="1" t="s">
        <v>74</v>
      </c>
      <c r="BL816" s="1" t="s">
        <v>74</v>
      </c>
      <c r="BM816" s="1" t="s">
        <v>74</v>
      </c>
      <c r="BN816" s="1" t="s">
        <v>74</v>
      </c>
      <c r="BO816" s="1" t="s">
        <v>74</v>
      </c>
      <c r="BP816" s="1" t="s">
        <v>74</v>
      </c>
      <c r="BQ816" s="1" t="s">
        <v>74</v>
      </c>
      <c r="BR816" s="1" t="s">
        <v>74</v>
      </c>
      <c r="BS816" s="1" t="s">
        <v>7502</v>
      </c>
      <c r="BT816" s="1" t="str">
        <f>HYPERLINK("https%3A%2F%2Fwww.webofscience.com%2Fwos%2Fwoscc%2Ffull-record%2FWOS:001345676300001","View Full Record in Web of Science")</f>
        <v>View Full Record in Web of Science</v>
      </c>
    </row>
    <row r="817" ht="12.75" customHeight="1">
      <c r="A817" s="1" t="s">
        <v>72</v>
      </c>
      <c r="B817" s="1" t="s">
        <v>7503</v>
      </c>
      <c r="C817" s="1" t="s">
        <v>74</v>
      </c>
      <c r="D817" s="1" t="s">
        <v>74</v>
      </c>
      <c r="E817" s="1" t="s">
        <v>74</v>
      </c>
      <c r="F817" s="1" t="s">
        <v>7504</v>
      </c>
      <c r="G817" s="1" t="s">
        <v>74</v>
      </c>
      <c r="H817" s="1" t="s">
        <v>74</v>
      </c>
      <c r="I817" s="1" t="s">
        <v>7505</v>
      </c>
      <c r="J817" s="1" t="s">
        <v>2677</v>
      </c>
      <c r="K817" s="1" t="s">
        <v>74</v>
      </c>
      <c r="L817" s="1" t="s">
        <v>74</v>
      </c>
      <c r="M817" s="1" t="s">
        <v>74</v>
      </c>
      <c r="N817" s="1" t="s">
        <v>74</v>
      </c>
      <c r="O817" s="1" t="s">
        <v>74</v>
      </c>
      <c r="P817" s="1" t="s">
        <v>74</v>
      </c>
      <c r="Q817" s="1" t="s">
        <v>74</v>
      </c>
      <c r="R817" s="1" t="s">
        <v>74</v>
      </c>
      <c r="S817" s="1" t="s">
        <v>74</v>
      </c>
      <c r="T817" s="1" t="s">
        <v>74</v>
      </c>
      <c r="U817" s="1" t="s">
        <v>74</v>
      </c>
      <c r="V817" s="1" t="s">
        <v>7506</v>
      </c>
      <c r="W817" s="1" t="s">
        <v>74</v>
      </c>
      <c r="X817" s="1" t="s">
        <v>74</v>
      </c>
      <c r="Y817" s="1" t="s">
        <v>74</v>
      </c>
      <c r="Z817" s="1" t="s">
        <v>74</v>
      </c>
      <c r="AA817" s="1" t="s">
        <v>2006</v>
      </c>
      <c r="AB817" s="1" t="s">
        <v>2007</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2681</v>
      </c>
      <c r="AP817" s="1" t="s">
        <v>2682</v>
      </c>
      <c r="AQ817" s="1" t="s">
        <v>74</v>
      </c>
      <c r="AR817" s="1" t="s">
        <v>74</v>
      </c>
      <c r="AS817" s="1" t="s">
        <v>74</v>
      </c>
      <c r="AT817" s="1" t="s">
        <v>800</v>
      </c>
      <c r="AU817" s="1">
        <v>2024.0</v>
      </c>
      <c r="AV817" s="1">
        <v>109.0</v>
      </c>
      <c r="AW817" s="1">
        <v>8.0</v>
      </c>
      <c r="AX817" s="1" t="s">
        <v>74</v>
      </c>
      <c r="AY817" s="1" t="s">
        <v>74</v>
      </c>
      <c r="AZ817" s="1" t="s">
        <v>74</v>
      </c>
      <c r="BA817" s="1" t="s">
        <v>74</v>
      </c>
      <c r="BB817" s="1" t="s">
        <v>74</v>
      </c>
      <c r="BC817" s="1" t="s">
        <v>74</v>
      </c>
      <c r="BD817" s="1">
        <v>85011.0</v>
      </c>
      <c r="BE817" s="1" t="s">
        <v>7507</v>
      </c>
      <c r="BF817" s="2" t="str">
        <f>HYPERLINK("http://dx.doi.org/10.1103/PhysRevD.109.085011","http://dx.doi.org/10.1103/PhysRevD.109.085011")</f>
        <v>http://dx.doi.org/10.1103/PhysRevD.109.085011</v>
      </c>
      <c r="BG817" s="1" t="s">
        <v>74</v>
      </c>
      <c r="BH817" s="1" t="s">
        <v>74</v>
      </c>
      <c r="BI817" s="1" t="s">
        <v>74</v>
      </c>
      <c r="BJ817" s="1" t="s">
        <v>74</v>
      </c>
      <c r="BK817" s="1" t="s">
        <v>74</v>
      </c>
      <c r="BL817" s="1" t="s">
        <v>74</v>
      </c>
      <c r="BM817" s="1" t="s">
        <v>74</v>
      </c>
      <c r="BN817" s="1" t="s">
        <v>74</v>
      </c>
      <c r="BO817" s="1" t="s">
        <v>74</v>
      </c>
      <c r="BP817" s="1" t="s">
        <v>74</v>
      </c>
      <c r="BQ817" s="1" t="s">
        <v>74</v>
      </c>
      <c r="BR817" s="1" t="s">
        <v>74</v>
      </c>
      <c r="BS817" s="1" t="s">
        <v>7508</v>
      </c>
      <c r="BT817" s="1" t="str">
        <f>HYPERLINK("https%3A%2F%2Fwww.webofscience.com%2Fwos%2Fwoscc%2Ffull-record%2FWOS:001222484500009","View Full Record in Web of Science")</f>
        <v>View Full Record in Web of Science</v>
      </c>
    </row>
    <row r="818" ht="12.75" customHeight="1">
      <c r="A818" s="1" t="s">
        <v>72</v>
      </c>
      <c r="B818" s="1" t="s">
        <v>7509</v>
      </c>
      <c r="C818" s="1" t="s">
        <v>74</v>
      </c>
      <c r="D818" s="1" t="s">
        <v>74</v>
      </c>
      <c r="E818" s="1" t="s">
        <v>74</v>
      </c>
      <c r="F818" s="1" t="s">
        <v>7510</v>
      </c>
      <c r="G818" s="1" t="s">
        <v>74</v>
      </c>
      <c r="H818" s="1" t="s">
        <v>74</v>
      </c>
      <c r="I818" s="1" t="s">
        <v>7511</v>
      </c>
      <c r="J818" s="1" t="s">
        <v>7512</v>
      </c>
      <c r="K818" s="1" t="s">
        <v>74</v>
      </c>
      <c r="L818" s="1" t="s">
        <v>74</v>
      </c>
      <c r="M818" s="1" t="s">
        <v>74</v>
      </c>
      <c r="N818" s="1" t="s">
        <v>74</v>
      </c>
      <c r="O818" s="1" t="s">
        <v>74</v>
      </c>
      <c r="P818" s="1" t="s">
        <v>74</v>
      </c>
      <c r="Q818" s="1" t="s">
        <v>74</v>
      </c>
      <c r="R818" s="1" t="s">
        <v>74</v>
      </c>
      <c r="S818" s="1" t="s">
        <v>74</v>
      </c>
      <c r="T818" s="1" t="s">
        <v>74</v>
      </c>
      <c r="U818" s="1" t="s">
        <v>74</v>
      </c>
      <c r="V818" s="1" t="s">
        <v>7513</v>
      </c>
      <c r="W818" s="1" t="s">
        <v>74</v>
      </c>
      <c r="X818" s="1" t="s">
        <v>74</v>
      </c>
      <c r="Y818" s="1" t="s">
        <v>74</v>
      </c>
      <c r="Z818" s="1" t="s">
        <v>74</v>
      </c>
      <c r="AA818" s="1" t="s">
        <v>7514</v>
      </c>
      <c r="AB818" s="1" t="s">
        <v>7515</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7516</v>
      </c>
      <c r="AP818" s="1" t="s">
        <v>7517</v>
      </c>
      <c r="AQ818" s="1" t="s">
        <v>74</v>
      </c>
      <c r="AR818" s="1" t="s">
        <v>74</v>
      </c>
      <c r="AS818" s="1" t="s">
        <v>74</v>
      </c>
      <c r="AT818" s="1" t="s">
        <v>74</v>
      </c>
      <c r="AU818" s="1">
        <v>2024.0</v>
      </c>
      <c r="AV818" s="1">
        <v>109.0</v>
      </c>
      <c r="AW818" s="1">
        <v>1.0</v>
      </c>
      <c r="AX818" s="1" t="s">
        <v>74</v>
      </c>
      <c r="AY818" s="1" t="s">
        <v>74</v>
      </c>
      <c r="AZ818" s="1" t="s">
        <v>74</v>
      </c>
      <c r="BA818" s="1" t="s">
        <v>74</v>
      </c>
      <c r="BB818" s="1" t="s">
        <v>74</v>
      </c>
      <c r="BC818" s="1" t="s">
        <v>74</v>
      </c>
      <c r="BD818" s="1" t="s">
        <v>7518</v>
      </c>
      <c r="BE818" s="1" t="s">
        <v>7519</v>
      </c>
      <c r="BF818" s="2" t="str">
        <f>HYPERLINK("http://dx.doi.org/10.5565/rev/papers.3114","http://dx.doi.org/10.5565/rev/papers.3114")</f>
        <v>http://dx.doi.org/10.5565/rev/papers.3114</v>
      </c>
      <c r="BG818" s="1" t="s">
        <v>74</v>
      </c>
      <c r="BH818" s="1" t="s">
        <v>74</v>
      </c>
      <c r="BI818" s="1" t="s">
        <v>74</v>
      </c>
      <c r="BJ818" s="1" t="s">
        <v>74</v>
      </c>
      <c r="BK818" s="1" t="s">
        <v>74</v>
      </c>
      <c r="BL818" s="1" t="s">
        <v>74</v>
      </c>
      <c r="BM818" s="1" t="s">
        <v>74</v>
      </c>
      <c r="BN818" s="1" t="s">
        <v>74</v>
      </c>
      <c r="BO818" s="1" t="s">
        <v>74</v>
      </c>
      <c r="BP818" s="1" t="s">
        <v>74</v>
      </c>
      <c r="BQ818" s="1" t="s">
        <v>74</v>
      </c>
      <c r="BR818" s="1" t="s">
        <v>74</v>
      </c>
      <c r="BS818" s="1" t="s">
        <v>7520</v>
      </c>
      <c r="BT818" s="1" t="str">
        <f>HYPERLINK("https%3A%2F%2Fwww.webofscience.com%2Fwos%2Fwoscc%2Ffull-record%2FWOS:001240039700006","View Full Record in Web of Science")</f>
        <v>View Full Record in Web of Science</v>
      </c>
    </row>
    <row r="819" ht="12.75" customHeight="1">
      <c r="A819" s="1" t="s">
        <v>72</v>
      </c>
      <c r="B819" s="1" t="s">
        <v>7521</v>
      </c>
      <c r="C819" s="1" t="s">
        <v>74</v>
      </c>
      <c r="D819" s="1" t="s">
        <v>74</v>
      </c>
      <c r="E819" s="1" t="s">
        <v>74</v>
      </c>
      <c r="F819" s="1" t="s">
        <v>7522</v>
      </c>
      <c r="G819" s="1" t="s">
        <v>74</v>
      </c>
      <c r="H819" s="1" t="s">
        <v>74</v>
      </c>
      <c r="I819" s="1" t="s">
        <v>7523</v>
      </c>
      <c r="J819" s="1" t="s">
        <v>7524</v>
      </c>
      <c r="K819" s="1" t="s">
        <v>74</v>
      </c>
      <c r="L819" s="1" t="s">
        <v>74</v>
      </c>
      <c r="M819" s="1" t="s">
        <v>74</v>
      </c>
      <c r="N819" s="1" t="s">
        <v>74</v>
      </c>
      <c r="O819" s="1" t="s">
        <v>74</v>
      </c>
      <c r="P819" s="1" t="s">
        <v>74</v>
      </c>
      <c r="Q819" s="1" t="s">
        <v>74</v>
      </c>
      <c r="R819" s="1" t="s">
        <v>74</v>
      </c>
      <c r="S819" s="1" t="s">
        <v>74</v>
      </c>
      <c r="T819" s="1" t="s">
        <v>74</v>
      </c>
      <c r="U819" s="1" t="s">
        <v>74</v>
      </c>
      <c r="V819" s="1" t="s">
        <v>7525</v>
      </c>
      <c r="W819" s="1" t="s">
        <v>74</v>
      </c>
      <c r="X819" s="1" t="s">
        <v>74</v>
      </c>
      <c r="Y819" s="1" t="s">
        <v>74</v>
      </c>
      <c r="Z819" s="1" t="s">
        <v>74</v>
      </c>
      <c r="AA819" s="1" t="s">
        <v>7526</v>
      </c>
      <c r="AB819" s="1" t="s">
        <v>74</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74</v>
      </c>
      <c r="AP819" s="1" t="s">
        <v>7527</v>
      </c>
      <c r="AQ819" s="1" t="s">
        <v>74</v>
      </c>
      <c r="AR819" s="1" t="s">
        <v>74</v>
      </c>
      <c r="AS819" s="1" t="s">
        <v>74</v>
      </c>
      <c r="AT819" s="1" t="s">
        <v>680</v>
      </c>
      <c r="AU819" s="1">
        <v>2024.0</v>
      </c>
      <c r="AV819" s="1">
        <v>79.0</v>
      </c>
      <c r="AW819" s="1">
        <v>1.0</v>
      </c>
      <c r="AX819" s="1" t="s">
        <v>74</v>
      </c>
      <c r="AY819" s="1" t="s">
        <v>74</v>
      </c>
      <c r="AZ819" s="1" t="s">
        <v>74</v>
      </c>
      <c r="BA819" s="1" t="s">
        <v>74</v>
      </c>
      <c r="BB819" s="1" t="s">
        <v>74</v>
      </c>
      <c r="BC819" s="1" t="s">
        <v>74</v>
      </c>
      <c r="BD819" s="1">
        <v>4.0</v>
      </c>
      <c r="BE819" s="1" t="s">
        <v>7528</v>
      </c>
      <c r="BF819" s="2" t="str">
        <f>HYPERLINK("http://dx.doi.org/10.3989/dra.2024.004","http://dx.doi.org/10.3989/dra.2024.004")</f>
        <v>http://dx.doi.org/10.3989/dra.2024.004</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7529</v>
      </c>
      <c r="BT819" s="1" t="str">
        <f>HYPERLINK("https%3A%2F%2Fwww.webofscience.com%2Fwos%2Fwoscc%2Ffull-record%2FWOS:001344185600005","View Full Record in Web of Science")</f>
        <v>View Full Record in Web of Science</v>
      </c>
    </row>
    <row r="820" ht="12.75" customHeight="1">
      <c r="A820" s="1" t="s">
        <v>72</v>
      </c>
      <c r="B820" s="1" t="s">
        <v>7530</v>
      </c>
      <c r="C820" s="1" t="s">
        <v>74</v>
      </c>
      <c r="D820" s="1" t="s">
        <v>74</v>
      </c>
      <c r="E820" s="1" t="s">
        <v>74</v>
      </c>
      <c r="F820" s="1" t="s">
        <v>7531</v>
      </c>
      <c r="G820" s="1" t="s">
        <v>74</v>
      </c>
      <c r="H820" s="1" t="s">
        <v>74</v>
      </c>
      <c r="I820" s="1" t="s">
        <v>7532</v>
      </c>
      <c r="J820" s="1" t="s">
        <v>7533</v>
      </c>
      <c r="K820" s="1" t="s">
        <v>74</v>
      </c>
      <c r="L820" s="1" t="s">
        <v>74</v>
      </c>
      <c r="M820" s="1" t="s">
        <v>74</v>
      </c>
      <c r="N820" s="1" t="s">
        <v>74</v>
      </c>
      <c r="O820" s="1" t="s">
        <v>74</v>
      </c>
      <c r="P820" s="1" t="s">
        <v>74</v>
      </c>
      <c r="Q820" s="1" t="s">
        <v>74</v>
      </c>
      <c r="R820" s="1" t="s">
        <v>74</v>
      </c>
      <c r="S820" s="1" t="s">
        <v>74</v>
      </c>
      <c r="T820" s="1" t="s">
        <v>74</v>
      </c>
      <c r="U820" s="1" t="s">
        <v>74</v>
      </c>
      <c r="V820" s="1" t="s">
        <v>7534</v>
      </c>
      <c r="W820" s="1" t="s">
        <v>74</v>
      </c>
      <c r="X820" s="1" t="s">
        <v>74</v>
      </c>
      <c r="Y820" s="1" t="s">
        <v>74</v>
      </c>
      <c r="Z820" s="1" t="s">
        <v>74</v>
      </c>
      <c r="AA820" s="1" t="s">
        <v>7535</v>
      </c>
      <c r="AB820" s="1" t="s">
        <v>7536</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7537</v>
      </c>
      <c r="AP820" s="1" t="s">
        <v>7538</v>
      </c>
      <c r="AQ820" s="1" t="s">
        <v>74</v>
      </c>
      <c r="AR820" s="1" t="s">
        <v>74</v>
      </c>
      <c r="AS820" s="1" t="s">
        <v>74</v>
      </c>
      <c r="AT820" s="1" t="s">
        <v>160</v>
      </c>
      <c r="AU820" s="1">
        <v>2023.0</v>
      </c>
      <c r="AV820" s="1">
        <v>116.0</v>
      </c>
      <c r="AW820" s="1" t="s">
        <v>74</v>
      </c>
      <c r="AX820" s="1" t="s">
        <v>74</v>
      </c>
      <c r="AY820" s="1" t="s">
        <v>74</v>
      </c>
      <c r="AZ820" s="1" t="s">
        <v>74</v>
      </c>
      <c r="BA820" s="1" t="s">
        <v>74</v>
      </c>
      <c r="BB820" s="1" t="s">
        <v>74</v>
      </c>
      <c r="BC820" s="1" t="s">
        <v>74</v>
      </c>
      <c r="BD820" s="1">
        <v>104357.0</v>
      </c>
      <c r="BE820" s="1" t="s">
        <v>7539</v>
      </c>
      <c r="BF820" s="2" t="str">
        <f>HYPERLINK("http://dx.doi.org/10.1016/j.fm.2023.104357","http://dx.doi.org/10.1016/j.fm.2023.104357")</f>
        <v>http://dx.doi.org/10.1016/j.fm.2023.104357</v>
      </c>
      <c r="BG820" s="1" t="s">
        <v>74</v>
      </c>
      <c r="BH820" s="1" t="s">
        <v>7540</v>
      </c>
      <c r="BI820" s="1" t="s">
        <v>74</v>
      </c>
      <c r="BJ820" s="1" t="s">
        <v>74</v>
      </c>
      <c r="BK820" s="1" t="s">
        <v>74</v>
      </c>
      <c r="BL820" s="1" t="s">
        <v>74</v>
      </c>
      <c r="BM820" s="1" t="s">
        <v>74</v>
      </c>
      <c r="BN820" s="1">
        <v>3.7689417E7</v>
      </c>
      <c r="BO820" s="1" t="s">
        <v>74</v>
      </c>
      <c r="BP820" s="1" t="s">
        <v>74</v>
      </c>
      <c r="BQ820" s="1" t="s">
        <v>74</v>
      </c>
      <c r="BR820" s="1" t="s">
        <v>74</v>
      </c>
      <c r="BS820" s="1" t="s">
        <v>7541</v>
      </c>
      <c r="BT820" s="1" t="str">
        <f>HYPERLINK("https%3A%2F%2Fwww.webofscience.com%2Fwos%2Fwoscc%2Ffull-record%2FWOS:001059412000001","View Full Record in Web of Science")</f>
        <v>View Full Record in Web of Science</v>
      </c>
    </row>
    <row r="821" ht="12.75" customHeight="1">
      <c r="A821" s="1" t="s">
        <v>72</v>
      </c>
      <c r="B821" s="1" t="s">
        <v>7542</v>
      </c>
      <c r="C821" s="1" t="s">
        <v>74</v>
      </c>
      <c r="D821" s="1" t="s">
        <v>74</v>
      </c>
      <c r="E821" s="1" t="s">
        <v>74</v>
      </c>
      <c r="F821" s="1" t="s">
        <v>7543</v>
      </c>
      <c r="G821" s="1" t="s">
        <v>74</v>
      </c>
      <c r="H821" s="1" t="s">
        <v>74</v>
      </c>
      <c r="I821" s="1" t="s">
        <v>7544</v>
      </c>
      <c r="J821" s="1" t="s">
        <v>6235</v>
      </c>
      <c r="K821" s="1" t="s">
        <v>74</v>
      </c>
      <c r="L821" s="1" t="s">
        <v>74</v>
      </c>
      <c r="M821" s="1" t="s">
        <v>74</v>
      </c>
      <c r="N821" s="1" t="s">
        <v>74</v>
      </c>
      <c r="O821" s="1" t="s">
        <v>74</v>
      </c>
      <c r="P821" s="1" t="s">
        <v>74</v>
      </c>
      <c r="Q821" s="1" t="s">
        <v>74</v>
      </c>
      <c r="R821" s="1" t="s">
        <v>74</v>
      </c>
      <c r="S821" s="1" t="s">
        <v>74</v>
      </c>
      <c r="T821" s="1" t="s">
        <v>74</v>
      </c>
      <c r="U821" s="1" t="s">
        <v>74</v>
      </c>
      <c r="V821" s="1" t="s">
        <v>7545</v>
      </c>
      <c r="W821" s="1" t="s">
        <v>74</v>
      </c>
      <c r="X821" s="1" t="s">
        <v>74</v>
      </c>
      <c r="Y821" s="1" t="s">
        <v>74</v>
      </c>
      <c r="Z821" s="1" t="s">
        <v>74</v>
      </c>
      <c r="AA821" s="1" t="s">
        <v>74</v>
      </c>
      <c r="AB821" s="1" t="s">
        <v>7546</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6238</v>
      </c>
      <c r="AP821" s="1" t="s">
        <v>6239</v>
      </c>
      <c r="AQ821" s="1" t="s">
        <v>74</v>
      </c>
      <c r="AR821" s="1" t="s">
        <v>74</v>
      </c>
      <c r="AS821" s="1" t="s">
        <v>74</v>
      </c>
      <c r="AT821" s="1" t="s">
        <v>353</v>
      </c>
      <c r="AU821" s="1">
        <v>2023.0</v>
      </c>
      <c r="AV821" s="1">
        <v>296.0</v>
      </c>
      <c r="AW821" s="1">
        <v>10.0</v>
      </c>
      <c r="AX821" s="1" t="s">
        <v>74</v>
      </c>
      <c r="AY821" s="1" t="s">
        <v>74</v>
      </c>
      <c r="AZ821" s="1" t="s">
        <v>74</v>
      </c>
      <c r="BA821" s="1" t="s">
        <v>74</v>
      </c>
      <c r="BB821" s="1">
        <v>4559.0</v>
      </c>
      <c r="BC821" s="1">
        <v>4568.0</v>
      </c>
      <c r="BD821" s="1" t="s">
        <v>74</v>
      </c>
      <c r="BE821" s="1" t="s">
        <v>7547</v>
      </c>
      <c r="BF821" s="2" t="str">
        <f>HYPERLINK("http://dx.doi.org/10.1002/mana.202200109","http://dx.doi.org/10.1002/mana.202200109")</f>
        <v>http://dx.doi.org/10.1002/mana.202200109</v>
      </c>
      <c r="BG821" s="1" t="s">
        <v>74</v>
      </c>
      <c r="BH821" s="1" t="s">
        <v>7548</v>
      </c>
      <c r="BI821" s="1" t="s">
        <v>74</v>
      </c>
      <c r="BJ821" s="1" t="s">
        <v>74</v>
      </c>
      <c r="BK821" s="1" t="s">
        <v>74</v>
      </c>
      <c r="BL821" s="1" t="s">
        <v>74</v>
      </c>
      <c r="BM821" s="1" t="s">
        <v>74</v>
      </c>
      <c r="BN821" s="1" t="s">
        <v>74</v>
      </c>
      <c r="BO821" s="1" t="s">
        <v>74</v>
      </c>
      <c r="BP821" s="1" t="s">
        <v>74</v>
      </c>
      <c r="BQ821" s="1" t="s">
        <v>74</v>
      </c>
      <c r="BR821" s="1" t="s">
        <v>74</v>
      </c>
      <c r="BS821" s="1" t="s">
        <v>7549</v>
      </c>
      <c r="BT821" s="1" t="str">
        <f>HYPERLINK("https%3A%2F%2Fwww.webofscience.com%2Fwos%2Fwoscc%2Ffull-record%2FWOS:001026905100001","View Full Record in Web of Science")</f>
        <v>View Full Record in Web of Science</v>
      </c>
    </row>
    <row r="822" ht="12.75" customHeight="1">
      <c r="A822" s="1" t="s">
        <v>72</v>
      </c>
      <c r="B822" s="1" t="s">
        <v>7550</v>
      </c>
      <c r="C822" s="1" t="s">
        <v>74</v>
      </c>
      <c r="D822" s="1" t="s">
        <v>74</v>
      </c>
      <c r="E822" s="1" t="s">
        <v>74</v>
      </c>
      <c r="F822" s="1" t="s">
        <v>7551</v>
      </c>
      <c r="G822" s="1" t="s">
        <v>74</v>
      </c>
      <c r="H822" s="1" t="s">
        <v>74</v>
      </c>
      <c r="I822" s="1" t="s">
        <v>7552</v>
      </c>
      <c r="J822" s="1" t="s">
        <v>1314</v>
      </c>
      <c r="K822" s="1" t="s">
        <v>74</v>
      </c>
      <c r="L822" s="1" t="s">
        <v>74</v>
      </c>
      <c r="M822" s="1" t="s">
        <v>74</v>
      </c>
      <c r="N822" s="1" t="s">
        <v>74</v>
      </c>
      <c r="O822" s="1" t="s">
        <v>74</v>
      </c>
      <c r="P822" s="1" t="s">
        <v>74</v>
      </c>
      <c r="Q822" s="1" t="s">
        <v>74</v>
      </c>
      <c r="R822" s="1" t="s">
        <v>74</v>
      </c>
      <c r="S822" s="1" t="s">
        <v>74</v>
      </c>
      <c r="T822" s="1" t="s">
        <v>74</v>
      </c>
      <c r="U822" s="1" t="s">
        <v>74</v>
      </c>
      <c r="V822" s="1" t="s">
        <v>7553</v>
      </c>
      <c r="W822" s="1" t="s">
        <v>74</v>
      </c>
      <c r="X822" s="1" t="s">
        <v>74</v>
      </c>
      <c r="Y822" s="1" t="s">
        <v>74</v>
      </c>
      <c r="Z822" s="1" t="s">
        <v>74</v>
      </c>
      <c r="AA822" s="1" t="s">
        <v>7554</v>
      </c>
      <c r="AB822" s="1" t="s">
        <v>7555</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74</v>
      </c>
      <c r="AP822" s="1" t="s">
        <v>1318</v>
      </c>
      <c r="AQ822" s="1" t="s">
        <v>74</v>
      </c>
      <c r="AR822" s="1" t="s">
        <v>74</v>
      </c>
      <c r="AS822" s="1" t="s">
        <v>74</v>
      </c>
      <c r="AT822" s="1" t="s">
        <v>7556</v>
      </c>
      <c r="AU822" s="1">
        <v>2023.0</v>
      </c>
      <c r="AV822" s="1">
        <v>15.0</v>
      </c>
      <c r="AW822" s="1">
        <v>11.0</v>
      </c>
      <c r="AX822" s="1" t="s">
        <v>74</v>
      </c>
      <c r="AY822" s="1" t="s">
        <v>74</v>
      </c>
      <c r="AZ822" s="1" t="s">
        <v>74</v>
      </c>
      <c r="BA822" s="1" t="s">
        <v>74</v>
      </c>
      <c r="BB822" s="1" t="s">
        <v>74</v>
      </c>
      <c r="BC822" s="1" t="s">
        <v>74</v>
      </c>
      <c r="BD822" s="1">
        <v>9051.0</v>
      </c>
      <c r="BE822" s="1" t="s">
        <v>7557</v>
      </c>
      <c r="BF822" s="2" t="str">
        <f>HYPERLINK("http://dx.doi.org/10.3390/su15119051","http://dx.doi.org/10.3390/su15119051")</f>
        <v>http://dx.doi.org/10.3390/su15119051</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7558</v>
      </c>
      <c r="BT822" s="1" t="str">
        <f>HYPERLINK("https%3A%2F%2Fwww.webofscience.com%2Fwos%2Fwoscc%2Ffull-record%2FWOS:001004133600001","View Full Record in Web of Science")</f>
        <v>View Full Record in Web of Science</v>
      </c>
    </row>
    <row r="823" ht="12.75" customHeight="1">
      <c r="A823" s="1" t="s">
        <v>72</v>
      </c>
      <c r="B823" s="1" t="s">
        <v>7559</v>
      </c>
      <c r="C823" s="1" t="s">
        <v>74</v>
      </c>
      <c r="D823" s="1" t="s">
        <v>74</v>
      </c>
      <c r="E823" s="1" t="s">
        <v>74</v>
      </c>
      <c r="F823" s="1" t="s">
        <v>7560</v>
      </c>
      <c r="G823" s="1" t="s">
        <v>74</v>
      </c>
      <c r="H823" s="1" t="s">
        <v>74</v>
      </c>
      <c r="I823" s="1" t="s">
        <v>7561</v>
      </c>
      <c r="J823" s="1" t="s">
        <v>7562</v>
      </c>
      <c r="K823" s="1" t="s">
        <v>74</v>
      </c>
      <c r="L823" s="1" t="s">
        <v>74</v>
      </c>
      <c r="M823" s="1" t="s">
        <v>74</v>
      </c>
      <c r="N823" s="1" t="s">
        <v>74</v>
      </c>
      <c r="O823" s="1" t="s">
        <v>74</v>
      </c>
      <c r="P823" s="1" t="s">
        <v>74</v>
      </c>
      <c r="Q823" s="1" t="s">
        <v>74</v>
      </c>
      <c r="R823" s="1" t="s">
        <v>74</v>
      </c>
      <c r="S823" s="1" t="s">
        <v>74</v>
      </c>
      <c r="T823" s="1" t="s">
        <v>74</v>
      </c>
      <c r="U823" s="1" t="s">
        <v>74</v>
      </c>
      <c r="V823" s="1" t="s">
        <v>7563</v>
      </c>
      <c r="W823" s="1" t="s">
        <v>74</v>
      </c>
      <c r="X823" s="1" t="s">
        <v>74</v>
      </c>
      <c r="Y823" s="1" t="s">
        <v>74</v>
      </c>
      <c r="Z823" s="1" t="s">
        <v>74</v>
      </c>
      <c r="AA823" s="1" t="s">
        <v>7564</v>
      </c>
      <c r="AB823" s="1" t="s">
        <v>7565</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7566</v>
      </c>
      <c r="AP823" s="1" t="s">
        <v>7567</v>
      </c>
      <c r="AQ823" s="1" t="s">
        <v>74</v>
      </c>
      <c r="AR823" s="1" t="s">
        <v>74</v>
      </c>
      <c r="AS823" s="1" t="s">
        <v>74</v>
      </c>
      <c r="AT823" s="1" t="s">
        <v>353</v>
      </c>
      <c r="AU823" s="1">
        <v>2021.0</v>
      </c>
      <c r="AV823" s="1">
        <v>24.0</v>
      </c>
      <c r="AW823" s="1">
        <v>5.0</v>
      </c>
      <c r="AX823" s="1" t="s">
        <v>74</v>
      </c>
      <c r="AY823" s="1" t="s">
        <v>74</v>
      </c>
      <c r="AZ823" s="1" t="s">
        <v>74</v>
      </c>
      <c r="BA823" s="1" t="s">
        <v>74</v>
      </c>
      <c r="BB823" s="1">
        <v>1409.0</v>
      </c>
      <c r="BC823" s="1">
        <v>1444.0</v>
      </c>
      <c r="BD823" s="1" t="s">
        <v>74</v>
      </c>
      <c r="BE823" s="1" t="s">
        <v>7568</v>
      </c>
      <c r="BF823" s="2" t="str">
        <f>HYPERLINK("http://dx.doi.org/10.1515/fca-2021-0060","http://dx.doi.org/10.1515/fca-2021-0060")</f>
        <v>http://dx.doi.org/10.1515/fca-2021-0060</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7569</v>
      </c>
      <c r="BT823" s="1" t="str">
        <f>HYPERLINK("https%3A%2F%2Fwww.webofscience.com%2Fwos%2Fwoscc%2Ffull-record%2FWOS:000712796600005","View Full Record in Web of Science")</f>
        <v>View Full Record in Web of Science</v>
      </c>
    </row>
    <row r="824" ht="12.75" customHeight="1">
      <c r="A824" s="1" t="s">
        <v>72</v>
      </c>
      <c r="B824" s="1" t="s">
        <v>7570</v>
      </c>
      <c r="C824" s="1" t="s">
        <v>74</v>
      </c>
      <c r="D824" s="1" t="s">
        <v>74</v>
      </c>
      <c r="E824" s="1" t="s">
        <v>74</v>
      </c>
      <c r="F824" s="1" t="s">
        <v>7571</v>
      </c>
      <c r="G824" s="1" t="s">
        <v>74</v>
      </c>
      <c r="H824" s="1" t="s">
        <v>74</v>
      </c>
      <c r="I824" s="1" t="s">
        <v>7572</v>
      </c>
      <c r="J824" s="1" t="s">
        <v>5207</v>
      </c>
      <c r="K824" s="1" t="s">
        <v>74</v>
      </c>
      <c r="L824" s="1" t="s">
        <v>74</v>
      </c>
      <c r="M824" s="1" t="s">
        <v>74</v>
      </c>
      <c r="N824" s="1" t="s">
        <v>74</v>
      </c>
      <c r="O824" s="1" t="s">
        <v>74</v>
      </c>
      <c r="P824" s="1" t="s">
        <v>74</v>
      </c>
      <c r="Q824" s="1" t="s">
        <v>74</v>
      </c>
      <c r="R824" s="1" t="s">
        <v>74</v>
      </c>
      <c r="S824" s="1" t="s">
        <v>74</v>
      </c>
      <c r="T824" s="1" t="s">
        <v>74</v>
      </c>
      <c r="U824" s="1" t="s">
        <v>74</v>
      </c>
      <c r="V824" s="1" t="s">
        <v>7573</v>
      </c>
      <c r="W824" s="1" t="s">
        <v>74</v>
      </c>
      <c r="X824" s="1" t="s">
        <v>74</v>
      </c>
      <c r="Y824" s="1" t="s">
        <v>74</v>
      </c>
      <c r="Z824" s="1" t="s">
        <v>74</v>
      </c>
      <c r="AA824" s="1" t="s">
        <v>7574</v>
      </c>
      <c r="AB824" s="1" t="s">
        <v>7575</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7576</v>
      </c>
      <c r="AP824" s="1" t="s">
        <v>5209</v>
      </c>
      <c r="AQ824" s="1" t="s">
        <v>74</v>
      </c>
      <c r="AR824" s="1" t="s">
        <v>74</v>
      </c>
      <c r="AS824" s="1" t="s">
        <v>74</v>
      </c>
      <c r="AT824" s="1" t="s">
        <v>82</v>
      </c>
      <c r="AU824" s="1">
        <v>2021.0</v>
      </c>
      <c r="AV824" s="1">
        <v>27.0</v>
      </c>
      <c r="AW824" s="1">
        <v>1.0</v>
      </c>
      <c r="AX824" s="1" t="s">
        <v>74</v>
      </c>
      <c r="AY824" s="1" t="s">
        <v>74</v>
      </c>
      <c r="AZ824" s="1" t="s">
        <v>74</v>
      </c>
      <c r="BA824" s="1" t="s">
        <v>74</v>
      </c>
      <c r="BB824" s="1">
        <v>127.0</v>
      </c>
      <c r="BC824" s="1">
        <v>135.0</v>
      </c>
      <c r="BD824" s="1" t="s">
        <v>74</v>
      </c>
      <c r="BE824" s="1" t="s">
        <v>74</v>
      </c>
      <c r="BF824" s="1" t="s">
        <v>74</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7577</v>
      </c>
      <c r="BT824" s="1" t="str">
        <f>HYPERLINK("https%3A%2F%2Fwww.webofscience.com%2Fwos%2Fwoscc%2Ffull-record%2FWOS:000661299600013","View Full Record in Web of Science")</f>
        <v>View Full Record in Web of Science</v>
      </c>
    </row>
    <row r="825" ht="12.75" customHeight="1">
      <c r="A825" s="1" t="s">
        <v>72</v>
      </c>
      <c r="B825" s="1" t="s">
        <v>7578</v>
      </c>
      <c r="C825" s="1" t="s">
        <v>74</v>
      </c>
      <c r="D825" s="1" t="s">
        <v>74</v>
      </c>
      <c r="E825" s="1" t="s">
        <v>74</v>
      </c>
      <c r="F825" s="1" t="s">
        <v>7579</v>
      </c>
      <c r="G825" s="1" t="s">
        <v>74</v>
      </c>
      <c r="H825" s="1" t="s">
        <v>74</v>
      </c>
      <c r="I825" s="1" t="s">
        <v>7580</v>
      </c>
      <c r="J825" s="1" t="s">
        <v>997</v>
      </c>
      <c r="K825" s="1" t="s">
        <v>74</v>
      </c>
      <c r="L825" s="1" t="s">
        <v>74</v>
      </c>
      <c r="M825" s="1" t="s">
        <v>74</v>
      </c>
      <c r="N825" s="1" t="s">
        <v>74</v>
      </c>
      <c r="O825" s="1" t="s">
        <v>74</v>
      </c>
      <c r="P825" s="1" t="s">
        <v>74</v>
      </c>
      <c r="Q825" s="1" t="s">
        <v>74</v>
      </c>
      <c r="R825" s="1" t="s">
        <v>74</v>
      </c>
      <c r="S825" s="1" t="s">
        <v>74</v>
      </c>
      <c r="T825" s="1" t="s">
        <v>74</v>
      </c>
      <c r="U825" s="1" t="s">
        <v>74</v>
      </c>
      <c r="V825" s="1" t="s">
        <v>7581</v>
      </c>
      <c r="W825" s="1" t="s">
        <v>74</v>
      </c>
      <c r="X825" s="1" t="s">
        <v>74</v>
      </c>
      <c r="Y825" s="1" t="s">
        <v>74</v>
      </c>
      <c r="Z825" s="1" t="s">
        <v>74</v>
      </c>
      <c r="AA825" s="1" t="s">
        <v>7582</v>
      </c>
      <c r="AB825" s="1" t="s">
        <v>7583</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1001</v>
      </c>
      <c r="AP825" s="1" t="s">
        <v>1002</v>
      </c>
      <c r="AQ825" s="1" t="s">
        <v>74</v>
      </c>
      <c r="AR825" s="1" t="s">
        <v>74</v>
      </c>
      <c r="AS825" s="1" t="s">
        <v>74</v>
      </c>
      <c r="AT825" s="1" t="s">
        <v>7584</v>
      </c>
      <c r="AU825" s="1">
        <v>2021.0</v>
      </c>
      <c r="AV825" s="1">
        <v>138.0</v>
      </c>
      <c r="AW825" s="1">
        <v>34.0</v>
      </c>
      <c r="AX825" s="1" t="s">
        <v>74</v>
      </c>
      <c r="AY825" s="1" t="s">
        <v>74</v>
      </c>
      <c r="AZ825" s="1" t="s">
        <v>74</v>
      </c>
      <c r="BA825" s="1" t="s">
        <v>74</v>
      </c>
      <c r="BB825" s="1" t="s">
        <v>74</v>
      </c>
      <c r="BC825" s="1" t="s">
        <v>74</v>
      </c>
      <c r="BD825" s="1" t="s">
        <v>7585</v>
      </c>
      <c r="BE825" s="1" t="s">
        <v>7586</v>
      </c>
      <c r="BF825" s="2" t="str">
        <f>HYPERLINK("http://dx.doi.org/10.1002/app.50844","http://dx.doi.org/10.1002/app.50844")</f>
        <v>http://dx.doi.org/10.1002/app.50844</v>
      </c>
      <c r="BG825" s="1" t="s">
        <v>74</v>
      </c>
      <c r="BH825" s="1" t="s">
        <v>7587</v>
      </c>
      <c r="BI825" s="1" t="s">
        <v>74</v>
      </c>
      <c r="BJ825" s="1" t="s">
        <v>74</v>
      </c>
      <c r="BK825" s="1" t="s">
        <v>74</v>
      </c>
      <c r="BL825" s="1" t="s">
        <v>74</v>
      </c>
      <c r="BM825" s="1" t="s">
        <v>74</v>
      </c>
      <c r="BN825" s="1" t="s">
        <v>74</v>
      </c>
      <c r="BO825" s="1" t="s">
        <v>74</v>
      </c>
      <c r="BP825" s="1" t="s">
        <v>74</v>
      </c>
      <c r="BQ825" s="1" t="s">
        <v>74</v>
      </c>
      <c r="BR825" s="1" t="s">
        <v>74</v>
      </c>
      <c r="BS825" s="1" t="s">
        <v>7588</v>
      </c>
      <c r="BT825" s="1" t="str">
        <f>HYPERLINK("https%3A%2F%2Fwww.webofscience.com%2Fwos%2Fwoscc%2Ffull-record%2FWOS:000640598000001","View Full Record in Web of Science")</f>
        <v>View Full Record in Web of Science</v>
      </c>
    </row>
    <row r="826" ht="12.75" customHeight="1">
      <c r="A826" s="1" t="s">
        <v>72</v>
      </c>
      <c r="B826" s="1" t="s">
        <v>7589</v>
      </c>
      <c r="C826" s="1" t="s">
        <v>74</v>
      </c>
      <c r="D826" s="1" t="s">
        <v>74</v>
      </c>
      <c r="E826" s="1" t="s">
        <v>74</v>
      </c>
      <c r="F826" s="1" t="s">
        <v>7590</v>
      </c>
      <c r="G826" s="1" t="s">
        <v>74</v>
      </c>
      <c r="H826" s="1" t="s">
        <v>74</v>
      </c>
      <c r="I826" s="1" t="s">
        <v>7591</v>
      </c>
      <c r="J826" s="1" t="s">
        <v>3915</v>
      </c>
      <c r="K826" s="1" t="s">
        <v>74</v>
      </c>
      <c r="L826" s="1" t="s">
        <v>74</v>
      </c>
      <c r="M826" s="1" t="s">
        <v>74</v>
      </c>
      <c r="N826" s="1" t="s">
        <v>74</v>
      </c>
      <c r="O826" s="1" t="s">
        <v>74</v>
      </c>
      <c r="P826" s="1" t="s">
        <v>74</v>
      </c>
      <c r="Q826" s="1" t="s">
        <v>74</v>
      </c>
      <c r="R826" s="1" t="s">
        <v>74</v>
      </c>
      <c r="S826" s="1" t="s">
        <v>74</v>
      </c>
      <c r="T826" s="1" t="s">
        <v>74</v>
      </c>
      <c r="U826" s="1" t="s">
        <v>74</v>
      </c>
      <c r="V826" s="1" t="s">
        <v>7592</v>
      </c>
      <c r="W826" s="1" t="s">
        <v>74</v>
      </c>
      <c r="X826" s="1" t="s">
        <v>74</v>
      </c>
      <c r="Y826" s="1" t="s">
        <v>74</v>
      </c>
      <c r="Z826" s="1" t="s">
        <v>74</v>
      </c>
      <c r="AA826" s="1" t="s">
        <v>74</v>
      </c>
      <c r="AB826" s="1" t="s">
        <v>7593</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3917</v>
      </c>
      <c r="AP826" s="1" t="s">
        <v>3918</v>
      </c>
      <c r="AQ826" s="1" t="s">
        <v>74</v>
      </c>
      <c r="AR826" s="1" t="s">
        <v>74</v>
      </c>
      <c r="AS826" s="1" t="s">
        <v>74</v>
      </c>
      <c r="AT826" s="1" t="s">
        <v>74</v>
      </c>
      <c r="AU826" s="1">
        <v>2021.0</v>
      </c>
      <c r="AV826" s="1">
        <v>13.0</v>
      </c>
      <c r="AW826" s="1">
        <v>1.0</v>
      </c>
      <c r="AX826" s="1" t="s">
        <v>74</v>
      </c>
      <c r="AY826" s="1" t="s">
        <v>74</v>
      </c>
      <c r="AZ826" s="1" t="s">
        <v>74</v>
      </c>
      <c r="BA826" s="1" t="s">
        <v>74</v>
      </c>
      <c r="BB826" s="1">
        <v>49.0</v>
      </c>
      <c r="BC826" s="1">
        <v>70.0</v>
      </c>
      <c r="BD826" s="1" t="s">
        <v>74</v>
      </c>
      <c r="BE826" s="1" t="s">
        <v>74</v>
      </c>
      <c r="BF826" s="1" t="s">
        <v>74</v>
      </c>
      <c r="BG826" s="1" t="s">
        <v>74</v>
      </c>
      <c r="BH826" s="1" t="s">
        <v>74</v>
      </c>
      <c r="BI826" s="1" t="s">
        <v>74</v>
      </c>
      <c r="BJ826" s="1" t="s">
        <v>74</v>
      </c>
      <c r="BK826" s="1" t="s">
        <v>74</v>
      </c>
      <c r="BL826" s="1" t="s">
        <v>74</v>
      </c>
      <c r="BM826" s="1" t="s">
        <v>74</v>
      </c>
      <c r="BN826" s="1" t="s">
        <v>74</v>
      </c>
      <c r="BO826" s="1" t="s">
        <v>74</v>
      </c>
      <c r="BP826" s="1" t="s">
        <v>74</v>
      </c>
      <c r="BQ826" s="1" t="s">
        <v>74</v>
      </c>
      <c r="BR826" s="1" t="s">
        <v>74</v>
      </c>
      <c r="BS826" s="1" t="s">
        <v>7594</v>
      </c>
      <c r="BT826" s="1" t="str">
        <f>HYPERLINK("https%3A%2F%2Fwww.webofscience.com%2Fwos%2Fwoscc%2Ffull-record%2FWOS:000740694200004","View Full Record in Web of Science")</f>
        <v>View Full Record in Web of Science</v>
      </c>
    </row>
    <row r="827" ht="12.75" customHeight="1">
      <c r="A827" s="1" t="s">
        <v>241</v>
      </c>
      <c r="B827" s="1" t="s">
        <v>7595</v>
      </c>
      <c r="C827" s="1" t="s">
        <v>74</v>
      </c>
      <c r="D827" s="1" t="s">
        <v>74</v>
      </c>
      <c r="E827" s="1" t="s">
        <v>427</v>
      </c>
      <c r="F827" s="1" t="s">
        <v>7596</v>
      </c>
      <c r="G827" s="1" t="s">
        <v>74</v>
      </c>
      <c r="H827" s="1" t="s">
        <v>74</v>
      </c>
      <c r="I827" s="1" t="s">
        <v>7597</v>
      </c>
      <c r="J827" s="1" t="s">
        <v>1503</v>
      </c>
      <c r="K827" s="1" t="s">
        <v>74</v>
      </c>
      <c r="L827" s="1" t="s">
        <v>74</v>
      </c>
      <c r="M827" s="1" t="s">
        <v>74</v>
      </c>
      <c r="N827" s="1" t="s">
        <v>74</v>
      </c>
      <c r="O827" s="1" t="s">
        <v>1504</v>
      </c>
      <c r="P827" s="1" t="s">
        <v>1505</v>
      </c>
      <c r="Q827" s="1" t="s">
        <v>1506</v>
      </c>
      <c r="R827" s="1" t="s">
        <v>1507</v>
      </c>
      <c r="S827" s="1" t="s">
        <v>74</v>
      </c>
      <c r="T827" s="1" t="s">
        <v>74</v>
      </c>
      <c r="U827" s="1" t="s">
        <v>74</v>
      </c>
      <c r="V827" s="1" t="s">
        <v>7598</v>
      </c>
      <c r="W827" s="1" t="s">
        <v>74</v>
      </c>
      <c r="X827" s="1" t="s">
        <v>74</v>
      </c>
      <c r="Y827" s="1" t="s">
        <v>74</v>
      </c>
      <c r="Z827" s="1" t="s">
        <v>74</v>
      </c>
      <c r="AA827" s="1" t="s">
        <v>7599</v>
      </c>
      <c r="AB827" s="1" t="s">
        <v>7600</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74</v>
      </c>
      <c r="AP827" s="1" t="s">
        <v>74</v>
      </c>
      <c r="AQ827" s="1" t="s">
        <v>1510</v>
      </c>
      <c r="AR827" s="1" t="s">
        <v>74</v>
      </c>
      <c r="AS827" s="1" t="s">
        <v>74</v>
      </c>
      <c r="AT827" s="1" t="s">
        <v>74</v>
      </c>
      <c r="AU827" s="1">
        <v>2021.0</v>
      </c>
      <c r="AV827" s="1" t="s">
        <v>74</v>
      </c>
      <c r="AW827" s="1" t="s">
        <v>74</v>
      </c>
      <c r="AX827" s="1" t="s">
        <v>74</v>
      </c>
      <c r="AY827" s="1" t="s">
        <v>74</v>
      </c>
      <c r="AZ827" s="1" t="s">
        <v>74</v>
      </c>
      <c r="BA827" s="1" t="s">
        <v>74</v>
      </c>
      <c r="BB827" s="1" t="s">
        <v>74</v>
      </c>
      <c r="BC827" s="1" t="s">
        <v>74</v>
      </c>
      <c r="BD827" s="1" t="s">
        <v>74</v>
      </c>
      <c r="BE827" s="1" t="s">
        <v>7601</v>
      </c>
      <c r="BF827" s="2" t="str">
        <f>HYPERLINK("http://dx.doi.org/10.1109/ICAACCA51523.2021.9465317","http://dx.doi.org/10.1109/ICAACCA51523.2021.9465317")</f>
        <v>http://dx.doi.org/10.1109/ICAACCA51523.2021.9465317</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7602</v>
      </c>
      <c r="BT827" s="1" t="str">
        <f>HYPERLINK("https%3A%2F%2Fwww.webofscience.com%2Fwos%2Fwoscc%2Ffull-record%2FWOS:000855764500047","View Full Record in Web of Science")</f>
        <v>View Full Record in Web of Science</v>
      </c>
    </row>
    <row r="828" ht="12.75" customHeight="1">
      <c r="A828" s="1" t="s">
        <v>72</v>
      </c>
      <c r="B828" s="1" t="s">
        <v>7603</v>
      </c>
      <c r="C828" s="1" t="s">
        <v>74</v>
      </c>
      <c r="D828" s="1" t="s">
        <v>74</v>
      </c>
      <c r="E828" s="1" t="s">
        <v>74</v>
      </c>
      <c r="F828" s="1" t="s">
        <v>7604</v>
      </c>
      <c r="G828" s="1" t="s">
        <v>74</v>
      </c>
      <c r="H828" s="1" t="s">
        <v>74</v>
      </c>
      <c r="I828" s="1" t="s">
        <v>7605</v>
      </c>
      <c r="J828" s="1" t="s">
        <v>7606</v>
      </c>
      <c r="K828" s="1" t="s">
        <v>74</v>
      </c>
      <c r="L828" s="1" t="s">
        <v>74</v>
      </c>
      <c r="M828" s="1" t="s">
        <v>74</v>
      </c>
      <c r="N828" s="1" t="s">
        <v>74</v>
      </c>
      <c r="O828" s="1" t="s">
        <v>74</v>
      </c>
      <c r="P828" s="1" t="s">
        <v>74</v>
      </c>
      <c r="Q828" s="1" t="s">
        <v>74</v>
      </c>
      <c r="R828" s="1" t="s">
        <v>74</v>
      </c>
      <c r="S828" s="1" t="s">
        <v>74</v>
      </c>
      <c r="T828" s="1" t="s">
        <v>74</v>
      </c>
      <c r="U828" s="1" t="s">
        <v>74</v>
      </c>
      <c r="V828" s="1" t="s">
        <v>7607</v>
      </c>
      <c r="W828" s="1" t="s">
        <v>74</v>
      </c>
      <c r="X828" s="1" t="s">
        <v>74</v>
      </c>
      <c r="Y828" s="1" t="s">
        <v>74</v>
      </c>
      <c r="Z828" s="1" t="s">
        <v>74</v>
      </c>
      <c r="AA828" s="1" t="s">
        <v>3204</v>
      </c>
      <c r="AB828" s="1" t="s">
        <v>5409</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7608</v>
      </c>
      <c r="AP828" s="1" t="s">
        <v>74</v>
      </c>
      <c r="AQ828" s="1" t="s">
        <v>74</v>
      </c>
      <c r="AR828" s="1" t="s">
        <v>74</v>
      </c>
      <c r="AS828" s="1" t="s">
        <v>74</v>
      </c>
      <c r="AT828" s="1" t="s">
        <v>74</v>
      </c>
      <c r="AU828" s="1">
        <v>2021.0</v>
      </c>
      <c r="AV828" s="1" t="s">
        <v>74</v>
      </c>
      <c r="AW828" s="1">
        <v>81.0</v>
      </c>
      <c r="AX828" s="1" t="s">
        <v>74</v>
      </c>
      <c r="AY828" s="1" t="s">
        <v>74</v>
      </c>
      <c r="AZ828" s="1" t="s">
        <v>74</v>
      </c>
      <c r="BA828" s="1" t="s">
        <v>74</v>
      </c>
      <c r="BB828" s="1">
        <v>1.0</v>
      </c>
      <c r="BC828" s="1">
        <v>18.0</v>
      </c>
      <c r="BD828" s="1" t="s">
        <v>74</v>
      </c>
      <c r="BE828" s="1" t="s">
        <v>7609</v>
      </c>
      <c r="BF828" s="2" t="str">
        <f>HYPERLINK("http://dx.doi.org/10.14232/ejqtde.2021.1.81","http://dx.doi.org/10.14232/ejqtde.2021.1.81")</f>
        <v>http://dx.doi.org/10.14232/ejqtde.2021.1.81</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7610</v>
      </c>
      <c r="BT828" s="1" t="str">
        <f>HYPERLINK("https%3A%2F%2Fwww.webofscience.com%2Fwos%2Fwoscc%2Ffull-record%2FWOS:000707618800001","View Full Record in Web of Science")</f>
        <v>View Full Record in Web of Science</v>
      </c>
    </row>
    <row r="829" ht="12.75" customHeight="1">
      <c r="A829" s="1" t="s">
        <v>72</v>
      </c>
      <c r="B829" s="1" t="s">
        <v>7611</v>
      </c>
      <c r="C829" s="1" t="s">
        <v>74</v>
      </c>
      <c r="D829" s="1" t="s">
        <v>74</v>
      </c>
      <c r="E829" s="1" t="s">
        <v>74</v>
      </c>
      <c r="F829" s="1" t="s">
        <v>7612</v>
      </c>
      <c r="G829" s="1" t="s">
        <v>74</v>
      </c>
      <c r="H829" s="1" t="s">
        <v>74</v>
      </c>
      <c r="I829" s="1" t="s">
        <v>7613</v>
      </c>
      <c r="J829" s="1" t="s">
        <v>7614</v>
      </c>
      <c r="K829" s="1" t="s">
        <v>74</v>
      </c>
      <c r="L829" s="1" t="s">
        <v>74</v>
      </c>
      <c r="M829" s="1" t="s">
        <v>74</v>
      </c>
      <c r="N829" s="1" t="s">
        <v>74</v>
      </c>
      <c r="O829" s="1" t="s">
        <v>74</v>
      </c>
      <c r="P829" s="1" t="s">
        <v>74</v>
      </c>
      <c r="Q829" s="1" t="s">
        <v>74</v>
      </c>
      <c r="R829" s="1" t="s">
        <v>74</v>
      </c>
      <c r="S829" s="1" t="s">
        <v>74</v>
      </c>
      <c r="T829" s="1" t="s">
        <v>74</v>
      </c>
      <c r="U829" s="1" t="s">
        <v>74</v>
      </c>
      <c r="V829" s="1" t="s">
        <v>7615</v>
      </c>
      <c r="W829" s="1" t="s">
        <v>74</v>
      </c>
      <c r="X829" s="1" t="s">
        <v>74</v>
      </c>
      <c r="Y829" s="1" t="s">
        <v>74</v>
      </c>
      <c r="Z829" s="1" t="s">
        <v>74</v>
      </c>
      <c r="AA829" s="1" t="s">
        <v>7616</v>
      </c>
      <c r="AB829" s="1" t="s">
        <v>7617</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7618</v>
      </c>
      <c r="AP829" s="1" t="s">
        <v>7619</v>
      </c>
      <c r="AQ829" s="1" t="s">
        <v>74</v>
      </c>
      <c r="AR829" s="1" t="s">
        <v>74</v>
      </c>
      <c r="AS829" s="1" t="s">
        <v>74</v>
      </c>
      <c r="AT829" s="1" t="s">
        <v>160</v>
      </c>
      <c r="AU829" s="1">
        <v>2020.0</v>
      </c>
      <c r="AV829" s="1">
        <v>18.0</v>
      </c>
      <c r="AW829" s="1">
        <v>6.0</v>
      </c>
      <c r="AX829" s="1" t="s">
        <v>74</v>
      </c>
      <c r="AY829" s="1" t="s">
        <v>74</v>
      </c>
      <c r="AZ829" s="1" t="s">
        <v>74</v>
      </c>
      <c r="BA829" s="1" t="s">
        <v>74</v>
      </c>
      <c r="BB829" s="1">
        <v>3090.0</v>
      </c>
      <c r="BC829" s="1">
        <v>3139.0</v>
      </c>
      <c r="BD829" s="1" t="s">
        <v>74</v>
      </c>
      <c r="BE829" s="1" t="s">
        <v>7620</v>
      </c>
      <c r="BF829" s="2" t="str">
        <f>HYPERLINK("http://dx.doi.org/10.1093/jeea/jvz058","http://dx.doi.org/10.1093/jeea/jvz058")</f>
        <v>http://dx.doi.org/10.1093/jeea/jvz058</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7621</v>
      </c>
      <c r="BT829" s="1" t="str">
        <f>HYPERLINK("https%3A%2F%2Fwww.webofscience.com%2Fwos%2Fwoscc%2Ffull-record%2FWOS:000606029300010","View Full Record in Web of Science")</f>
        <v>View Full Record in Web of Science</v>
      </c>
    </row>
    <row r="830" ht="12.75" customHeight="1">
      <c r="A830" s="1" t="s">
        <v>72</v>
      </c>
      <c r="B830" s="1" t="s">
        <v>7622</v>
      </c>
      <c r="C830" s="1" t="s">
        <v>74</v>
      </c>
      <c r="D830" s="1" t="s">
        <v>74</v>
      </c>
      <c r="E830" s="1" t="s">
        <v>74</v>
      </c>
      <c r="F830" s="1" t="s">
        <v>7623</v>
      </c>
      <c r="G830" s="1" t="s">
        <v>74</v>
      </c>
      <c r="H830" s="1" t="s">
        <v>74</v>
      </c>
      <c r="I830" s="1" t="s">
        <v>7624</v>
      </c>
      <c r="J830" s="1" t="s">
        <v>7625</v>
      </c>
      <c r="K830" s="1" t="s">
        <v>74</v>
      </c>
      <c r="L830" s="1" t="s">
        <v>74</v>
      </c>
      <c r="M830" s="1" t="s">
        <v>74</v>
      </c>
      <c r="N830" s="1" t="s">
        <v>74</v>
      </c>
      <c r="O830" s="1" t="s">
        <v>74</v>
      </c>
      <c r="P830" s="1" t="s">
        <v>74</v>
      </c>
      <c r="Q830" s="1" t="s">
        <v>74</v>
      </c>
      <c r="R830" s="1" t="s">
        <v>74</v>
      </c>
      <c r="S830" s="1" t="s">
        <v>74</v>
      </c>
      <c r="T830" s="1" t="s">
        <v>74</v>
      </c>
      <c r="U830" s="1" t="s">
        <v>74</v>
      </c>
      <c r="V830" s="1" t="s">
        <v>7626</v>
      </c>
      <c r="W830" s="1" t="s">
        <v>74</v>
      </c>
      <c r="X830" s="1" t="s">
        <v>74</v>
      </c>
      <c r="Y830" s="1" t="s">
        <v>74</v>
      </c>
      <c r="Z830" s="1" t="s">
        <v>74</v>
      </c>
      <c r="AA830" s="1" t="s">
        <v>114</v>
      </c>
      <c r="AB830" s="1" t="s">
        <v>74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7627</v>
      </c>
      <c r="AP830" s="1" t="s">
        <v>7628</v>
      </c>
      <c r="AQ830" s="1" t="s">
        <v>74</v>
      </c>
      <c r="AR830" s="1" t="s">
        <v>74</v>
      </c>
      <c r="AS830" s="1" t="s">
        <v>74</v>
      </c>
      <c r="AT830" s="1" t="s">
        <v>1209</v>
      </c>
      <c r="AU830" s="1">
        <v>2020.0</v>
      </c>
      <c r="AV830" s="1">
        <v>24.0</v>
      </c>
      <c r="AW830" s="1">
        <v>4.0</v>
      </c>
      <c r="AX830" s="1" t="s">
        <v>74</v>
      </c>
      <c r="AY830" s="1" t="s">
        <v>74</v>
      </c>
      <c r="AZ830" s="1" t="s">
        <v>74</v>
      </c>
      <c r="BA830" s="1" t="s">
        <v>74</v>
      </c>
      <c r="BB830" s="1">
        <v>421.0</v>
      </c>
      <c r="BC830" s="1">
        <v>427.0</v>
      </c>
      <c r="BD830" s="1" t="s">
        <v>74</v>
      </c>
      <c r="BE830" s="1" t="s">
        <v>7629</v>
      </c>
      <c r="BF830" s="2" t="str">
        <f>HYPERLINK("http://dx.doi.org/10.5935/1518-0557.20200016","http://dx.doi.org/10.5935/1518-0557.20200016")</f>
        <v>http://dx.doi.org/10.5935/1518-0557.20200016</v>
      </c>
      <c r="BG830" s="1" t="s">
        <v>74</v>
      </c>
      <c r="BH830" s="1" t="s">
        <v>74</v>
      </c>
      <c r="BI830" s="1" t="s">
        <v>74</v>
      </c>
      <c r="BJ830" s="1" t="s">
        <v>74</v>
      </c>
      <c r="BK830" s="1" t="s">
        <v>74</v>
      </c>
      <c r="BL830" s="1" t="s">
        <v>74</v>
      </c>
      <c r="BM830" s="1" t="s">
        <v>74</v>
      </c>
      <c r="BN830" s="1">
        <v>3.2401462E7</v>
      </c>
      <c r="BO830" s="1" t="s">
        <v>74</v>
      </c>
      <c r="BP830" s="1" t="s">
        <v>74</v>
      </c>
      <c r="BQ830" s="1" t="s">
        <v>74</v>
      </c>
      <c r="BR830" s="1" t="s">
        <v>74</v>
      </c>
      <c r="BS830" s="1" t="s">
        <v>7630</v>
      </c>
      <c r="BT830" s="1" t="str">
        <f>HYPERLINK("https%3A%2F%2Fwww.webofscience.com%2Fwos%2Fwoscc%2Ffull-record%2FWOS:000605279700008","View Full Record in Web of Science")</f>
        <v>View Full Record in Web of Science</v>
      </c>
    </row>
    <row r="831" ht="12.75" customHeight="1">
      <c r="A831" s="1" t="s">
        <v>72</v>
      </c>
      <c r="B831" s="1" t="s">
        <v>7631</v>
      </c>
      <c r="C831" s="1" t="s">
        <v>74</v>
      </c>
      <c r="D831" s="1" t="s">
        <v>74</v>
      </c>
      <c r="E831" s="1" t="s">
        <v>74</v>
      </c>
      <c r="F831" s="1" t="s">
        <v>7632</v>
      </c>
      <c r="G831" s="1" t="s">
        <v>74</v>
      </c>
      <c r="H831" s="1" t="s">
        <v>74</v>
      </c>
      <c r="I831" s="1" t="s">
        <v>7633</v>
      </c>
      <c r="J831" s="1" t="s">
        <v>7634</v>
      </c>
      <c r="K831" s="1" t="s">
        <v>74</v>
      </c>
      <c r="L831" s="1" t="s">
        <v>74</v>
      </c>
      <c r="M831" s="1" t="s">
        <v>74</v>
      </c>
      <c r="N831" s="1" t="s">
        <v>74</v>
      </c>
      <c r="O831" s="1" t="s">
        <v>74</v>
      </c>
      <c r="P831" s="1" t="s">
        <v>74</v>
      </c>
      <c r="Q831" s="1" t="s">
        <v>74</v>
      </c>
      <c r="R831" s="1" t="s">
        <v>74</v>
      </c>
      <c r="S831" s="1" t="s">
        <v>74</v>
      </c>
      <c r="T831" s="1" t="s">
        <v>74</v>
      </c>
      <c r="U831" s="1" t="s">
        <v>74</v>
      </c>
      <c r="V831" s="1" t="s">
        <v>7635</v>
      </c>
      <c r="W831" s="1" t="s">
        <v>74</v>
      </c>
      <c r="X831" s="1" t="s">
        <v>74</v>
      </c>
      <c r="Y831" s="1" t="s">
        <v>74</v>
      </c>
      <c r="Z831" s="1" t="s">
        <v>74</v>
      </c>
      <c r="AA831" s="1" t="s">
        <v>7636</v>
      </c>
      <c r="AB831" s="1" t="s">
        <v>7637</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74</v>
      </c>
      <c r="AP831" s="1" t="s">
        <v>7638</v>
      </c>
      <c r="AQ831" s="1" t="s">
        <v>74</v>
      </c>
      <c r="AR831" s="1" t="s">
        <v>74</v>
      </c>
      <c r="AS831" s="1" t="s">
        <v>74</v>
      </c>
      <c r="AT831" s="1" t="s">
        <v>116</v>
      </c>
      <c r="AU831" s="1">
        <v>2020.0</v>
      </c>
      <c r="AV831" s="1">
        <v>10.0</v>
      </c>
      <c r="AW831" s="1">
        <v>7.0</v>
      </c>
      <c r="AX831" s="1" t="s">
        <v>74</v>
      </c>
      <c r="AY831" s="1" t="s">
        <v>74</v>
      </c>
      <c r="AZ831" s="1" t="s">
        <v>74</v>
      </c>
      <c r="BA831" s="1" t="s">
        <v>74</v>
      </c>
      <c r="BB831" s="1" t="s">
        <v>74</v>
      </c>
      <c r="BC831" s="1" t="s">
        <v>74</v>
      </c>
      <c r="BD831" s="1">
        <v>630.0</v>
      </c>
      <c r="BE831" s="1" t="s">
        <v>7639</v>
      </c>
      <c r="BF831" s="2" t="str">
        <f>HYPERLINK("http://dx.doi.org/10.3390/min10070630","http://dx.doi.org/10.3390/min10070630")</f>
        <v>http://dx.doi.org/10.3390/min10070630</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7640</v>
      </c>
      <c r="BT831" s="1" t="str">
        <f>HYPERLINK("https%3A%2F%2Fwww.webofscience.com%2Fwos%2Fwoscc%2Ffull-record%2FWOS:000557058800001","View Full Record in Web of Science")</f>
        <v>View Full Record in Web of Science</v>
      </c>
    </row>
    <row r="832" ht="12.75" customHeight="1">
      <c r="A832" s="1" t="s">
        <v>72</v>
      </c>
      <c r="B832" s="1" t="s">
        <v>7641</v>
      </c>
      <c r="C832" s="1" t="s">
        <v>74</v>
      </c>
      <c r="D832" s="1" t="s">
        <v>74</v>
      </c>
      <c r="E832" s="1" t="s">
        <v>74</v>
      </c>
      <c r="F832" s="1" t="s">
        <v>7642</v>
      </c>
      <c r="G832" s="1" t="s">
        <v>74</v>
      </c>
      <c r="H832" s="1" t="s">
        <v>74</v>
      </c>
      <c r="I832" s="1" t="s">
        <v>7643</v>
      </c>
      <c r="J832" s="1" t="s">
        <v>4757</v>
      </c>
      <c r="K832" s="1" t="s">
        <v>74</v>
      </c>
      <c r="L832" s="1" t="s">
        <v>74</v>
      </c>
      <c r="M832" s="1" t="s">
        <v>74</v>
      </c>
      <c r="N832" s="1" t="s">
        <v>74</v>
      </c>
      <c r="O832" s="1" t="s">
        <v>74</v>
      </c>
      <c r="P832" s="1" t="s">
        <v>74</v>
      </c>
      <c r="Q832" s="1" t="s">
        <v>74</v>
      </c>
      <c r="R832" s="1" t="s">
        <v>74</v>
      </c>
      <c r="S832" s="1" t="s">
        <v>74</v>
      </c>
      <c r="T832" s="1" t="s">
        <v>74</v>
      </c>
      <c r="U832" s="1" t="s">
        <v>74</v>
      </c>
      <c r="V832" s="1" t="s">
        <v>7644</v>
      </c>
      <c r="W832" s="1" t="s">
        <v>74</v>
      </c>
      <c r="X832" s="1" t="s">
        <v>74</v>
      </c>
      <c r="Y832" s="1" t="s">
        <v>74</v>
      </c>
      <c r="Z832" s="1" t="s">
        <v>74</v>
      </c>
      <c r="AA832" s="1" t="s">
        <v>3204</v>
      </c>
      <c r="AB832" s="1" t="s">
        <v>7645</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4759</v>
      </c>
      <c r="AP832" s="1" t="s">
        <v>5420</v>
      </c>
      <c r="AQ832" s="1" t="s">
        <v>74</v>
      </c>
      <c r="AR832" s="1" t="s">
        <v>74</v>
      </c>
      <c r="AS832" s="1" t="s">
        <v>74</v>
      </c>
      <c r="AT832" s="1" t="s">
        <v>82</v>
      </c>
      <c r="AU832" s="1">
        <v>2020.0</v>
      </c>
      <c r="AV832" s="1">
        <v>154.0</v>
      </c>
      <c r="AW832" s="1" t="s">
        <v>74</v>
      </c>
      <c r="AX832" s="1" t="s">
        <v>74</v>
      </c>
      <c r="AY832" s="1" t="s">
        <v>74</v>
      </c>
      <c r="AZ832" s="1" t="s">
        <v>74</v>
      </c>
      <c r="BA832" s="1" t="s">
        <v>74</v>
      </c>
      <c r="BB832" s="1" t="s">
        <v>74</v>
      </c>
      <c r="BC832" s="1" t="s">
        <v>74</v>
      </c>
      <c r="BD832" s="1">
        <v>119677.0</v>
      </c>
      <c r="BE832" s="1" t="s">
        <v>7646</v>
      </c>
      <c r="BF832" s="2" t="str">
        <f>HYPERLINK("http://dx.doi.org/10.1016/j.ijheatmasstransfer.2020.119677","http://dx.doi.org/10.1016/j.ijheatmasstransfer.2020.119677")</f>
        <v>http://dx.doi.org/10.1016/j.ijheatmasstransfer.2020.119677</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7647</v>
      </c>
      <c r="BT832" s="1" t="str">
        <f>HYPERLINK("https%3A%2F%2Fwww.webofscience.com%2Fwos%2Fwoscc%2Ffull-record%2FWOS:000537017500034","View Full Record in Web of Science")</f>
        <v>View Full Record in Web of Science</v>
      </c>
    </row>
    <row r="833" ht="12.75" customHeight="1">
      <c r="A833" s="1" t="s">
        <v>72</v>
      </c>
      <c r="B833" s="1" t="s">
        <v>7648</v>
      </c>
      <c r="C833" s="1" t="s">
        <v>74</v>
      </c>
      <c r="D833" s="1" t="s">
        <v>74</v>
      </c>
      <c r="E833" s="1" t="s">
        <v>74</v>
      </c>
      <c r="F833" s="1" t="s">
        <v>7649</v>
      </c>
      <c r="G833" s="1" t="s">
        <v>74</v>
      </c>
      <c r="H833" s="1" t="s">
        <v>74</v>
      </c>
      <c r="I833" s="1" t="s">
        <v>7650</v>
      </c>
      <c r="J833" s="1" t="s">
        <v>5207</v>
      </c>
      <c r="K833" s="1" t="s">
        <v>74</v>
      </c>
      <c r="L833" s="1" t="s">
        <v>74</v>
      </c>
      <c r="M833" s="1" t="s">
        <v>74</v>
      </c>
      <c r="N833" s="1" t="s">
        <v>74</v>
      </c>
      <c r="O833" s="1" t="s">
        <v>74</v>
      </c>
      <c r="P833" s="1" t="s">
        <v>74</v>
      </c>
      <c r="Q833" s="1" t="s">
        <v>74</v>
      </c>
      <c r="R833" s="1" t="s">
        <v>74</v>
      </c>
      <c r="S833" s="1" t="s">
        <v>74</v>
      </c>
      <c r="T833" s="1" t="s">
        <v>74</v>
      </c>
      <c r="U833" s="1" t="s">
        <v>74</v>
      </c>
      <c r="V833" s="1" t="s">
        <v>7651</v>
      </c>
      <c r="W833" s="1" t="s">
        <v>74</v>
      </c>
      <c r="X833" s="1" t="s">
        <v>74</v>
      </c>
      <c r="Y833" s="1" t="s">
        <v>74</v>
      </c>
      <c r="Z833" s="1" t="s">
        <v>74</v>
      </c>
      <c r="AA833" s="1" t="s">
        <v>74</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5209</v>
      </c>
      <c r="AP833" s="1" t="s">
        <v>74</v>
      </c>
      <c r="AQ833" s="1" t="s">
        <v>74</v>
      </c>
      <c r="AR833" s="1" t="s">
        <v>74</v>
      </c>
      <c r="AS833" s="1" t="s">
        <v>74</v>
      </c>
      <c r="AT833" s="1" t="s">
        <v>183</v>
      </c>
      <c r="AU833" s="1">
        <v>2020.0</v>
      </c>
      <c r="AV833" s="1">
        <v>26.0</v>
      </c>
      <c r="AW833" s="1">
        <v>1.0</v>
      </c>
      <c r="AX833" s="1" t="s">
        <v>74</v>
      </c>
      <c r="AY833" s="1" t="s">
        <v>74</v>
      </c>
      <c r="AZ833" s="1" t="s">
        <v>74</v>
      </c>
      <c r="BA833" s="1" t="s">
        <v>74</v>
      </c>
      <c r="BB833" s="1">
        <v>37.0</v>
      </c>
      <c r="BC833" s="1">
        <v>42.0</v>
      </c>
      <c r="BD833" s="1" t="s">
        <v>74</v>
      </c>
      <c r="BE833" s="1" t="s">
        <v>74</v>
      </c>
      <c r="BF833" s="1" t="s">
        <v>74</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7652</v>
      </c>
      <c r="BT833" s="1" t="str">
        <f>HYPERLINK("https%3A%2F%2Fwww.webofscience.com%2Fwos%2Fwoscc%2Ffull-record%2FWOS:000543246400005","View Full Record in Web of Science")</f>
        <v>View Full Record in Web of Science</v>
      </c>
    </row>
    <row r="834" ht="12.75" customHeight="1">
      <c r="A834" s="1" t="s">
        <v>72</v>
      </c>
      <c r="B834" s="1" t="s">
        <v>7653</v>
      </c>
      <c r="C834" s="1" t="s">
        <v>74</v>
      </c>
      <c r="D834" s="1" t="s">
        <v>74</v>
      </c>
      <c r="E834" s="1" t="s">
        <v>74</v>
      </c>
      <c r="F834" s="1" t="s">
        <v>7654</v>
      </c>
      <c r="G834" s="1" t="s">
        <v>74</v>
      </c>
      <c r="H834" s="1" t="s">
        <v>74</v>
      </c>
      <c r="I834" s="1" t="s">
        <v>7655</v>
      </c>
      <c r="J834" s="1" t="s">
        <v>5637</v>
      </c>
      <c r="K834" s="1" t="s">
        <v>74</v>
      </c>
      <c r="L834" s="1" t="s">
        <v>74</v>
      </c>
      <c r="M834" s="1" t="s">
        <v>74</v>
      </c>
      <c r="N834" s="1" t="s">
        <v>74</v>
      </c>
      <c r="O834" s="1" t="s">
        <v>74</v>
      </c>
      <c r="P834" s="1" t="s">
        <v>74</v>
      </c>
      <c r="Q834" s="1" t="s">
        <v>74</v>
      </c>
      <c r="R834" s="1" t="s">
        <v>74</v>
      </c>
      <c r="S834" s="1" t="s">
        <v>74</v>
      </c>
      <c r="T834" s="1" t="s">
        <v>74</v>
      </c>
      <c r="U834" s="1" t="s">
        <v>74</v>
      </c>
      <c r="V834" s="1" t="s">
        <v>7656</v>
      </c>
      <c r="W834" s="1" t="s">
        <v>74</v>
      </c>
      <c r="X834" s="1" t="s">
        <v>74</v>
      </c>
      <c r="Y834" s="1" t="s">
        <v>74</v>
      </c>
      <c r="Z834" s="1" t="s">
        <v>74</v>
      </c>
      <c r="AA834" s="1" t="s">
        <v>1026</v>
      </c>
      <c r="AB834" s="1" t="s">
        <v>1027</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74</v>
      </c>
      <c r="AP834" s="1" t="s">
        <v>5641</v>
      </c>
      <c r="AQ834" s="1" t="s">
        <v>74</v>
      </c>
      <c r="AR834" s="1" t="s">
        <v>74</v>
      </c>
      <c r="AS834" s="1" t="s">
        <v>74</v>
      </c>
      <c r="AT834" s="1" t="s">
        <v>94</v>
      </c>
      <c r="AU834" s="1">
        <v>2020.0</v>
      </c>
      <c r="AV834" s="1">
        <v>8.0</v>
      </c>
      <c r="AW834" s="1">
        <v>1.0</v>
      </c>
      <c r="AX834" s="1" t="s">
        <v>74</v>
      </c>
      <c r="AY834" s="1" t="s">
        <v>74</v>
      </c>
      <c r="AZ834" s="1" t="s">
        <v>74</v>
      </c>
      <c r="BA834" s="1" t="s">
        <v>74</v>
      </c>
      <c r="BB834" s="1" t="s">
        <v>74</v>
      </c>
      <c r="BC834" s="1" t="s">
        <v>74</v>
      </c>
      <c r="BD834" s="1">
        <v>95.0</v>
      </c>
      <c r="BE834" s="1" t="s">
        <v>7657</v>
      </c>
      <c r="BF834" s="2" t="str">
        <f>HYPERLINK("http://dx.doi.org/10.3390/microorganisms8010095","http://dx.doi.org/10.3390/microorganisms8010095")</f>
        <v>http://dx.doi.org/10.3390/microorganisms8010095</v>
      </c>
      <c r="BG834" s="1" t="s">
        <v>74</v>
      </c>
      <c r="BH834" s="1" t="s">
        <v>74</v>
      </c>
      <c r="BI834" s="1" t="s">
        <v>74</v>
      </c>
      <c r="BJ834" s="1" t="s">
        <v>74</v>
      </c>
      <c r="BK834" s="1" t="s">
        <v>74</v>
      </c>
      <c r="BL834" s="1" t="s">
        <v>74</v>
      </c>
      <c r="BM834" s="1" t="s">
        <v>74</v>
      </c>
      <c r="BN834" s="1">
        <v>3.1936717E7</v>
      </c>
      <c r="BO834" s="1" t="s">
        <v>74</v>
      </c>
      <c r="BP834" s="1" t="s">
        <v>74</v>
      </c>
      <c r="BQ834" s="1" t="s">
        <v>74</v>
      </c>
      <c r="BR834" s="1" t="s">
        <v>74</v>
      </c>
      <c r="BS834" s="1" t="s">
        <v>7658</v>
      </c>
      <c r="BT834" s="1" t="str">
        <f>HYPERLINK("https%3A%2F%2Fwww.webofscience.com%2Fwos%2Fwoscc%2Ffull-record%2FWOS:000514650700057","View Full Record in Web of Science")</f>
        <v>View Full Record in Web of Science</v>
      </c>
    </row>
    <row r="835" ht="12.75" customHeight="1">
      <c r="A835" s="1" t="s">
        <v>72</v>
      </c>
      <c r="B835" s="1" t="s">
        <v>7659</v>
      </c>
      <c r="C835" s="1" t="s">
        <v>74</v>
      </c>
      <c r="D835" s="1" t="s">
        <v>74</v>
      </c>
      <c r="E835" s="1" t="s">
        <v>74</v>
      </c>
      <c r="F835" s="1" t="s">
        <v>7660</v>
      </c>
      <c r="G835" s="1" t="s">
        <v>74</v>
      </c>
      <c r="H835" s="1" t="s">
        <v>74</v>
      </c>
      <c r="I835" s="1" t="s">
        <v>7661</v>
      </c>
      <c r="J835" s="1" t="s">
        <v>7662</v>
      </c>
      <c r="K835" s="1" t="s">
        <v>74</v>
      </c>
      <c r="L835" s="1" t="s">
        <v>74</v>
      </c>
      <c r="M835" s="1" t="s">
        <v>74</v>
      </c>
      <c r="N835" s="1" t="s">
        <v>74</v>
      </c>
      <c r="O835" s="1" t="s">
        <v>74</v>
      </c>
      <c r="P835" s="1" t="s">
        <v>74</v>
      </c>
      <c r="Q835" s="1" t="s">
        <v>74</v>
      </c>
      <c r="R835" s="1" t="s">
        <v>74</v>
      </c>
      <c r="S835" s="1" t="s">
        <v>74</v>
      </c>
      <c r="T835" s="1" t="s">
        <v>74</v>
      </c>
      <c r="U835" s="1" t="s">
        <v>74</v>
      </c>
      <c r="V835" s="1" t="s">
        <v>7663</v>
      </c>
      <c r="W835" s="1" t="s">
        <v>74</v>
      </c>
      <c r="X835" s="1" t="s">
        <v>74</v>
      </c>
      <c r="Y835" s="1" t="s">
        <v>74</v>
      </c>
      <c r="Z835" s="1" t="s">
        <v>74</v>
      </c>
      <c r="AA835" s="1" t="s">
        <v>74</v>
      </c>
      <c r="AB835" s="1" t="s">
        <v>7664</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7665</v>
      </c>
      <c r="AP835" s="1" t="s">
        <v>74</v>
      </c>
      <c r="AQ835" s="1" t="s">
        <v>74</v>
      </c>
      <c r="AR835" s="1" t="s">
        <v>74</v>
      </c>
      <c r="AS835" s="1" t="s">
        <v>74</v>
      </c>
      <c r="AT835" s="1" t="s">
        <v>74</v>
      </c>
      <c r="AU835" s="1">
        <v>2019.0</v>
      </c>
      <c r="AV835" s="1">
        <v>37.0</v>
      </c>
      <c r="AW835" s="1">
        <v>3.0</v>
      </c>
      <c r="AX835" s="1" t="s">
        <v>74</v>
      </c>
      <c r="AY835" s="1" t="s">
        <v>74</v>
      </c>
      <c r="AZ835" s="1" t="s">
        <v>74</v>
      </c>
      <c r="BA835" s="1" t="s">
        <v>74</v>
      </c>
      <c r="BB835" s="1">
        <v>295.0</v>
      </c>
      <c r="BC835" s="1">
        <v>316.0</v>
      </c>
      <c r="BD835" s="1" t="s">
        <v>74</v>
      </c>
      <c r="BE835" s="1" t="s">
        <v>74</v>
      </c>
      <c r="BF835" s="1" t="s">
        <v>74</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7666</v>
      </c>
      <c r="BT835" s="1" t="str">
        <f>HYPERLINK("https%3A%2F%2Fwww.webofscience.com%2Fwos%2Fwoscc%2Ffull-record%2FWOS:000515669200009","View Full Record in Web of Science")</f>
        <v>View Full Record in Web of Science</v>
      </c>
    </row>
    <row r="836" ht="12.75" customHeight="1">
      <c r="A836" s="1" t="s">
        <v>72</v>
      </c>
      <c r="B836" s="1" t="s">
        <v>7667</v>
      </c>
      <c r="C836" s="1" t="s">
        <v>74</v>
      </c>
      <c r="D836" s="1" t="s">
        <v>74</v>
      </c>
      <c r="E836" s="1" t="s">
        <v>74</v>
      </c>
      <c r="F836" s="1" t="s">
        <v>7668</v>
      </c>
      <c r="G836" s="1" t="s">
        <v>74</v>
      </c>
      <c r="H836" s="1" t="s">
        <v>74</v>
      </c>
      <c r="I836" s="1" t="s">
        <v>7669</v>
      </c>
      <c r="J836" s="1" t="s">
        <v>2638</v>
      </c>
      <c r="K836" s="1" t="s">
        <v>74</v>
      </c>
      <c r="L836" s="1" t="s">
        <v>74</v>
      </c>
      <c r="M836" s="1" t="s">
        <v>74</v>
      </c>
      <c r="N836" s="1" t="s">
        <v>74</v>
      </c>
      <c r="O836" s="1" t="s">
        <v>74</v>
      </c>
      <c r="P836" s="1" t="s">
        <v>74</v>
      </c>
      <c r="Q836" s="1" t="s">
        <v>74</v>
      </c>
      <c r="R836" s="1" t="s">
        <v>74</v>
      </c>
      <c r="S836" s="1" t="s">
        <v>74</v>
      </c>
      <c r="T836" s="1" t="s">
        <v>74</v>
      </c>
      <c r="U836" s="1" t="s">
        <v>74</v>
      </c>
      <c r="V836" s="1" t="s">
        <v>7670</v>
      </c>
      <c r="W836" s="1" t="s">
        <v>74</v>
      </c>
      <c r="X836" s="1" t="s">
        <v>74</v>
      </c>
      <c r="Y836" s="1" t="s">
        <v>74</v>
      </c>
      <c r="Z836" s="1" t="s">
        <v>74</v>
      </c>
      <c r="AA836" s="1" t="s">
        <v>7671</v>
      </c>
      <c r="AB836" s="1" t="s">
        <v>5020</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2641</v>
      </c>
      <c r="AP836" s="1" t="s">
        <v>2642</v>
      </c>
      <c r="AQ836" s="1" t="s">
        <v>74</v>
      </c>
      <c r="AR836" s="1" t="s">
        <v>74</v>
      </c>
      <c r="AS836" s="1" t="s">
        <v>74</v>
      </c>
      <c r="AT836" s="1" t="s">
        <v>353</v>
      </c>
      <c r="AU836" s="1">
        <v>2018.0</v>
      </c>
      <c r="AV836" s="1">
        <v>73.0</v>
      </c>
      <c r="AW836" s="1" t="s">
        <v>74</v>
      </c>
      <c r="AX836" s="1" t="s">
        <v>74</v>
      </c>
      <c r="AY836" s="1" t="s">
        <v>74</v>
      </c>
      <c r="AZ836" s="1" t="s">
        <v>74</v>
      </c>
      <c r="BA836" s="1" t="s">
        <v>74</v>
      </c>
      <c r="BB836" s="1">
        <v>56.0</v>
      </c>
      <c r="BC836" s="1">
        <v>64.0</v>
      </c>
      <c r="BD836" s="1" t="s">
        <v>74</v>
      </c>
      <c r="BE836" s="1" t="s">
        <v>7672</v>
      </c>
      <c r="BF836" s="2" t="str">
        <f>HYPERLINK("http://dx.doi.org/10.1016/j.procbio.2018.08.016","http://dx.doi.org/10.1016/j.procbio.2018.08.016")</f>
        <v>http://dx.doi.org/10.1016/j.procbio.2018.08.016</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7673</v>
      </c>
      <c r="BT836" s="1" t="str">
        <f>HYPERLINK("https%3A%2F%2Fwww.webofscience.com%2Fwos%2Fwoscc%2Ffull-record%2FWOS:000447475300008","View Full Record in Web of Science")</f>
        <v>View Full Record in Web of Science</v>
      </c>
    </row>
    <row r="837" ht="12.75" customHeight="1">
      <c r="A837" s="1" t="s">
        <v>72</v>
      </c>
      <c r="B837" s="1" t="s">
        <v>7674</v>
      </c>
      <c r="C837" s="1" t="s">
        <v>74</v>
      </c>
      <c r="D837" s="1" t="s">
        <v>74</v>
      </c>
      <c r="E837" s="1" t="s">
        <v>74</v>
      </c>
      <c r="F837" s="1" t="s">
        <v>7675</v>
      </c>
      <c r="G837" s="1" t="s">
        <v>74</v>
      </c>
      <c r="H837" s="1" t="s">
        <v>74</v>
      </c>
      <c r="I837" s="1" t="s">
        <v>7676</v>
      </c>
      <c r="J837" s="1" t="s">
        <v>6377</v>
      </c>
      <c r="K837" s="1" t="s">
        <v>74</v>
      </c>
      <c r="L837" s="1" t="s">
        <v>74</v>
      </c>
      <c r="M837" s="1" t="s">
        <v>74</v>
      </c>
      <c r="N837" s="1" t="s">
        <v>74</v>
      </c>
      <c r="O837" s="1" t="s">
        <v>74</v>
      </c>
      <c r="P837" s="1" t="s">
        <v>74</v>
      </c>
      <c r="Q837" s="1" t="s">
        <v>74</v>
      </c>
      <c r="R837" s="1" t="s">
        <v>74</v>
      </c>
      <c r="S837" s="1" t="s">
        <v>74</v>
      </c>
      <c r="T837" s="1" t="s">
        <v>74</v>
      </c>
      <c r="U837" s="1" t="s">
        <v>74</v>
      </c>
      <c r="V837" s="1" t="s">
        <v>7677</v>
      </c>
      <c r="W837" s="1" t="s">
        <v>74</v>
      </c>
      <c r="X837" s="1" t="s">
        <v>74</v>
      </c>
      <c r="Y837" s="1" t="s">
        <v>74</v>
      </c>
      <c r="Z837" s="1" t="s">
        <v>74</v>
      </c>
      <c r="AA837" s="1" t="s">
        <v>7678</v>
      </c>
      <c r="AB837" s="1" t="s">
        <v>7679</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6381</v>
      </c>
      <c r="AP837" s="1" t="s">
        <v>6382</v>
      </c>
      <c r="AQ837" s="1" t="s">
        <v>74</v>
      </c>
      <c r="AR837" s="1" t="s">
        <v>74</v>
      </c>
      <c r="AS837" s="1" t="s">
        <v>74</v>
      </c>
      <c r="AT837" s="1" t="s">
        <v>2921</v>
      </c>
      <c r="AU837" s="1">
        <v>2018.0</v>
      </c>
      <c r="AV837" s="1">
        <v>157.0</v>
      </c>
      <c r="AW837" s="1" t="s">
        <v>74</v>
      </c>
      <c r="AX837" s="1" t="s">
        <v>74</v>
      </c>
      <c r="AY837" s="1" t="s">
        <v>74</v>
      </c>
      <c r="AZ837" s="1" t="s">
        <v>74</v>
      </c>
      <c r="BA837" s="1" t="s">
        <v>74</v>
      </c>
      <c r="BB837" s="1">
        <v>176.0</v>
      </c>
      <c r="BC837" s="1">
        <v>181.0</v>
      </c>
      <c r="BD837" s="1" t="s">
        <v>74</v>
      </c>
      <c r="BE837" s="1" t="s">
        <v>7680</v>
      </c>
      <c r="BF837" s="2" t="str">
        <f>HYPERLINK("http://dx.doi.org/10.1016/j.ecoenv.2018.03.087","http://dx.doi.org/10.1016/j.ecoenv.2018.03.087")</f>
        <v>http://dx.doi.org/10.1016/j.ecoenv.2018.03.087</v>
      </c>
      <c r="BG837" s="1" t="s">
        <v>74</v>
      </c>
      <c r="BH837" s="1" t="s">
        <v>74</v>
      </c>
      <c r="BI837" s="1" t="s">
        <v>74</v>
      </c>
      <c r="BJ837" s="1" t="s">
        <v>74</v>
      </c>
      <c r="BK837" s="1" t="s">
        <v>74</v>
      </c>
      <c r="BL837" s="1" t="s">
        <v>74</v>
      </c>
      <c r="BM837" s="1" t="s">
        <v>74</v>
      </c>
      <c r="BN837" s="1">
        <v>2.9621709E7</v>
      </c>
      <c r="BO837" s="1" t="s">
        <v>74</v>
      </c>
      <c r="BP837" s="1" t="s">
        <v>74</v>
      </c>
      <c r="BQ837" s="1" t="s">
        <v>74</v>
      </c>
      <c r="BR837" s="1" t="s">
        <v>74</v>
      </c>
      <c r="BS837" s="1" t="s">
        <v>7681</v>
      </c>
      <c r="BT837" s="1" t="str">
        <f>HYPERLINK("https%3A%2F%2Fwww.webofscience.com%2Fwos%2Fwoscc%2Ffull-record%2FWOS:000431835400021","View Full Record in Web of Science")</f>
        <v>View Full Record in Web of Science</v>
      </c>
    </row>
    <row r="838" ht="12.75" customHeight="1">
      <c r="A838" s="1" t="s">
        <v>72</v>
      </c>
      <c r="B838" s="1" t="s">
        <v>7682</v>
      </c>
      <c r="C838" s="1" t="s">
        <v>74</v>
      </c>
      <c r="D838" s="1" t="s">
        <v>74</v>
      </c>
      <c r="E838" s="1" t="s">
        <v>74</v>
      </c>
      <c r="F838" s="1" t="s">
        <v>7683</v>
      </c>
      <c r="G838" s="1" t="s">
        <v>74</v>
      </c>
      <c r="H838" s="1" t="s">
        <v>74</v>
      </c>
      <c r="I838" s="1" t="s">
        <v>7684</v>
      </c>
      <c r="J838" s="1" t="s">
        <v>4317</v>
      </c>
      <c r="K838" s="1" t="s">
        <v>74</v>
      </c>
      <c r="L838" s="1" t="s">
        <v>74</v>
      </c>
      <c r="M838" s="1" t="s">
        <v>74</v>
      </c>
      <c r="N838" s="1" t="s">
        <v>74</v>
      </c>
      <c r="O838" s="1" t="s">
        <v>74</v>
      </c>
      <c r="P838" s="1" t="s">
        <v>74</v>
      </c>
      <c r="Q838" s="1" t="s">
        <v>74</v>
      </c>
      <c r="R838" s="1" t="s">
        <v>74</v>
      </c>
      <c r="S838" s="1" t="s">
        <v>74</v>
      </c>
      <c r="T838" s="1" t="s">
        <v>74</v>
      </c>
      <c r="U838" s="1" t="s">
        <v>74</v>
      </c>
      <c r="V838" s="1" t="s">
        <v>74</v>
      </c>
      <c r="W838" s="1" t="s">
        <v>74</v>
      </c>
      <c r="X838" s="1" t="s">
        <v>74</v>
      </c>
      <c r="Y838" s="1" t="s">
        <v>74</v>
      </c>
      <c r="Z838" s="1" t="s">
        <v>74</v>
      </c>
      <c r="AA838" s="1" t="s">
        <v>74</v>
      </c>
      <c r="AB838" s="1" t="s">
        <v>74</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4318</v>
      </c>
      <c r="AP838" s="1" t="s">
        <v>4319</v>
      </c>
      <c r="AQ838" s="1" t="s">
        <v>74</v>
      </c>
      <c r="AR838" s="1" t="s">
        <v>74</v>
      </c>
      <c r="AS838" s="1" t="s">
        <v>74</v>
      </c>
      <c r="AT838" s="1" t="s">
        <v>116</v>
      </c>
      <c r="AU838" s="1">
        <v>2018.0</v>
      </c>
      <c r="AV838" s="1">
        <v>75.0</v>
      </c>
      <c r="AW838" s="1">
        <v>3.0</v>
      </c>
      <c r="AX838" s="1" t="s">
        <v>74</v>
      </c>
      <c r="AY838" s="1" t="s">
        <v>74</v>
      </c>
      <c r="AZ838" s="1" t="s">
        <v>74</v>
      </c>
      <c r="BA838" s="1" t="s">
        <v>74</v>
      </c>
      <c r="BB838" s="1">
        <v>593.0</v>
      </c>
      <c r="BC838" s="1">
        <v>594.0</v>
      </c>
      <c r="BD838" s="1" t="s">
        <v>74</v>
      </c>
      <c r="BE838" s="1" t="s">
        <v>7685</v>
      </c>
      <c r="BF838" s="2" t="str">
        <f>HYPERLINK("http://dx.doi.org/10.1017/tam.2018.23","http://dx.doi.org/10.1017/tam.2018.23")</f>
        <v>http://dx.doi.org/10.1017/tam.2018.23</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7686</v>
      </c>
      <c r="BT838" s="1" t="str">
        <f>HYPERLINK("https%3A%2F%2Fwww.webofscience.com%2Fwos%2Fwoscc%2Ffull-record%2FWOS:000439041200024","View Full Record in Web of Science")</f>
        <v>View Full Record in Web of Science</v>
      </c>
    </row>
    <row r="839" ht="12.75" customHeight="1">
      <c r="A839" s="1" t="s">
        <v>72</v>
      </c>
      <c r="B839" s="1" t="s">
        <v>7687</v>
      </c>
      <c r="C839" s="1" t="s">
        <v>74</v>
      </c>
      <c r="D839" s="1" t="s">
        <v>74</v>
      </c>
      <c r="E839" s="1" t="s">
        <v>74</v>
      </c>
      <c r="F839" s="1" t="s">
        <v>7688</v>
      </c>
      <c r="G839" s="1" t="s">
        <v>74</v>
      </c>
      <c r="H839" s="1" t="s">
        <v>74</v>
      </c>
      <c r="I839" s="1" t="s">
        <v>7689</v>
      </c>
      <c r="J839" s="1" t="s">
        <v>77</v>
      </c>
      <c r="K839" s="1" t="s">
        <v>74</v>
      </c>
      <c r="L839" s="1" t="s">
        <v>74</v>
      </c>
      <c r="M839" s="1" t="s">
        <v>74</v>
      </c>
      <c r="N839" s="1" t="s">
        <v>74</v>
      </c>
      <c r="O839" s="1" t="s">
        <v>74</v>
      </c>
      <c r="P839" s="1" t="s">
        <v>74</v>
      </c>
      <c r="Q839" s="1" t="s">
        <v>74</v>
      </c>
      <c r="R839" s="1" t="s">
        <v>74</v>
      </c>
      <c r="S839" s="1" t="s">
        <v>74</v>
      </c>
      <c r="T839" s="1" t="s">
        <v>74</v>
      </c>
      <c r="U839" s="1" t="s">
        <v>74</v>
      </c>
      <c r="V839" s="1" t="s">
        <v>7690</v>
      </c>
      <c r="W839" s="1" t="s">
        <v>74</v>
      </c>
      <c r="X839" s="1" t="s">
        <v>74</v>
      </c>
      <c r="Y839" s="1" t="s">
        <v>74</v>
      </c>
      <c r="Z839" s="1" t="s">
        <v>74</v>
      </c>
      <c r="AA839" s="1" t="s">
        <v>90</v>
      </c>
      <c r="AB839" s="1" t="s">
        <v>7691</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80</v>
      </c>
      <c r="AP839" s="1" t="s">
        <v>81</v>
      </c>
      <c r="AQ839" s="1" t="s">
        <v>74</v>
      </c>
      <c r="AR839" s="1" t="s">
        <v>74</v>
      </c>
      <c r="AS839" s="1" t="s">
        <v>74</v>
      </c>
      <c r="AT839" s="1" t="s">
        <v>607</v>
      </c>
      <c r="AU839" s="1">
        <v>2018.0</v>
      </c>
      <c r="AV839" s="1">
        <v>54.0</v>
      </c>
      <c r="AW839" s="1" t="s">
        <v>74</v>
      </c>
      <c r="AX839" s="1" t="s">
        <v>74</v>
      </c>
      <c r="AY839" s="1" t="s">
        <v>74</v>
      </c>
      <c r="AZ839" s="1" t="s">
        <v>74</v>
      </c>
      <c r="BA839" s="1" t="s">
        <v>74</v>
      </c>
      <c r="BB839" s="1">
        <v>768.0</v>
      </c>
      <c r="BC839" s="1">
        <v>781.0</v>
      </c>
      <c r="BD839" s="1" t="s">
        <v>74</v>
      </c>
      <c r="BE839" s="1" t="s">
        <v>7692</v>
      </c>
      <c r="BF839" s="2" t="str">
        <f>HYPERLINK("http://dx.doi.org/10.1016/j.apm.2017.10.008","http://dx.doi.org/10.1016/j.apm.2017.10.008")</f>
        <v>http://dx.doi.org/10.1016/j.apm.2017.10.008</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7693</v>
      </c>
      <c r="BT839" s="1" t="str">
        <f>HYPERLINK("https%3A%2F%2Fwww.webofscience.com%2Fwos%2Fwoscc%2Ffull-record%2FWOS:000423005000046","View Full Record in Web of Science")</f>
        <v>View Full Record in Web of Science</v>
      </c>
    </row>
    <row r="840" ht="12.75" customHeight="1">
      <c r="A840" s="1" t="s">
        <v>72</v>
      </c>
      <c r="B840" s="1" t="s">
        <v>7694</v>
      </c>
      <c r="C840" s="1" t="s">
        <v>74</v>
      </c>
      <c r="D840" s="1" t="s">
        <v>74</v>
      </c>
      <c r="E840" s="1" t="s">
        <v>74</v>
      </c>
      <c r="F840" s="1" t="s">
        <v>7695</v>
      </c>
      <c r="G840" s="1" t="s">
        <v>74</v>
      </c>
      <c r="H840" s="1" t="s">
        <v>74</v>
      </c>
      <c r="I840" s="1" t="s">
        <v>7696</v>
      </c>
      <c r="J840" s="1" t="s">
        <v>7697</v>
      </c>
      <c r="K840" s="1" t="s">
        <v>74</v>
      </c>
      <c r="L840" s="1" t="s">
        <v>74</v>
      </c>
      <c r="M840" s="1" t="s">
        <v>74</v>
      </c>
      <c r="N840" s="1" t="s">
        <v>74</v>
      </c>
      <c r="O840" s="1" t="s">
        <v>74</v>
      </c>
      <c r="P840" s="1" t="s">
        <v>74</v>
      </c>
      <c r="Q840" s="1" t="s">
        <v>74</v>
      </c>
      <c r="R840" s="1" t="s">
        <v>74</v>
      </c>
      <c r="S840" s="1" t="s">
        <v>74</v>
      </c>
      <c r="T840" s="1" t="s">
        <v>74</v>
      </c>
      <c r="U840" s="1" t="s">
        <v>74</v>
      </c>
      <c r="V840" s="1" t="s">
        <v>7698</v>
      </c>
      <c r="W840" s="1" t="s">
        <v>74</v>
      </c>
      <c r="X840" s="1" t="s">
        <v>74</v>
      </c>
      <c r="Y840" s="1" t="s">
        <v>74</v>
      </c>
      <c r="Z840" s="1" t="s">
        <v>74</v>
      </c>
      <c r="AA840" s="1" t="s">
        <v>74</v>
      </c>
      <c r="AB840" s="1" t="s">
        <v>74</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7699</v>
      </c>
      <c r="AP840" s="1" t="s">
        <v>7700</v>
      </c>
      <c r="AQ840" s="1" t="s">
        <v>74</v>
      </c>
      <c r="AR840" s="1" t="s">
        <v>74</v>
      </c>
      <c r="AS840" s="1" t="s">
        <v>74</v>
      </c>
      <c r="AT840" s="1" t="s">
        <v>74</v>
      </c>
      <c r="AU840" s="1">
        <v>2018.0</v>
      </c>
      <c r="AV840" s="1">
        <v>25.0</v>
      </c>
      <c r="AW840" s="1">
        <v>1.0</v>
      </c>
      <c r="AX840" s="1" t="s">
        <v>74</v>
      </c>
      <c r="AY840" s="1" t="s">
        <v>74</v>
      </c>
      <c r="AZ840" s="1" t="s">
        <v>74</v>
      </c>
      <c r="BA840" s="1" t="s">
        <v>74</v>
      </c>
      <c r="BB840" s="1">
        <v>86.0</v>
      </c>
      <c r="BC840" s="1">
        <v>99.0</v>
      </c>
      <c r="BD840" s="1" t="s">
        <v>74</v>
      </c>
      <c r="BE840" s="1" t="s">
        <v>7701</v>
      </c>
      <c r="BF840" s="2" t="str">
        <f>HYPERLINK("http://dx.doi.org/10.1080/10749039.2017.1386218","http://dx.doi.org/10.1080/10749039.2017.1386218")</f>
        <v>http://dx.doi.org/10.1080/10749039.2017.1386218</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7702</v>
      </c>
      <c r="BT840" s="1" t="str">
        <f>HYPERLINK("https%3A%2F%2Fwww.webofscience.com%2Fwos%2Fwoscc%2Ffull-record%2FWOS:000424076800008","View Full Record in Web of Science")</f>
        <v>View Full Record in Web of Science</v>
      </c>
    </row>
    <row r="841" ht="12.75" customHeight="1">
      <c r="A841" s="1" t="s">
        <v>72</v>
      </c>
      <c r="B841" s="1" t="s">
        <v>7703</v>
      </c>
      <c r="C841" s="1" t="s">
        <v>74</v>
      </c>
      <c r="D841" s="1" t="s">
        <v>74</v>
      </c>
      <c r="E841" s="1" t="s">
        <v>74</v>
      </c>
      <c r="F841" s="1" t="s">
        <v>7704</v>
      </c>
      <c r="G841" s="1" t="s">
        <v>74</v>
      </c>
      <c r="H841" s="1" t="s">
        <v>74</v>
      </c>
      <c r="I841" s="1" t="s">
        <v>7705</v>
      </c>
      <c r="J841" s="1" t="s">
        <v>7706</v>
      </c>
      <c r="K841" s="1" t="s">
        <v>74</v>
      </c>
      <c r="L841" s="1" t="s">
        <v>74</v>
      </c>
      <c r="M841" s="1" t="s">
        <v>74</v>
      </c>
      <c r="N841" s="1" t="s">
        <v>74</v>
      </c>
      <c r="O841" s="1" t="s">
        <v>74</v>
      </c>
      <c r="P841" s="1" t="s">
        <v>74</v>
      </c>
      <c r="Q841" s="1" t="s">
        <v>74</v>
      </c>
      <c r="R841" s="1" t="s">
        <v>74</v>
      </c>
      <c r="S841" s="1" t="s">
        <v>74</v>
      </c>
      <c r="T841" s="1" t="s">
        <v>74</v>
      </c>
      <c r="U841" s="1" t="s">
        <v>74</v>
      </c>
      <c r="V841" s="1" t="s">
        <v>7707</v>
      </c>
      <c r="W841" s="1" t="s">
        <v>74</v>
      </c>
      <c r="X841" s="1" t="s">
        <v>74</v>
      </c>
      <c r="Y841" s="1" t="s">
        <v>74</v>
      </c>
      <c r="Z841" s="1" t="s">
        <v>74</v>
      </c>
      <c r="AA841" s="1" t="s">
        <v>74</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7708</v>
      </c>
      <c r="AP841" s="1" t="s">
        <v>7709</v>
      </c>
      <c r="AQ841" s="1" t="s">
        <v>74</v>
      </c>
      <c r="AR841" s="1" t="s">
        <v>74</v>
      </c>
      <c r="AS841" s="1" t="s">
        <v>74</v>
      </c>
      <c r="AT841" s="1" t="s">
        <v>74</v>
      </c>
      <c r="AU841" s="1">
        <v>2018.0</v>
      </c>
      <c r="AV841" s="1">
        <v>23.0</v>
      </c>
      <c r="AW841" s="1">
        <v>2.0</v>
      </c>
      <c r="AX841" s="1" t="s">
        <v>74</v>
      </c>
      <c r="AY841" s="1" t="s">
        <v>74</v>
      </c>
      <c r="AZ841" s="1" t="s">
        <v>74</v>
      </c>
      <c r="BA841" s="1" t="s">
        <v>74</v>
      </c>
      <c r="BB841" s="1">
        <v>547.0</v>
      </c>
      <c r="BC841" s="1">
        <v>560.0</v>
      </c>
      <c r="BD841" s="1" t="s">
        <v>74</v>
      </c>
      <c r="BE841" s="1" t="s">
        <v>7710</v>
      </c>
      <c r="BF841" s="2" t="str">
        <f>HYPERLINK("http://dx.doi.org/10.5209/HICS.62273","http://dx.doi.org/10.5209/HICS.62273")</f>
        <v>http://dx.doi.org/10.5209/HICS.62273</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7711</v>
      </c>
      <c r="BT841" s="1" t="str">
        <f>HYPERLINK("https%3A%2F%2Fwww.webofscience.com%2Fwos%2Fwoscc%2Ffull-record%2FWOS:000451641600017","View Full Record in Web of Science")</f>
        <v>View Full Record in Web of Science</v>
      </c>
    </row>
    <row r="842" ht="12.75" customHeight="1">
      <c r="A842" s="1" t="s">
        <v>72</v>
      </c>
      <c r="B842" s="1" t="s">
        <v>7712</v>
      </c>
      <c r="C842" s="1" t="s">
        <v>74</v>
      </c>
      <c r="D842" s="1" t="s">
        <v>74</v>
      </c>
      <c r="E842" s="1" t="s">
        <v>74</v>
      </c>
      <c r="F842" s="1" t="s">
        <v>7713</v>
      </c>
      <c r="G842" s="1" t="s">
        <v>74</v>
      </c>
      <c r="H842" s="1" t="s">
        <v>74</v>
      </c>
      <c r="I842" s="1" t="s">
        <v>7714</v>
      </c>
      <c r="J842" s="1" t="s">
        <v>1377</v>
      </c>
      <c r="K842" s="1" t="s">
        <v>74</v>
      </c>
      <c r="L842" s="1" t="s">
        <v>74</v>
      </c>
      <c r="M842" s="1" t="s">
        <v>74</v>
      </c>
      <c r="N842" s="1" t="s">
        <v>74</v>
      </c>
      <c r="O842" s="1" t="s">
        <v>74</v>
      </c>
      <c r="P842" s="1" t="s">
        <v>74</v>
      </c>
      <c r="Q842" s="1" t="s">
        <v>74</v>
      </c>
      <c r="R842" s="1" t="s">
        <v>74</v>
      </c>
      <c r="S842" s="1" t="s">
        <v>74</v>
      </c>
      <c r="T842" s="1" t="s">
        <v>74</v>
      </c>
      <c r="U842" s="1" t="s">
        <v>74</v>
      </c>
      <c r="V842" s="1" t="s">
        <v>7715</v>
      </c>
      <c r="W842" s="1" t="s">
        <v>74</v>
      </c>
      <c r="X842" s="1" t="s">
        <v>74</v>
      </c>
      <c r="Y842" s="1" t="s">
        <v>74</v>
      </c>
      <c r="Z842" s="1" t="s">
        <v>74</v>
      </c>
      <c r="AA842" s="1" t="s">
        <v>7716</v>
      </c>
      <c r="AB842" s="1" t="s">
        <v>74</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1381</v>
      </c>
      <c r="AP842" s="1" t="s">
        <v>1382</v>
      </c>
      <c r="AQ842" s="1" t="s">
        <v>74</v>
      </c>
      <c r="AR842" s="1" t="s">
        <v>74</v>
      </c>
      <c r="AS842" s="1" t="s">
        <v>74</v>
      </c>
      <c r="AT842" s="1" t="s">
        <v>7717</v>
      </c>
      <c r="AU842" s="1">
        <v>2017.0</v>
      </c>
      <c r="AV842" s="1">
        <v>96.0</v>
      </c>
      <c r="AW842" s="1">
        <v>6.0</v>
      </c>
      <c r="AX842" s="1" t="s">
        <v>74</v>
      </c>
      <c r="AY842" s="1" t="s">
        <v>74</v>
      </c>
      <c r="AZ842" s="1" t="s">
        <v>74</v>
      </c>
      <c r="BA842" s="1" t="s">
        <v>74</v>
      </c>
      <c r="BB842" s="1" t="s">
        <v>74</v>
      </c>
      <c r="BC842" s="1" t="s">
        <v>74</v>
      </c>
      <c r="BD842" s="1">
        <v>62112.0</v>
      </c>
      <c r="BE842" s="1" t="s">
        <v>7718</v>
      </c>
      <c r="BF842" s="2" t="str">
        <f>HYPERLINK("http://dx.doi.org/10.1103/PhysRevA.96.062112","http://dx.doi.org/10.1103/PhysRevA.96.062112")</f>
        <v>http://dx.doi.org/10.1103/PhysRevA.96.062112</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7719</v>
      </c>
      <c r="BT842" s="1" t="str">
        <f>HYPERLINK("https%3A%2F%2Fwww.webofscience.com%2Fwos%2Fwoscc%2Ffull-record%2FWOS:000417634800002","View Full Record in Web of Science")</f>
        <v>View Full Record in Web of Science</v>
      </c>
    </row>
    <row r="843" ht="12.75" customHeight="1">
      <c r="A843" s="1" t="s">
        <v>72</v>
      </c>
      <c r="B843" s="1" t="s">
        <v>7720</v>
      </c>
      <c r="C843" s="1" t="s">
        <v>74</v>
      </c>
      <c r="D843" s="1" t="s">
        <v>74</v>
      </c>
      <c r="E843" s="1" t="s">
        <v>74</v>
      </c>
      <c r="F843" s="1" t="s">
        <v>7721</v>
      </c>
      <c r="G843" s="1" t="s">
        <v>74</v>
      </c>
      <c r="H843" s="1" t="s">
        <v>74</v>
      </c>
      <c r="I843" s="1" t="s">
        <v>7722</v>
      </c>
      <c r="J843" s="1" t="s">
        <v>7723</v>
      </c>
      <c r="K843" s="1" t="s">
        <v>74</v>
      </c>
      <c r="L843" s="1" t="s">
        <v>74</v>
      </c>
      <c r="M843" s="1" t="s">
        <v>74</v>
      </c>
      <c r="N843" s="1" t="s">
        <v>74</v>
      </c>
      <c r="O843" s="1" t="s">
        <v>74</v>
      </c>
      <c r="P843" s="1" t="s">
        <v>74</v>
      </c>
      <c r="Q843" s="1" t="s">
        <v>74</v>
      </c>
      <c r="R843" s="1" t="s">
        <v>74</v>
      </c>
      <c r="S843" s="1" t="s">
        <v>74</v>
      </c>
      <c r="T843" s="1" t="s">
        <v>74</v>
      </c>
      <c r="U843" s="1" t="s">
        <v>74</v>
      </c>
      <c r="V843" s="1" t="s">
        <v>7724</v>
      </c>
      <c r="W843" s="1" t="s">
        <v>74</v>
      </c>
      <c r="X843" s="1" t="s">
        <v>74</v>
      </c>
      <c r="Y843" s="1" t="s">
        <v>74</v>
      </c>
      <c r="Z843" s="1" t="s">
        <v>74</v>
      </c>
      <c r="AA843" s="1" t="s">
        <v>7725</v>
      </c>
      <c r="AB843" s="1" t="s">
        <v>7726</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7727</v>
      </c>
      <c r="AP843" s="1" t="s">
        <v>7728</v>
      </c>
      <c r="AQ843" s="1" t="s">
        <v>74</v>
      </c>
      <c r="AR843" s="1" t="s">
        <v>74</v>
      </c>
      <c r="AS843" s="1" t="s">
        <v>74</v>
      </c>
      <c r="AT843" s="1" t="s">
        <v>501</v>
      </c>
      <c r="AU843" s="1">
        <v>2017.0</v>
      </c>
      <c r="AV843" s="1">
        <v>41.0</v>
      </c>
      <c r="AW843" s="1">
        <v>3.0</v>
      </c>
      <c r="AX843" s="1" t="s">
        <v>74</v>
      </c>
      <c r="AY843" s="1" t="s">
        <v>74</v>
      </c>
      <c r="AZ843" s="1" t="s">
        <v>74</v>
      </c>
      <c r="BA843" s="1" t="s">
        <v>74</v>
      </c>
      <c r="BB843" s="1">
        <v>275.0</v>
      </c>
      <c r="BC843" s="1">
        <v>295.0</v>
      </c>
      <c r="BD843" s="1" t="s">
        <v>74</v>
      </c>
      <c r="BE843" s="1" t="s">
        <v>7729</v>
      </c>
      <c r="BF843" s="2" t="str">
        <f>HYPERLINK("http://dx.doi.org/10.1007/s11044-017-9565-8","http://dx.doi.org/10.1007/s11044-017-9565-8")</f>
        <v>http://dx.doi.org/10.1007/s11044-017-9565-8</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7730</v>
      </c>
      <c r="BT843" s="1" t="str">
        <f>HYPERLINK("https%3A%2F%2Fwww.webofscience.com%2Fwos%2Fwoscc%2Ffull-record%2FWOS:000412691100004","View Full Record in Web of Science")</f>
        <v>View Full Record in Web of Science</v>
      </c>
    </row>
    <row r="844" ht="12.75" customHeight="1">
      <c r="A844" s="1" t="s">
        <v>72</v>
      </c>
      <c r="B844" s="1" t="s">
        <v>7731</v>
      </c>
      <c r="C844" s="1" t="s">
        <v>74</v>
      </c>
      <c r="D844" s="1" t="s">
        <v>74</v>
      </c>
      <c r="E844" s="1" t="s">
        <v>74</v>
      </c>
      <c r="F844" s="1" t="s">
        <v>7732</v>
      </c>
      <c r="G844" s="1" t="s">
        <v>74</v>
      </c>
      <c r="H844" s="1" t="s">
        <v>74</v>
      </c>
      <c r="I844" s="1" t="s">
        <v>7733</v>
      </c>
      <c r="J844" s="1" t="s">
        <v>7734</v>
      </c>
      <c r="K844" s="1" t="s">
        <v>74</v>
      </c>
      <c r="L844" s="1" t="s">
        <v>74</v>
      </c>
      <c r="M844" s="1" t="s">
        <v>74</v>
      </c>
      <c r="N844" s="1" t="s">
        <v>74</v>
      </c>
      <c r="O844" s="1" t="s">
        <v>7735</v>
      </c>
      <c r="P844" s="1" t="s">
        <v>7736</v>
      </c>
      <c r="Q844" s="1" t="s">
        <v>7737</v>
      </c>
      <c r="R844" s="1" t="s">
        <v>7738</v>
      </c>
      <c r="S844" s="1" t="s">
        <v>7739</v>
      </c>
      <c r="T844" s="1" t="s">
        <v>74</v>
      </c>
      <c r="U844" s="1" t="s">
        <v>74</v>
      </c>
      <c r="V844" s="1" t="s">
        <v>7740</v>
      </c>
      <c r="W844" s="1" t="s">
        <v>74</v>
      </c>
      <c r="X844" s="1" t="s">
        <v>74</v>
      </c>
      <c r="Y844" s="1" t="s">
        <v>74</v>
      </c>
      <c r="Z844" s="1" t="s">
        <v>74</v>
      </c>
      <c r="AA844" s="1" t="s">
        <v>7741</v>
      </c>
      <c r="AB844" s="1" t="s">
        <v>7742</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7743</v>
      </c>
      <c r="AP844" s="1" t="s">
        <v>7744</v>
      </c>
      <c r="AQ844" s="1" t="s">
        <v>74</v>
      </c>
      <c r="AR844" s="1" t="s">
        <v>74</v>
      </c>
      <c r="AS844" s="1" t="s">
        <v>74</v>
      </c>
      <c r="AT844" s="1" t="s">
        <v>800</v>
      </c>
      <c r="AU844" s="1">
        <v>2016.0</v>
      </c>
      <c r="AV844" s="1">
        <v>203.0</v>
      </c>
      <c r="AW844" s="1" t="s">
        <v>74</v>
      </c>
      <c r="AX844" s="1" t="s">
        <v>74</v>
      </c>
      <c r="AY844" s="1" t="s">
        <v>74</v>
      </c>
      <c r="AZ844" s="1" t="s">
        <v>2319</v>
      </c>
      <c r="BA844" s="1" t="s">
        <v>74</v>
      </c>
      <c r="BB844" s="1">
        <v>67.0</v>
      </c>
      <c r="BC844" s="1">
        <v>83.0</v>
      </c>
      <c r="BD844" s="1" t="s">
        <v>74</v>
      </c>
      <c r="BE844" s="1" t="s">
        <v>7745</v>
      </c>
      <c r="BF844" s="2" t="str">
        <f>HYPERLINK("http://dx.doi.org/10.1016/j.topol.2015.12.076","http://dx.doi.org/10.1016/j.topol.2015.12.076")</f>
        <v>http://dx.doi.org/10.1016/j.topol.2015.12.076</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7746</v>
      </c>
      <c r="BT844" s="1" t="str">
        <f>HYPERLINK("https%3A%2F%2Fwww.webofscience.com%2Fwos%2Fwoscc%2Ffull-record%2FWOS:000374797700008","View Full Record in Web of Science")</f>
        <v>View Full Record in Web of Science</v>
      </c>
    </row>
    <row r="845" ht="12.75" customHeight="1">
      <c r="A845" s="1" t="s">
        <v>241</v>
      </c>
      <c r="B845" s="1" t="s">
        <v>7747</v>
      </c>
      <c r="C845" s="1" t="s">
        <v>74</v>
      </c>
      <c r="D845" s="1" t="s">
        <v>7748</v>
      </c>
      <c r="E845" s="1" t="s">
        <v>74</v>
      </c>
      <c r="F845" s="1" t="s">
        <v>7749</v>
      </c>
      <c r="G845" s="1" t="s">
        <v>74</v>
      </c>
      <c r="H845" s="1" t="s">
        <v>74</v>
      </c>
      <c r="I845" s="1" t="s">
        <v>7750</v>
      </c>
      <c r="J845" s="1" t="s">
        <v>7751</v>
      </c>
      <c r="K845" s="1" t="s">
        <v>7752</v>
      </c>
      <c r="L845" s="1" t="s">
        <v>74</v>
      </c>
      <c r="M845" s="1" t="s">
        <v>74</v>
      </c>
      <c r="N845" s="1" t="s">
        <v>74</v>
      </c>
      <c r="O845" s="1" t="s">
        <v>7753</v>
      </c>
      <c r="P845" s="1" t="s">
        <v>7754</v>
      </c>
      <c r="Q845" s="1" t="s">
        <v>7755</v>
      </c>
      <c r="R845" s="1" t="s">
        <v>7756</v>
      </c>
      <c r="S845" s="1" t="s">
        <v>74</v>
      </c>
      <c r="T845" s="1" t="s">
        <v>74</v>
      </c>
      <c r="U845" s="1" t="s">
        <v>74</v>
      </c>
      <c r="V845" s="1" t="s">
        <v>7757</v>
      </c>
      <c r="W845" s="1" t="s">
        <v>74</v>
      </c>
      <c r="X845" s="1" t="s">
        <v>74</v>
      </c>
      <c r="Y845" s="1" t="s">
        <v>74</v>
      </c>
      <c r="Z845" s="1" t="s">
        <v>74</v>
      </c>
      <c r="AA845" s="1" t="s">
        <v>7758</v>
      </c>
      <c r="AB845" s="1" t="s">
        <v>7759</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7760</v>
      </c>
      <c r="AP845" s="1" t="s">
        <v>74</v>
      </c>
      <c r="AQ845" s="1" t="s">
        <v>7761</v>
      </c>
      <c r="AR845" s="1" t="s">
        <v>74</v>
      </c>
      <c r="AS845" s="1" t="s">
        <v>74</v>
      </c>
      <c r="AT845" s="1" t="s">
        <v>74</v>
      </c>
      <c r="AU845" s="1">
        <v>2016.0</v>
      </c>
      <c r="AV845" s="1" t="s">
        <v>74</v>
      </c>
      <c r="AW845" s="1" t="s">
        <v>74</v>
      </c>
      <c r="AX845" s="1" t="s">
        <v>74</v>
      </c>
      <c r="AY845" s="1" t="s">
        <v>74</v>
      </c>
      <c r="AZ845" s="1" t="s">
        <v>74</v>
      </c>
      <c r="BA845" s="1" t="s">
        <v>74</v>
      </c>
      <c r="BB845" s="1">
        <v>64.0</v>
      </c>
      <c r="BC845" s="1">
        <v>67.0</v>
      </c>
      <c r="BD845" s="1" t="s">
        <v>74</v>
      </c>
      <c r="BE845" s="1" t="s">
        <v>7762</v>
      </c>
      <c r="BF845" s="2" t="str">
        <f>HYPERLINK("http://dx.doi.org/10.1119/perc.2016.pr.011","http://dx.doi.org/10.1119/perc.2016.pr.011")</f>
        <v>http://dx.doi.org/10.1119/perc.2016.pr.011</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7763</v>
      </c>
      <c r="BT845" s="1" t="str">
        <f>HYPERLINK("https%3A%2F%2Fwww.webofscience.com%2Fwos%2Fwoscc%2Ffull-record%2FWOS:000393035800014","View Full Record in Web of Science")</f>
        <v>View Full Record in Web of Science</v>
      </c>
    </row>
    <row r="846" ht="12.75" customHeight="1">
      <c r="A846" s="1" t="s">
        <v>241</v>
      </c>
      <c r="B846" s="1" t="s">
        <v>7764</v>
      </c>
      <c r="C846" s="1" t="s">
        <v>74</v>
      </c>
      <c r="D846" s="1" t="s">
        <v>3619</v>
      </c>
      <c r="E846" s="1" t="s">
        <v>74</v>
      </c>
      <c r="F846" s="1" t="s">
        <v>7765</v>
      </c>
      <c r="G846" s="1" t="s">
        <v>74</v>
      </c>
      <c r="H846" s="1" t="s">
        <v>74</v>
      </c>
      <c r="I846" s="1" t="s">
        <v>7766</v>
      </c>
      <c r="J846" s="1" t="s">
        <v>3622</v>
      </c>
      <c r="K846" s="1" t="s">
        <v>1326</v>
      </c>
      <c r="L846" s="1" t="s">
        <v>74</v>
      </c>
      <c r="M846" s="1" t="s">
        <v>74</v>
      </c>
      <c r="N846" s="1" t="s">
        <v>74</v>
      </c>
      <c r="O846" s="1" t="s">
        <v>3623</v>
      </c>
      <c r="P846" s="1" t="s">
        <v>3624</v>
      </c>
      <c r="Q846" s="1" t="s">
        <v>3625</v>
      </c>
      <c r="R846" s="1" t="s">
        <v>3626</v>
      </c>
      <c r="S846" s="1" t="s">
        <v>74</v>
      </c>
      <c r="T846" s="1" t="s">
        <v>74</v>
      </c>
      <c r="U846" s="1" t="s">
        <v>74</v>
      </c>
      <c r="V846" s="1" t="s">
        <v>7767</v>
      </c>
      <c r="W846" s="1" t="s">
        <v>74</v>
      </c>
      <c r="X846" s="1" t="s">
        <v>74</v>
      </c>
      <c r="Y846" s="1" t="s">
        <v>74</v>
      </c>
      <c r="Z846" s="1" t="s">
        <v>74</v>
      </c>
      <c r="AA846" s="1" t="s">
        <v>74</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1333</v>
      </c>
      <c r="AP846" s="1" t="s">
        <v>74</v>
      </c>
      <c r="AQ846" s="1" t="s">
        <v>74</v>
      </c>
      <c r="AR846" s="1" t="s">
        <v>74</v>
      </c>
      <c r="AS846" s="1" t="s">
        <v>74</v>
      </c>
      <c r="AT846" s="1" t="s">
        <v>74</v>
      </c>
      <c r="AU846" s="1">
        <v>2015.0</v>
      </c>
      <c r="AV846" s="1">
        <v>55.0</v>
      </c>
      <c r="AW846" s="1" t="s">
        <v>74</v>
      </c>
      <c r="AX846" s="1" t="s">
        <v>74</v>
      </c>
      <c r="AY846" s="1" t="s">
        <v>74</v>
      </c>
      <c r="AZ846" s="1" t="s">
        <v>74</v>
      </c>
      <c r="BA846" s="1" t="s">
        <v>74</v>
      </c>
      <c r="BB846" s="1">
        <v>149.0</v>
      </c>
      <c r="BC846" s="1">
        <v>158.0</v>
      </c>
      <c r="BD846" s="1" t="s">
        <v>74</v>
      </c>
      <c r="BE846" s="1" t="s">
        <v>7768</v>
      </c>
      <c r="BF846" s="2" t="str">
        <f>HYPERLINK("http://dx.doi.org/10.1016/j.procs.2015.07.023","http://dx.doi.org/10.1016/j.procs.2015.07.023")</f>
        <v>http://dx.doi.org/10.1016/j.procs.2015.07.023</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7769</v>
      </c>
      <c r="BT846" s="1" t="str">
        <f>HYPERLINK("https%3A%2F%2Fwww.webofscience.com%2Fwos%2Fwoscc%2Ffull-record%2FWOS:000360101400016","View Full Record in Web of Science")</f>
        <v>View Full Record in Web of Science</v>
      </c>
    </row>
    <row r="847" ht="12.75" customHeight="1">
      <c r="A847" s="1" t="s">
        <v>72</v>
      </c>
      <c r="B847" s="1" t="s">
        <v>7770</v>
      </c>
      <c r="C847" s="1" t="s">
        <v>74</v>
      </c>
      <c r="D847" s="1" t="s">
        <v>74</v>
      </c>
      <c r="E847" s="1" t="s">
        <v>74</v>
      </c>
      <c r="F847" s="1" t="s">
        <v>7771</v>
      </c>
      <c r="G847" s="1" t="s">
        <v>74</v>
      </c>
      <c r="H847" s="1" t="s">
        <v>74</v>
      </c>
      <c r="I847" s="1" t="s">
        <v>7772</v>
      </c>
      <c r="J847" s="1" t="s">
        <v>7773</v>
      </c>
      <c r="K847" s="1" t="s">
        <v>74</v>
      </c>
      <c r="L847" s="1" t="s">
        <v>74</v>
      </c>
      <c r="M847" s="1" t="s">
        <v>74</v>
      </c>
      <c r="N847" s="1" t="s">
        <v>74</v>
      </c>
      <c r="O847" s="1" t="s">
        <v>74</v>
      </c>
      <c r="P847" s="1" t="s">
        <v>74</v>
      </c>
      <c r="Q847" s="1" t="s">
        <v>74</v>
      </c>
      <c r="R847" s="1" t="s">
        <v>74</v>
      </c>
      <c r="S847" s="1" t="s">
        <v>74</v>
      </c>
      <c r="T847" s="1" t="s">
        <v>74</v>
      </c>
      <c r="U847" s="1" t="s">
        <v>74</v>
      </c>
      <c r="V847" s="1" t="s">
        <v>74</v>
      </c>
      <c r="W847" s="1" t="s">
        <v>74</v>
      </c>
      <c r="X847" s="1" t="s">
        <v>74</v>
      </c>
      <c r="Y847" s="1" t="s">
        <v>74</v>
      </c>
      <c r="Z847" s="1" t="s">
        <v>74</v>
      </c>
      <c r="AA847" s="1" t="s">
        <v>7774</v>
      </c>
      <c r="AB847" s="1" t="s">
        <v>7775</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7776</v>
      </c>
      <c r="AP847" s="1" t="s">
        <v>7777</v>
      </c>
      <c r="AQ847" s="1" t="s">
        <v>74</v>
      </c>
      <c r="AR847" s="1" t="s">
        <v>74</v>
      </c>
      <c r="AS847" s="1" t="s">
        <v>74</v>
      </c>
      <c r="AT847" s="1" t="s">
        <v>174</v>
      </c>
      <c r="AU847" s="1">
        <v>2014.0</v>
      </c>
      <c r="AV847" s="1">
        <v>28.0</v>
      </c>
      <c r="AW847" s="1">
        <v>1.0</v>
      </c>
      <c r="AX847" s="1" t="s">
        <v>74</v>
      </c>
      <c r="AY847" s="1" t="s">
        <v>1857</v>
      </c>
      <c r="AZ847" s="1" t="s">
        <v>74</v>
      </c>
      <c r="BA847" s="1">
        <v>1184.9</v>
      </c>
      <c r="BB847" s="1" t="s">
        <v>74</v>
      </c>
      <c r="BC847" s="1" t="s">
        <v>74</v>
      </c>
      <c r="BD847" s="1" t="s">
        <v>74</v>
      </c>
      <c r="BE847" s="1" t="s">
        <v>74</v>
      </c>
      <c r="BF847" s="1" t="s">
        <v>74</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7778</v>
      </c>
      <c r="BT847" s="1" t="str">
        <f>HYPERLINK("https%3A%2F%2Fwww.webofscience.com%2Fwos%2Fwoscc%2Ffull-record%2FWOS:000346651002384","View Full Record in Web of Science")</f>
        <v>View Full Record in Web of Science</v>
      </c>
    </row>
    <row r="848" ht="12.75" customHeight="1">
      <c r="A848" s="1" t="s">
        <v>72</v>
      </c>
      <c r="B848" s="1" t="s">
        <v>7779</v>
      </c>
      <c r="C848" s="1" t="s">
        <v>74</v>
      </c>
      <c r="D848" s="1" t="s">
        <v>74</v>
      </c>
      <c r="E848" s="1" t="s">
        <v>74</v>
      </c>
      <c r="F848" s="1" t="s">
        <v>7780</v>
      </c>
      <c r="G848" s="1" t="s">
        <v>74</v>
      </c>
      <c r="H848" s="1" t="s">
        <v>74</v>
      </c>
      <c r="I848" s="1" t="s">
        <v>7781</v>
      </c>
      <c r="J848" s="1" t="s">
        <v>7782</v>
      </c>
      <c r="K848" s="1" t="s">
        <v>74</v>
      </c>
      <c r="L848" s="1" t="s">
        <v>74</v>
      </c>
      <c r="M848" s="1" t="s">
        <v>74</v>
      </c>
      <c r="N848" s="1" t="s">
        <v>74</v>
      </c>
      <c r="O848" s="1" t="s">
        <v>74</v>
      </c>
      <c r="P848" s="1" t="s">
        <v>74</v>
      </c>
      <c r="Q848" s="1" t="s">
        <v>74</v>
      </c>
      <c r="R848" s="1" t="s">
        <v>74</v>
      </c>
      <c r="S848" s="1" t="s">
        <v>74</v>
      </c>
      <c r="T848" s="1" t="s">
        <v>74</v>
      </c>
      <c r="U848" s="1" t="s">
        <v>74</v>
      </c>
      <c r="V848" s="1" t="s">
        <v>7783</v>
      </c>
      <c r="W848" s="1" t="s">
        <v>74</v>
      </c>
      <c r="X848" s="1" t="s">
        <v>74</v>
      </c>
      <c r="Y848" s="1" t="s">
        <v>74</v>
      </c>
      <c r="Z848" s="1" t="s">
        <v>74</v>
      </c>
      <c r="AA848" s="1" t="s">
        <v>7784</v>
      </c>
      <c r="AB848" s="1" t="s">
        <v>7785</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7786</v>
      </c>
      <c r="AP848" s="1" t="s">
        <v>7787</v>
      </c>
      <c r="AQ848" s="1" t="s">
        <v>74</v>
      </c>
      <c r="AR848" s="1" t="s">
        <v>74</v>
      </c>
      <c r="AS848" s="1" t="s">
        <v>74</v>
      </c>
      <c r="AT848" s="1" t="s">
        <v>501</v>
      </c>
      <c r="AU848" s="1">
        <v>2012.0</v>
      </c>
      <c r="AV848" s="1">
        <v>13.0</v>
      </c>
      <c r="AW848" s="1">
        <v>8.0</v>
      </c>
      <c r="AX848" s="1" t="s">
        <v>74</v>
      </c>
      <c r="AY848" s="1" t="s">
        <v>74</v>
      </c>
      <c r="AZ848" s="1" t="s">
        <v>74</v>
      </c>
      <c r="BA848" s="1" t="s">
        <v>74</v>
      </c>
      <c r="BB848" s="1">
        <v>985.0</v>
      </c>
      <c r="BC848" s="1">
        <v>1003.0</v>
      </c>
      <c r="BD848" s="1" t="s">
        <v>74</v>
      </c>
      <c r="BE848" s="1" t="s">
        <v>7788</v>
      </c>
      <c r="BF848" s="2" t="str">
        <f>HYPERLINK("http://dx.doi.org/10.1177/1464884912442294","http://dx.doi.org/10.1177/1464884912442294")</f>
        <v>http://dx.doi.org/10.1177/1464884912442294</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7789</v>
      </c>
      <c r="BT848" s="1" t="str">
        <f>HYPERLINK("https%3A%2F%2Fwww.webofscience.com%2Fwos%2Fwoscc%2Ffull-record%2FWOS:000325272900002","View Full Record in Web of Science")</f>
        <v>View Full Record in Web of Science</v>
      </c>
    </row>
    <row r="849" ht="12.75" customHeight="1">
      <c r="A849" s="1" t="s">
        <v>72</v>
      </c>
      <c r="B849" s="1" t="s">
        <v>7790</v>
      </c>
      <c r="C849" s="1" t="s">
        <v>74</v>
      </c>
      <c r="D849" s="1" t="s">
        <v>74</v>
      </c>
      <c r="E849" s="1" t="s">
        <v>74</v>
      </c>
      <c r="F849" s="1" t="s">
        <v>7791</v>
      </c>
      <c r="G849" s="1" t="s">
        <v>74</v>
      </c>
      <c r="H849" s="1" t="s">
        <v>74</v>
      </c>
      <c r="I849" s="1" t="s">
        <v>7792</v>
      </c>
      <c r="J849" s="1" t="s">
        <v>669</v>
      </c>
      <c r="K849" s="1" t="s">
        <v>74</v>
      </c>
      <c r="L849" s="1" t="s">
        <v>74</v>
      </c>
      <c r="M849" s="1" t="s">
        <v>74</v>
      </c>
      <c r="N849" s="1" t="s">
        <v>74</v>
      </c>
      <c r="O849" s="1" t="s">
        <v>74</v>
      </c>
      <c r="P849" s="1" t="s">
        <v>74</v>
      </c>
      <c r="Q849" s="1" t="s">
        <v>74</v>
      </c>
      <c r="R849" s="1" t="s">
        <v>74</v>
      </c>
      <c r="S849" s="1" t="s">
        <v>74</v>
      </c>
      <c r="T849" s="1" t="s">
        <v>74</v>
      </c>
      <c r="U849" s="1" t="s">
        <v>74</v>
      </c>
      <c r="V849" s="1" t="s">
        <v>7793</v>
      </c>
      <c r="W849" s="1" t="s">
        <v>74</v>
      </c>
      <c r="X849" s="1" t="s">
        <v>74</v>
      </c>
      <c r="Y849" s="1" t="s">
        <v>74</v>
      </c>
      <c r="Z849" s="1" t="s">
        <v>74</v>
      </c>
      <c r="AA849" s="1" t="s">
        <v>7794</v>
      </c>
      <c r="AB849" s="1" t="s">
        <v>7795</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670</v>
      </c>
      <c r="AP849" s="1" t="s">
        <v>74</v>
      </c>
      <c r="AQ849" s="1" t="s">
        <v>74</v>
      </c>
      <c r="AR849" s="1" t="s">
        <v>74</v>
      </c>
      <c r="AS849" s="1" t="s">
        <v>74</v>
      </c>
      <c r="AT849" s="1" t="s">
        <v>848</v>
      </c>
      <c r="AU849" s="1">
        <v>2012.0</v>
      </c>
      <c r="AV849" s="1">
        <v>385.0</v>
      </c>
      <c r="AW849" s="1" t="s">
        <v>74</v>
      </c>
      <c r="AX849" s="1" t="s">
        <v>74</v>
      </c>
      <c r="AY849" s="1" t="s">
        <v>74</v>
      </c>
      <c r="AZ849" s="1" t="s">
        <v>74</v>
      </c>
      <c r="BA849" s="1" t="s">
        <v>74</v>
      </c>
      <c r="BB849" s="1">
        <v>48.0</v>
      </c>
      <c r="BC849" s="1">
        <v>57.0</v>
      </c>
      <c r="BD849" s="1" t="s">
        <v>74</v>
      </c>
      <c r="BE849" s="1" t="s">
        <v>7796</v>
      </c>
      <c r="BF849" s="2" t="str">
        <f>HYPERLINK("http://dx.doi.org/10.1016/j.jcis.2012.07.028","http://dx.doi.org/10.1016/j.jcis.2012.07.028")</f>
        <v>http://dx.doi.org/10.1016/j.jcis.2012.07.028</v>
      </c>
      <c r="BG849" s="1" t="s">
        <v>74</v>
      </c>
      <c r="BH849" s="1" t="s">
        <v>74</v>
      </c>
      <c r="BI849" s="1" t="s">
        <v>74</v>
      </c>
      <c r="BJ849" s="1" t="s">
        <v>74</v>
      </c>
      <c r="BK849" s="1" t="s">
        <v>74</v>
      </c>
      <c r="BL849" s="1" t="s">
        <v>74</v>
      </c>
      <c r="BM849" s="1" t="s">
        <v>74</v>
      </c>
      <c r="BN849" s="1">
        <v>2.2889622E7</v>
      </c>
      <c r="BO849" s="1" t="s">
        <v>74</v>
      </c>
      <c r="BP849" s="1" t="s">
        <v>74</v>
      </c>
      <c r="BQ849" s="1" t="s">
        <v>74</v>
      </c>
      <c r="BR849" s="1" t="s">
        <v>74</v>
      </c>
      <c r="BS849" s="1" t="s">
        <v>7797</v>
      </c>
      <c r="BT849" s="1" t="str">
        <f>HYPERLINK("https%3A%2F%2Fwww.webofscience.com%2Fwos%2Fwoscc%2Ffull-record%2FWOS:000308511600007","View Full Record in Web of Science")</f>
        <v>View Full Record in Web of Science</v>
      </c>
    </row>
    <row r="850" ht="12.75" customHeight="1">
      <c r="A850" s="1" t="s">
        <v>72</v>
      </c>
      <c r="B850" s="1" t="s">
        <v>7798</v>
      </c>
      <c r="C850" s="1" t="s">
        <v>74</v>
      </c>
      <c r="D850" s="1" t="s">
        <v>74</v>
      </c>
      <c r="E850" s="1" t="s">
        <v>74</v>
      </c>
      <c r="F850" s="1" t="s">
        <v>7799</v>
      </c>
      <c r="G850" s="1" t="s">
        <v>74</v>
      </c>
      <c r="H850" s="1" t="s">
        <v>74</v>
      </c>
      <c r="I850" s="1" t="s">
        <v>7800</v>
      </c>
      <c r="J850" s="1" t="s">
        <v>7801</v>
      </c>
      <c r="K850" s="1" t="s">
        <v>74</v>
      </c>
      <c r="L850" s="1" t="s">
        <v>74</v>
      </c>
      <c r="M850" s="1" t="s">
        <v>74</v>
      </c>
      <c r="N850" s="1" t="s">
        <v>74</v>
      </c>
      <c r="O850" s="1" t="s">
        <v>74</v>
      </c>
      <c r="P850" s="1" t="s">
        <v>74</v>
      </c>
      <c r="Q850" s="1" t="s">
        <v>74</v>
      </c>
      <c r="R850" s="1" t="s">
        <v>74</v>
      </c>
      <c r="S850" s="1" t="s">
        <v>74</v>
      </c>
      <c r="T850" s="1" t="s">
        <v>74</v>
      </c>
      <c r="U850" s="1" t="s">
        <v>74</v>
      </c>
      <c r="V850" s="1" t="s">
        <v>7802</v>
      </c>
      <c r="W850" s="1" t="s">
        <v>74</v>
      </c>
      <c r="X850" s="1" t="s">
        <v>74</v>
      </c>
      <c r="Y850" s="1" t="s">
        <v>74</v>
      </c>
      <c r="Z850" s="1" t="s">
        <v>74</v>
      </c>
      <c r="AA850" s="1" t="s">
        <v>74</v>
      </c>
      <c r="AB850" s="1" t="s">
        <v>7803</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7804</v>
      </c>
      <c r="AP850" s="1" t="s">
        <v>7805</v>
      </c>
      <c r="AQ850" s="1" t="s">
        <v>74</v>
      </c>
      <c r="AR850" s="1" t="s">
        <v>74</v>
      </c>
      <c r="AS850" s="1" t="s">
        <v>74</v>
      </c>
      <c r="AT850" s="1" t="s">
        <v>74</v>
      </c>
      <c r="AU850" s="1">
        <v>2012.0</v>
      </c>
      <c r="AV850" s="1">
        <v>2012.0</v>
      </c>
      <c r="AW850" s="1" t="s">
        <v>74</v>
      </c>
      <c r="AX850" s="1" t="s">
        <v>74</v>
      </c>
      <c r="AY850" s="1" t="s">
        <v>74</v>
      </c>
      <c r="AZ850" s="1" t="s">
        <v>74</v>
      </c>
      <c r="BA850" s="1" t="s">
        <v>74</v>
      </c>
      <c r="BB850" s="1" t="s">
        <v>74</v>
      </c>
      <c r="BC850" s="1" t="s">
        <v>74</v>
      </c>
      <c r="BD850" s="1">
        <v>194543.0</v>
      </c>
      <c r="BE850" s="1" t="s">
        <v>7806</v>
      </c>
      <c r="BF850" s="2" t="str">
        <f>HYPERLINK("http://dx.doi.org/10.1155/2012/194543","http://dx.doi.org/10.1155/2012/194543")</f>
        <v>http://dx.doi.org/10.1155/2012/194543</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7807</v>
      </c>
      <c r="BT850" s="1" t="str">
        <f>HYPERLINK("https%3A%2F%2Fwww.webofscience.com%2Fwos%2Fwoscc%2Ffull-record%2FWOS:000304961400001","View Full Record in Web of Science")</f>
        <v>View Full Record in Web of Science</v>
      </c>
    </row>
    <row r="851" ht="12.75" customHeight="1">
      <c r="A851" s="1" t="s">
        <v>72</v>
      </c>
      <c r="B851" s="1" t="s">
        <v>7808</v>
      </c>
      <c r="C851" s="1" t="s">
        <v>74</v>
      </c>
      <c r="D851" s="1" t="s">
        <v>74</v>
      </c>
      <c r="E851" s="1" t="s">
        <v>74</v>
      </c>
      <c r="F851" s="1" t="s">
        <v>7809</v>
      </c>
      <c r="G851" s="1" t="s">
        <v>74</v>
      </c>
      <c r="H851" s="1" t="s">
        <v>74</v>
      </c>
      <c r="I851" s="1" t="s">
        <v>7810</v>
      </c>
      <c r="J851" s="1" t="s">
        <v>3008</v>
      </c>
      <c r="K851" s="1" t="s">
        <v>74</v>
      </c>
      <c r="L851" s="1" t="s">
        <v>74</v>
      </c>
      <c r="M851" s="1" t="s">
        <v>74</v>
      </c>
      <c r="N851" s="1" t="s">
        <v>74</v>
      </c>
      <c r="O851" s="1" t="s">
        <v>7811</v>
      </c>
      <c r="P851" s="1" t="s">
        <v>7812</v>
      </c>
      <c r="Q851" s="1" t="s">
        <v>7813</v>
      </c>
      <c r="R851" s="1" t="s">
        <v>3012</v>
      </c>
      <c r="S851" s="1" t="s">
        <v>74</v>
      </c>
      <c r="T851" s="1" t="s">
        <v>74</v>
      </c>
      <c r="U851" s="1" t="s">
        <v>74</v>
      </c>
      <c r="V851" s="1" t="s">
        <v>74</v>
      </c>
      <c r="W851" s="1" t="s">
        <v>74</v>
      </c>
      <c r="X851" s="1" t="s">
        <v>74</v>
      </c>
      <c r="Y851" s="1" t="s">
        <v>74</v>
      </c>
      <c r="Z851" s="1" t="s">
        <v>74</v>
      </c>
      <c r="AA851" s="1" t="s">
        <v>1612</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3013</v>
      </c>
      <c r="AP851" s="1" t="s">
        <v>74</v>
      </c>
      <c r="AQ851" s="1" t="s">
        <v>74</v>
      </c>
      <c r="AR851" s="1" t="s">
        <v>74</v>
      </c>
      <c r="AS851" s="1" t="s">
        <v>74</v>
      </c>
      <c r="AT851" s="1" t="s">
        <v>3170</v>
      </c>
      <c r="AU851" s="1">
        <v>2011.0</v>
      </c>
      <c r="AV851" s="1">
        <v>241.0</v>
      </c>
      <c r="AW851" s="1" t="s">
        <v>74</v>
      </c>
      <c r="AX851" s="1" t="s">
        <v>74</v>
      </c>
      <c r="AY851" s="1" t="s">
        <v>74</v>
      </c>
      <c r="AZ851" s="1" t="s">
        <v>74</v>
      </c>
      <c r="BA851" s="1" t="s">
        <v>7814</v>
      </c>
      <c r="BB851" s="1" t="s">
        <v>74</v>
      </c>
      <c r="BC851" s="1" t="s">
        <v>74</v>
      </c>
      <c r="BD851" s="1" t="s">
        <v>74</v>
      </c>
      <c r="BE851" s="1" t="s">
        <v>74</v>
      </c>
      <c r="BF851" s="1" t="s">
        <v>74</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7815</v>
      </c>
      <c r="BT851" s="1" t="str">
        <f>HYPERLINK("https%3A%2F%2Fwww.webofscience.com%2Fwos%2Fwoscc%2Ffull-record%2FWOS:000291982804489","View Full Record in Web of Science")</f>
        <v>View Full Record in Web of Science</v>
      </c>
    </row>
    <row r="852" ht="12.75" customHeight="1">
      <c r="A852" s="1" t="s">
        <v>72</v>
      </c>
      <c r="B852" s="1" t="s">
        <v>7816</v>
      </c>
      <c r="C852" s="1" t="s">
        <v>74</v>
      </c>
      <c r="D852" s="1" t="s">
        <v>74</v>
      </c>
      <c r="E852" s="1" t="s">
        <v>74</v>
      </c>
      <c r="F852" s="1" t="s">
        <v>7817</v>
      </c>
      <c r="G852" s="1" t="s">
        <v>74</v>
      </c>
      <c r="H852" s="1" t="s">
        <v>74</v>
      </c>
      <c r="I852" s="1" t="s">
        <v>7818</v>
      </c>
      <c r="J852" s="1" t="s">
        <v>2677</v>
      </c>
      <c r="K852" s="1" t="s">
        <v>74</v>
      </c>
      <c r="L852" s="1" t="s">
        <v>74</v>
      </c>
      <c r="M852" s="1" t="s">
        <v>74</v>
      </c>
      <c r="N852" s="1" t="s">
        <v>74</v>
      </c>
      <c r="O852" s="1" t="s">
        <v>74</v>
      </c>
      <c r="P852" s="1" t="s">
        <v>74</v>
      </c>
      <c r="Q852" s="1" t="s">
        <v>74</v>
      </c>
      <c r="R852" s="1" t="s">
        <v>74</v>
      </c>
      <c r="S852" s="1" t="s">
        <v>74</v>
      </c>
      <c r="T852" s="1" t="s">
        <v>74</v>
      </c>
      <c r="U852" s="1" t="s">
        <v>74</v>
      </c>
      <c r="V852" s="1" t="s">
        <v>7819</v>
      </c>
      <c r="W852" s="1" t="s">
        <v>74</v>
      </c>
      <c r="X852" s="1" t="s">
        <v>74</v>
      </c>
      <c r="Y852" s="1" t="s">
        <v>74</v>
      </c>
      <c r="Z852" s="1" t="s">
        <v>74</v>
      </c>
      <c r="AA852" s="1" t="s">
        <v>74</v>
      </c>
      <c r="AB852" s="1" t="s">
        <v>74</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3243</v>
      </c>
      <c r="AP852" s="1" t="s">
        <v>3244</v>
      </c>
      <c r="AQ852" s="1" t="s">
        <v>74</v>
      </c>
      <c r="AR852" s="1" t="s">
        <v>74</v>
      </c>
      <c r="AS852" s="1" t="s">
        <v>74</v>
      </c>
      <c r="AT852" s="1" t="s">
        <v>7820</v>
      </c>
      <c r="AU852" s="1">
        <v>2010.0</v>
      </c>
      <c r="AV852" s="1">
        <v>82.0</v>
      </c>
      <c r="AW852" s="1">
        <v>12.0</v>
      </c>
      <c r="AX852" s="1" t="s">
        <v>74</v>
      </c>
      <c r="AY852" s="1" t="s">
        <v>74</v>
      </c>
      <c r="AZ852" s="1" t="s">
        <v>74</v>
      </c>
      <c r="BA852" s="1" t="s">
        <v>74</v>
      </c>
      <c r="BB852" s="1" t="s">
        <v>74</v>
      </c>
      <c r="BC852" s="1" t="s">
        <v>74</v>
      </c>
      <c r="BD852" s="1">
        <v>125036.0</v>
      </c>
      <c r="BE852" s="1" t="s">
        <v>7821</v>
      </c>
      <c r="BF852" s="2" t="str">
        <f>HYPERLINK("http://dx.doi.org/10.1103/PhysRevD.82.125036","http://dx.doi.org/10.1103/PhysRevD.82.125036")</f>
        <v>http://dx.doi.org/10.1103/PhysRevD.82.125036</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7822</v>
      </c>
      <c r="BT852" s="1" t="str">
        <f>HYPERLINK("https%3A%2F%2Fwww.webofscience.com%2Fwos%2Fwoscc%2Ffull-record%2FWOS:000286747800005","View Full Record in Web of Science")</f>
        <v>View Full Record in Web of Science</v>
      </c>
    </row>
    <row r="853" ht="12.75" customHeight="1">
      <c r="A853" s="1" t="s">
        <v>241</v>
      </c>
      <c r="B853" s="1" t="s">
        <v>7823</v>
      </c>
      <c r="C853" s="1" t="s">
        <v>7824</v>
      </c>
      <c r="D853" s="1" t="s">
        <v>7825</v>
      </c>
      <c r="E853" s="1" t="s">
        <v>74</v>
      </c>
      <c r="F853" s="1" t="s">
        <v>7826</v>
      </c>
      <c r="G853" s="1" t="s">
        <v>7824</v>
      </c>
      <c r="H853" s="1" t="s">
        <v>74</v>
      </c>
      <c r="I853" s="1" t="s">
        <v>7827</v>
      </c>
      <c r="J853" s="1" t="s">
        <v>7828</v>
      </c>
      <c r="K853" s="1" t="s">
        <v>2574</v>
      </c>
      <c r="L853" s="1" t="s">
        <v>74</v>
      </c>
      <c r="M853" s="1" t="s">
        <v>74</v>
      </c>
      <c r="N853" s="1" t="s">
        <v>74</v>
      </c>
      <c r="O853" s="1" t="s">
        <v>7829</v>
      </c>
      <c r="P853" s="1" t="s">
        <v>7830</v>
      </c>
      <c r="Q853" s="1" t="s">
        <v>7219</v>
      </c>
      <c r="R853" s="1" t="s">
        <v>7831</v>
      </c>
      <c r="S853" s="1" t="s">
        <v>74</v>
      </c>
      <c r="T853" s="1" t="s">
        <v>74</v>
      </c>
      <c r="U853" s="1" t="s">
        <v>74</v>
      </c>
      <c r="V853" s="1" t="s">
        <v>7832</v>
      </c>
      <c r="W853" s="1" t="s">
        <v>74</v>
      </c>
      <c r="X853" s="1" t="s">
        <v>74</v>
      </c>
      <c r="Y853" s="1" t="s">
        <v>74</v>
      </c>
      <c r="Z853" s="1" t="s">
        <v>74</v>
      </c>
      <c r="AA853" s="1" t="s">
        <v>7833</v>
      </c>
      <c r="AB853" s="1" t="s">
        <v>7834</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2580</v>
      </c>
      <c r="AP853" s="1" t="s">
        <v>74</v>
      </c>
      <c r="AQ853" s="1" t="s">
        <v>7835</v>
      </c>
      <c r="AR853" s="1" t="s">
        <v>74</v>
      </c>
      <c r="AS853" s="1" t="s">
        <v>74</v>
      </c>
      <c r="AT853" s="1" t="s">
        <v>74</v>
      </c>
      <c r="AU853" s="1">
        <v>2010.0</v>
      </c>
      <c r="AV853" s="1">
        <v>1281.0</v>
      </c>
      <c r="AW853" s="1" t="s">
        <v>74</v>
      </c>
      <c r="AX853" s="1" t="s">
        <v>74</v>
      </c>
      <c r="AY853" s="1" t="s">
        <v>74</v>
      </c>
      <c r="AZ853" s="1" t="s">
        <v>74</v>
      </c>
      <c r="BA853" s="1" t="s">
        <v>74</v>
      </c>
      <c r="BB853" s="1">
        <v>436.0</v>
      </c>
      <c r="BC853" s="1" t="s">
        <v>1748</v>
      </c>
      <c r="BD853" s="1" t="s">
        <v>74</v>
      </c>
      <c r="BE853" s="1" t="s">
        <v>74</v>
      </c>
      <c r="BF853" s="1" t="s">
        <v>74</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7836</v>
      </c>
      <c r="BT853" s="1" t="str">
        <f>HYPERLINK("https%3A%2F%2Fwww.webofscience.com%2Fwos%2Fwoscc%2Ffull-record%2FWOS:000289661500116","View Full Record in Web of Science")</f>
        <v>View Full Record in Web of Science</v>
      </c>
    </row>
    <row r="854" ht="12.75" customHeight="1">
      <c r="A854" s="1" t="s">
        <v>72</v>
      </c>
      <c r="B854" s="1" t="s">
        <v>7837</v>
      </c>
      <c r="C854" s="1" t="s">
        <v>74</v>
      </c>
      <c r="D854" s="1" t="s">
        <v>74</v>
      </c>
      <c r="E854" s="1" t="s">
        <v>74</v>
      </c>
      <c r="F854" s="1" t="s">
        <v>7838</v>
      </c>
      <c r="G854" s="1" t="s">
        <v>74</v>
      </c>
      <c r="H854" s="1" t="s">
        <v>74</v>
      </c>
      <c r="I854" s="1" t="s">
        <v>7839</v>
      </c>
      <c r="J854" s="1" t="s">
        <v>7840</v>
      </c>
      <c r="K854" s="1" t="s">
        <v>74</v>
      </c>
      <c r="L854" s="1" t="s">
        <v>74</v>
      </c>
      <c r="M854" s="1" t="s">
        <v>74</v>
      </c>
      <c r="N854" s="1" t="s">
        <v>74</v>
      </c>
      <c r="O854" s="1" t="s">
        <v>74</v>
      </c>
      <c r="P854" s="1" t="s">
        <v>74</v>
      </c>
      <c r="Q854" s="1" t="s">
        <v>74</v>
      </c>
      <c r="R854" s="1" t="s">
        <v>74</v>
      </c>
      <c r="S854" s="1" t="s">
        <v>74</v>
      </c>
      <c r="T854" s="1" t="s">
        <v>74</v>
      </c>
      <c r="U854" s="1" t="s">
        <v>74</v>
      </c>
      <c r="V854" s="1" t="s">
        <v>74</v>
      </c>
      <c r="W854" s="1" t="s">
        <v>74</v>
      </c>
      <c r="X854" s="1" t="s">
        <v>74</v>
      </c>
      <c r="Y854" s="1" t="s">
        <v>74</v>
      </c>
      <c r="Z854" s="1" t="s">
        <v>74</v>
      </c>
      <c r="AA854" s="1" t="s">
        <v>74</v>
      </c>
      <c r="AB854" s="1" t="s">
        <v>74</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7841</v>
      </c>
      <c r="AP854" s="1" t="s">
        <v>7842</v>
      </c>
      <c r="AQ854" s="1" t="s">
        <v>74</v>
      </c>
      <c r="AR854" s="1" t="s">
        <v>74</v>
      </c>
      <c r="AS854" s="1" t="s">
        <v>74</v>
      </c>
      <c r="AT854" s="1" t="s">
        <v>160</v>
      </c>
      <c r="AU854" s="1">
        <v>2009.0</v>
      </c>
      <c r="AV854" s="1">
        <v>15.0</v>
      </c>
      <c r="AW854" s="1" t="s">
        <v>74</v>
      </c>
      <c r="AX854" s="1" t="s">
        <v>74</v>
      </c>
      <c r="AY854" s="1">
        <v>2.0</v>
      </c>
      <c r="AZ854" s="1" t="s">
        <v>74</v>
      </c>
      <c r="BA854" s="1" t="s">
        <v>7843</v>
      </c>
      <c r="BB854" s="1" t="s">
        <v>7844</v>
      </c>
      <c r="BC854" s="1" t="s">
        <v>7844</v>
      </c>
      <c r="BD854" s="1" t="s">
        <v>74</v>
      </c>
      <c r="BE854" s="1" t="s">
        <v>7845</v>
      </c>
      <c r="BF854" s="2" t="str">
        <f>HYPERLINK("http://dx.doi.org/10.1016/S1353-8020(09)70039-2","http://dx.doi.org/10.1016/S1353-8020(09)70039-2")</f>
        <v>http://dx.doi.org/10.1016/S1353-8020(09)70039-2</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7846</v>
      </c>
      <c r="BT854" s="1" t="str">
        <f>HYPERLINK("https%3A%2F%2Fwww.webofscience.com%2Fwos%2Fwoscc%2Ffull-record%2FWOS:000576194500025","View Full Record in Web of Science")</f>
        <v>View Full Record in Web of Science</v>
      </c>
    </row>
    <row r="855" ht="12.75" customHeight="1">
      <c r="A855" s="1" t="s">
        <v>72</v>
      </c>
      <c r="B855" s="1" t="s">
        <v>7847</v>
      </c>
      <c r="C855" s="1" t="s">
        <v>74</v>
      </c>
      <c r="D855" s="1" t="s">
        <v>74</v>
      </c>
      <c r="E855" s="1" t="s">
        <v>74</v>
      </c>
      <c r="F855" s="1" t="s">
        <v>7848</v>
      </c>
      <c r="G855" s="1" t="s">
        <v>74</v>
      </c>
      <c r="H855" s="1" t="s">
        <v>74</v>
      </c>
      <c r="I855" s="1" t="s">
        <v>7849</v>
      </c>
      <c r="J855" s="1" t="s">
        <v>7850</v>
      </c>
      <c r="K855" s="1" t="s">
        <v>74</v>
      </c>
      <c r="L855" s="1" t="s">
        <v>74</v>
      </c>
      <c r="M855" s="1" t="s">
        <v>74</v>
      </c>
      <c r="N855" s="1" t="s">
        <v>74</v>
      </c>
      <c r="O855" s="1" t="s">
        <v>74</v>
      </c>
      <c r="P855" s="1" t="s">
        <v>74</v>
      </c>
      <c r="Q855" s="1" t="s">
        <v>74</v>
      </c>
      <c r="R855" s="1" t="s">
        <v>74</v>
      </c>
      <c r="S855" s="1" t="s">
        <v>74</v>
      </c>
      <c r="T855" s="1" t="s">
        <v>74</v>
      </c>
      <c r="U855" s="1" t="s">
        <v>74</v>
      </c>
      <c r="V855" s="1" t="s">
        <v>7851</v>
      </c>
      <c r="W855" s="1" t="s">
        <v>74</v>
      </c>
      <c r="X855" s="1" t="s">
        <v>74</v>
      </c>
      <c r="Y855" s="1" t="s">
        <v>74</v>
      </c>
      <c r="Z855" s="1" t="s">
        <v>74</v>
      </c>
      <c r="AA855" s="1" t="s">
        <v>7852</v>
      </c>
      <c r="AB855" s="1" t="s">
        <v>7853</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7854</v>
      </c>
      <c r="AP855" s="1" t="s">
        <v>7855</v>
      </c>
      <c r="AQ855" s="1" t="s">
        <v>74</v>
      </c>
      <c r="AR855" s="1" t="s">
        <v>74</v>
      </c>
      <c r="AS855" s="1" t="s">
        <v>74</v>
      </c>
      <c r="AT855" s="1" t="s">
        <v>7856</v>
      </c>
      <c r="AU855" s="1">
        <v>2009.0</v>
      </c>
      <c r="AV855" s="1">
        <v>365.0</v>
      </c>
      <c r="AW855" s="1">
        <v>3.0</v>
      </c>
      <c r="AX855" s="1" t="s">
        <v>74</v>
      </c>
      <c r="AY855" s="1" t="s">
        <v>74</v>
      </c>
      <c r="AZ855" s="1" t="s">
        <v>74</v>
      </c>
      <c r="BA855" s="1" t="s">
        <v>74</v>
      </c>
      <c r="BB855" s="1">
        <v>164.0</v>
      </c>
      <c r="BC855" s="1">
        <v>169.0</v>
      </c>
      <c r="BD855" s="1" t="s">
        <v>74</v>
      </c>
      <c r="BE855" s="1" t="s">
        <v>7857</v>
      </c>
      <c r="BF855" s="2" t="str">
        <f>HYPERLINK("http://dx.doi.org/10.1016/j.chemphys.2009.10.016","http://dx.doi.org/10.1016/j.chemphys.2009.10.016")</f>
        <v>http://dx.doi.org/10.1016/j.chemphys.2009.10.016</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7858</v>
      </c>
      <c r="BT855" s="1" t="str">
        <f>HYPERLINK("https%3A%2F%2Fwww.webofscience.com%2Fwos%2Fwoscc%2Ffull-record%2FWOS:000271758300008","View Full Record in Web of Science")</f>
        <v>View Full Record in Web of Science</v>
      </c>
    </row>
    <row r="856" ht="12.75" customHeight="1">
      <c r="A856" s="1" t="s">
        <v>241</v>
      </c>
      <c r="B856" s="1" t="s">
        <v>7859</v>
      </c>
      <c r="C856" s="1" t="s">
        <v>74</v>
      </c>
      <c r="D856" s="1" t="s">
        <v>7860</v>
      </c>
      <c r="E856" s="1" t="s">
        <v>74</v>
      </c>
      <c r="F856" s="1" t="s">
        <v>7861</v>
      </c>
      <c r="G856" s="1" t="s">
        <v>74</v>
      </c>
      <c r="H856" s="1" t="s">
        <v>74</v>
      </c>
      <c r="I856" s="1" t="s">
        <v>7862</v>
      </c>
      <c r="J856" s="1" t="s">
        <v>7863</v>
      </c>
      <c r="K856" s="1" t="s">
        <v>7176</v>
      </c>
      <c r="L856" s="1" t="s">
        <v>74</v>
      </c>
      <c r="M856" s="1" t="s">
        <v>74</v>
      </c>
      <c r="N856" s="1" t="s">
        <v>74</v>
      </c>
      <c r="O856" s="1" t="s">
        <v>7864</v>
      </c>
      <c r="P856" s="1" t="s">
        <v>7865</v>
      </c>
      <c r="Q856" s="1" t="s">
        <v>7866</v>
      </c>
      <c r="R856" s="1" t="s">
        <v>7867</v>
      </c>
      <c r="S856" s="1" t="s">
        <v>74</v>
      </c>
      <c r="T856" s="1" t="s">
        <v>74</v>
      </c>
      <c r="U856" s="1" t="s">
        <v>74</v>
      </c>
      <c r="V856" s="1" t="s">
        <v>7868</v>
      </c>
      <c r="W856" s="1" t="s">
        <v>74</v>
      </c>
      <c r="X856" s="1" t="s">
        <v>74</v>
      </c>
      <c r="Y856" s="1" t="s">
        <v>74</v>
      </c>
      <c r="Z856" s="1" t="s">
        <v>74</v>
      </c>
      <c r="AA856" s="1" t="s">
        <v>74</v>
      </c>
      <c r="AB856" s="1" t="s">
        <v>7869</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4007</v>
      </c>
      <c r="AP856" s="1" t="s">
        <v>4008</v>
      </c>
      <c r="AQ856" s="1" t="s">
        <v>7870</v>
      </c>
      <c r="AR856" s="1" t="s">
        <v>74</v>
      </c>
      <c r="AS856" s="1" t="s">
        <v>74</v>
      </c>
      <c r="AT856" s="1" t="s">
        <v>74</v>
      </c>
      <c r="AU856" s="1">
        <v>2009.0</v>
      </c>
      <c r="AV856" s="1">
        <v>5845.0</v>
      </c>
      <c r="AW856" s="1" t="s">
        <v>74</v>
      </c>
      <c r="AX856" s="1" t="s">
        <v>74</v>
      </c>
      <c r="AY856" s="1" t="s">
        <v>74</v>
      </c>
      <c r="AZ856" s="1" t="s">
        <v>74</v>
      </c>
      <c r="BA856" s="1" t="s">
        <v>74</v>
      </c>
      <c r="BB856" s="1">
        <v>478.0</v>
      </c>
      <c r="BC856" s="1" t="s">
        <v>1748</v>
      </c>
      <c r="BD856" s="1" t="s">
        <v>74</v>
      </c>
      <c r="BE856" s="1" t="s">
        <v>74</v>
      </c>
      <c r="BF856" s="1" t="s">
        <v>74</v>
      </c>
      <c r="BG856" s="1" t="s">
        <v>74</v>
      </c>
      <c r="BH856" s="1" t="s">
        <v>74</v>
      </c>
      <c r="BI856" s="1" t="s">
        <v>74</v>
      </c>
      <c r="BJ856" s="1" t="s">
        <v>74</v>
      </c>
      <c r="BK856" s="1" t="s">
        <v>74</v>
      </c>
      <c r="BL856" s="1" t="s">
        <v>74</v>
      </c>
      <c r="BM856" s="1" t="s">
        <v>74</v>
      </c>
      <c r="BN856" s="1" t="s">
        <v>74</v>
      </c>
      <c r="BO856" s="1" t="s">
        <v>74</v>
      </c>
      <c r="BP856" s="1" t="s">
        <v>74</v>
      </c>
      <c r="BQ856" s="1" t="s">
        <v>74</v>
      </c>
      <c r="BR856" s="1" t="s">
        <v>74</v>
      </c>
      <c r="BS856" s="1" t="s">
        <v>7871</v>
      </c>
      <c r="BT856" s="1" t="str">
        <f>HYPERLINK("https%3A%2F%2Fwww.webofscience.com%2Fwos%2Fwoscc%2Ffull-record%2FWOS:000278966100042","View Full Record in Web of Science")</f>
        <v>View Full Record in Web of Science</v>
      </c>
    </row>
    <row r="857" ht="12.75" customHeight="1">
      <c r="A857" s="1" t="s">
        <v>72</v>
      </c>
      <c r="B857" s="1" t="s">
        <v>4795</v>
      </c>
      <c r="C857" s="1" t="s">
        <v>74</v>
      </c>
      <c r="D857" s="1" t="s">
        <v>74</v>
      </c>
      <c r="E857" s="1" t="s">
        <v>74</v>
      </c>
      <c r="F857" s="1" t="s">
        <v>4796</v>
      </c>
      <c r="G857" s="1" t="s">
        <v>74</v>
      </c>
      <c r="H857" s="1" t="s">
        <v>74</v>
      </c>
      <c r="I857" s="1" t="s">
        <v>7872</v>
      </c>
      <c r="J857" s="1" t="s">
        <v>7396</v>
      </c>
      <c r="K857" s="1" t="s">
        <v>74</v>
      </c>
      <c r="L857" s="1" t="s">
        <v>74</v>
      </c>
      <c r="M857" s="1" t="s">
        <v>74</v>
      </c>
      <c r="N857" s="1" t="s">
        <v>74</v>
      </c>
      <c r="O857" s="1" t="s">
        <v>74</v>
      </c>
      <c r="P857" s="1" t="s">
        <v>74</v>
      </c>
      <c r="Q857" s="1" t="s">
        <v>74</v>
      </c>
      <c r="R857" s="1" t="s">
        <v>74</v>
      </c>
      <c r="S857" s="1" t="s">
        <v>74</v>
      </c>
      <c r="T857" s="1" t="s">
        <v>74</v>
      </c>
      <c r="U857" s="1" t="s">
        <v>74</v>
      </c>
      <c r="V857" s="1" t="s">
        <v>7873</v>
      </c>
      <c r="W857" s="1" t="s">
        <v>74</v>
      </c>
      <c r="X857" s="1" t="s">
        <v>74</v>
      </c>
      <c r="Y857" s="1" t="s">
        <v>74</v>
      </c>
      <c r="Z857" s="1" t="s">
        <v>74</v>
      </c>
      <c r="AA857" s="1" t="s">
        <v>4781</v>
      </c>
      <c r="AB857" s="1" t="s">
        <v>4782</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7400</v>
      </c>
      <c r="AP857" s="1" t="s">
        <v>74</v>
      </c>
      <c r="AQ857" s="1" t="s">
        <v>74</v>
      </c>
      <c r="AR857" s="1" t="s">
        <v>74</v>
      </c>
      <c r="AS857" s="1" t="s">
        <v>74</v>
      </c>
      <c r="AT857" s="1" t="s">
        <v>74</v>
      </c>
      <c r="AU857" s="1">
        <v>2006.0</v>
      </c>
      <c r="AV857" s="1">
        <v>38.0</v>
      </c>
      <c r="AW857" s="1">
        <v>3.0</v>
      </c>
      <c r="AX857" s="1" t="s">
        <v>74</v>
      </c>
      <c r="AY857" s="1" t="s">
        <v>74</v>
      </c>
      <c r="AZ857" s="1" t="s">
        <v>74</v>
      </c>
      <c r="BA857" s="1" t="s">
        <v>74</v>
      </c>
      <c r="BB857" s="1">
        <v>579.0</v>
      </c>
      <c r="BC857" s="1">
        <v>598.0</v>
      </c>
      <c r="BD857" s="1" t="s">
        <v>74</v>
      </c>
      <c r="BE857" s="1" t="s">
        <v>74</v>
      </c>
      <c r="BF857" s="1" t="s">
        <v>74</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7874</v>
      </c>
      <c r="BT857" s="1" t="str">
        <f>HYPERLINK("https%3A%2F%2Fwww.webofscience.com%2Fwos%2Fwoscc%2Ffull-record%2FWOS:000241903200010","View Full Record in Web of Science")</f>
        <v>View Full Record in Web of Science</v>
      </c>
    </row>
    <row r="858" ht="12.75" customHeight="1">
      <c r="A858" s="1" t="s">
        <v>72</v>
      </c>
      <c r="B858" s="1" t="s">
        <v>7875</v>
      </c>
      <c r="C858" s="1" t="s">
        <v>74</v>
      </c>
      <c r="D858" s="1" t="s">
        <v>74</v>
      </c>
      <c r="E858" s="1" t="s">
        <v>74</v>
      </c>
      <c r="F858" s="1" t="s">
        <v>7875</v>
      </c>
      <c r="G858" s="1" t="s">
        <v>74</v>
      </c>
      <c r="H858" s="1" t="s">
        <v>74</v>
      </c>
      <c r="I858" s="1" t="s">
        <v>7876</v>
      </c>
      <c r="J858" s="1" t="s">
        <v>7877</v>
      </c>
      <c r="K858" s="1" t="s">
        <v>74</v>
      </c>
      <c r="L858" s="1" t="s">
        <v>74</v>
      </c>
      <c r="M858" s="1" t="s">
        <v>74</v>
      </c>
      <c r="N858" s="1" t="s">
        <v>74</v>
      </c>
      <c r="O858" s="1" t="s">
        <v>74</v>
      </c>
      <c r="P858" s="1" t="s">
        <v>74</v>
      </c>
      <c r="Q858" s="1" t="s">
        <v>74</v>
      </c>
      <c r="R858" s="1" t="s">
        <v>74</v>
      </c>
      <c r="S858" s="1" t="s">
        <v>74</v>
      </c>
      <c r="T858" s="1" t="s">
        <v>74</v>
      </c>
      <c r="U858" s="1" t="s">
        <v>74</v>
      </c>
      <c r="V858" s="1" t="s">
        <v>7878</v>
      </c>
      <c r="W858" s="1" t="s">
        <v>74</v>
      </c>
      <c r="X858" s="1" t="s">
        <v>74</v>
      </c>
      <c r="Y858" s="1" t="s">
        <v>74</v>
      </c>
      <c r="Z858" s="1" t="s">
        <v>74</v>
      </c>
      <c r="AA858" s="1" t="s">
        <v>7879</v>
      </c>
      <c r="AB858" s="1" t="s">
        <v>74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7880</v>
      </c>
      <c r="AP858" s="1" t="s">
        <v>7881</v>
      </c>
      <c r="AQ858" s="1" t="s">
        <v>74</v>
      </c>
      <c r="AR858" s="1" t="s">
        <v>74</v>
      </c>
      <c r="AS858" s="1" t="s">
        <v>74</v>
      </c>
      <c r="AT858" s="1" t="s">
        <v>82</v>
      </c>
      <c r="AU858" s="1">
        <v>2005.0</v>
      </c>
      <c r="AV858" s="1">
        <v>127.0</v>
      </c>
      <c r="AW858" s="1">
        <v>3.0</v>
      </c>
      <c r="AX858" s="1" t="s">
        <v>74</v>
      </c>
      <c r="AY858" s="1" t="s">
        <v>74</v>
      </c>
      <c r="AZ858" s="1" t="s">
        <v>74</v>
      </c>
      <c r="BA858" s="1" t="s">
        <v>74</v>
      </c>
      <c r="BB858" s="1">
        <v>400.0</v>
      </c>
      <c r="BC858" s="1">
        <v>415.0</v>
      </c>
      <c r="BD858" s="1" t="s">
        <v>74</v>
      </c>
      <c r="BE858" s="1" t="s">
        <v>7882</v>
      </c>
      <c r="BF858" s="2" t="str">
        <f>HYPERLINK("http://dx.doi.org/10.1115/1.1894260","http://dx.doi.org/10.1115/1.1894260")</f>
        <v>http://dx.doi.org/10.1115/1.1894260</v>
      </c>
      <c r="BG858" s="1" t="s">
        <v>74</v>
      </c>
      <c r="BH858" s="1" t="s">
        <v>74</v>
      </c>
      <c r="BI858" s="1" t="s">
        <v>74</v>
      </c>
      <c r="BJ858" s="1" t="s">
        <v>74</v>
      </c>
      <c r="BK858" s="1" t="s">
        <v>74</v>
      </c>
      <c r="BL858" s="1" t="s">
        <v>74</v>
      </c>
      <c r="BM858" s="1" t="s">
        <v>74</v>
      </c>
      <c r="BN858" s="1">
        <v>1.6060347E7</v>
      </c>
      <c r="BO858" s="1" t="s">
        <v>74</v>
      </c>
      <c r="BP858" s="1" t="s">
        <v>74</v>
      </c>
      <c r="BQ858" s="1" t="s">
        <v>74</v>
      </c>
      <c r="BR858" s="1" t="s">
        <v>74</v>
      </c>
      <c r="BS858" s="1" t="s">
        <v>7883</v>
      </c>
      <c r="BT858" s="1" t="str">
        <f>HYPERLINK("https%3A%2F%2Fwww.webofscience.com%2Fwos%2Fwoscc%2Ffull-record%2FWOS:000230050100006","View Full Record in Web of Science")</f>
        <v>View Full Record in Web of Science</v>
      </c>
    </row>
    <row r="859" ht="12.75" customHeight="1">
      <c r="A859" s="1" t="s">
        <v>72</v>
      </c>
      <c r="B859" s="1" t="s">
        <v>7884</v>
      </c>
      <c r="C859" s="1" t="s">
        <v>74</v>
      </c>
      <c r="D859" s="1" t="s">
        <v>74</v>
      </c>
      <c r="E859" s="1" t="s">
        <v>74</v>
      </c>
      <c r="F859" s="1" t="s">
        <v>7884</v>
      </c>
      <c r="G859" s="1" t="s">
        <v>74</v>
      </c>
      <c r="H859" s="1" t="s">
        <v>74</v>
      </c>
      <c r="I859" s="1" t="s">
        <v>7885</v>
      </c>
      <c r="J859" s="1" t="s">
        <v>2058</v>
      </c>
      <c r="K859" s="1" t="s">
        <v>74</v>
      </c>
      <c r="L859" s="1" t="s">
        <v>74</v>
      </c>
      <c r="M859" s="1" t="s">
        <v>74</v>
      </c>
      <c r="N859" s="1" t="s">
        <v>74</v>
      </c>
      <c r="O859" s="1" t="s">
        <v>74</v>
      </c>
      <c r="P859" s="1" t="s">
        <v>74</v>
      </c>
      <c r="Q859" s="1" t="s">
        <v>74</v>
      </c>
      <c r="R859" s="1" t="s">
        <v>74</v>
      </c>
      <c r="S859" s="1" t="s">
        <v>74</v>
      </c>
      <c r="T859" s="1" t="s">
        <v>74</v>
      </c>
      <c r="U859" s="1" t="s">
        <v>74</v>
      </c>
      <c r="V859" s="1" t="s">
        <v>7886</v>
      </c>
      <c r="W859" s="1" t="s">
        <v>74</v>
      </c>
      <c r="X859" s="1" t="s">
        <v>74</v>
      </c>
      <c r="Y859" s="1" t="s">
        <v>74</v>
      </c>
      <c r="Z859" s="1" t="s">
        <v>74</v>
      </c>
      <c r="AA859" s="1" t="s">
        <v>7887</v>
      </c>
      <c r="AB859" s="1" t="s">
        <v>6708</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2062</v>
      </c>
      <c r="AP859" s="1" t="s">
        <v>2063</v>
      </c>
      <c r="AQ859" s="1" t="s">
        <v>74</v>
      </c>
      <c r="AR859" s="1" t="s">
        <v>74</v>
      </c>
      <c r="AS859" s="1" t="s">
        <v>74</v>
      </c>
      <c r="AT859" s="1" t="s">
        <v>3480</v>
      </c>
      <c r="AU859" s="1">
        <v>2003.0</v>
      </c>
      <c r="AV859" s="1">
        <v>56.0</v>
      </c>
      <c r="AW859" s="1">
        <v>14.0</v>
      </c>
      <c r="AX859" s="1" t="s">
        <v>74</v>
      </c>
      <c r="AY859" s="1" t="s">
        <v>74</v>
      </c>
      <c r="AZ859" s="1" t="s">
        <v>74</v>
      </c>
      <c r="BA859" s="1" t="s">
        <v>74</v>
      </c>
      <c r="BB859" s="1">
        <v>1269.0</v>
      </c>
      <c r="BC859" s="1">
        <v>1275.0</v>
      </c>
      <c r="BD859" s="1" t="s">
        <v>74</v>
      </c>
      <c r="BE859" s="1" t="s">
        <v>7888</v>
      </c>
      <c r="BF859" s="2" t="str">
        <f>HYPERLINK("http://dx.doi.org/10.1080/00958970310001624267","http://dx.doi.org/10.1080/00958970310001624267")</f>
        <v>http://dx.doi.org/10.1080/00958970310001624267</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7889</v>
      </c>
      <c r="BT859" s="1" t="str">
        <f>HYPERLINK("https%3A%2F%2Fwww.webofscience.com%2Fwos%2Fwoscc%2Ffull-record%2FWOS:000188356200009","View Full Record in Web of Science")</f>
        <v>View Full Record in Web of Science</v>
      </c>
    </row>
    <row r="860" ht="12.75" customHeight="1">
      <c r="A860" s="1" t="s">
        <v>72</v>
      </c>
      <c r="B860" s="1" t="s">
        <v>7890</v>
      </c>
      <c r="C860" s="1" t="s">
        <v>74</v>
      </c>
      <c r="D860" s="1" t="s">
        <v>74</v>
      </c>
      <c r="E860" s="1" t="s">
        <v>74</v>
      </c>
      <c r="F860" s="1" t="s">
        <v>7890</v>
      </c>
      <c r="G860" s="1" t="s">
        <v>74</v>
      </c>
      <c r="H860" s="1" t="s">
        <v>74</v>
      </c>
      <c r="I860" s="1" t="s">
        <v>7891</v>
      </c>
      <c r="J860" s="1" t="s">
        <v>7892</v>
      </c>
      <c r="K860" s="1" t="s">
        <v>74</v>
      </c>
      <c r="L860" s="1" t="s">
        <v>74</v>
      </c>
      <c r="M860" s="1" t="s">
        <v>74</v>
      </c>
      <c r="N860" s="1" t="s">
        <v>74</v>
      </c>
      <c r="O860" s="1" t="s">
        <v>74</v>
      </c>
      <c r="P860" s="1" t="s">
        <v>74</v>
      </c>
      <c r="Q860" s="1" t="s">
        <v>74</v>
      </c>
      <c r="R860" s="1" t="s">
        <v>74</v>
      </c>
      <c r="S860" s="1" t="s">
        <v>74</v>
      </c>
      <c r="T860" s="1" t="s">
        <v>74</v>
      </c>
      <c r="U860" s="1" t="s">
        <v>74</v>
      </c>
      <c r="V860" s="1" t="s">
        <v>7893</v>
      </c>
      <c r="W860" s="1" t="s">
        <v>74</v>
      </c>
      <c r="X860" s="1" t="s">
        <v>74</v>
      </c>
      <c r="Y860" s="1" t="s">
        <v>74</v>
      </c>
      <c r="Z860" s="1" t="s">
        <v>74</v>
      </c>
      <c r="AA860" s="1" t="s">
        <v>7398</v>
      </c>
      <c r="AB860" s="1" t="s">
        <v>7399</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7894</v>
      </c>
      <c r="AP860" s="1" t="s">
        <v>74</v>
      </c>
      <c r="AQ860" s="1" t="s">
        <v>74</v>
      </c>
      <c r="AR860" s="1" t="s">
        <v>74</v>
      </c>
      <c r="AS860" s="1" t="s">
        <v>74</v>
      </c>
      <c r="AT860" s="1" t="s">
        <v>74</v>
      </c>
      <c r="AU860" s="1">
        <v>2003.0</v>
      </c>
      <c r="AV860" s="1">
        <v>12.0</v>
      </c>
      <c r="AW860" s="1">
        <v>3.0</v>
      </c>
      <c r="AX860" s="1" t="s">
        <v>74</v>
      </c>
      <c r="AY860" s="1" t="s">
        <v>74</v>
      </c>
      <c r="AZ860" s="1" t="s">
        <v>74</v>
      </c>
      <c r="BA860" s="1" t="s">
        <v>74</v>
      </c>
      <c r="BB860" s="1">
        <v>58.0</v>
      </c>
      <c r="BC860" s="1">
        <v>61.0</v>
      </c>
      <c r="BD860" s="1" t="s">
        <v>74</v>
      </c>
      <c r="BE860" s="1" t="s">
        <v>74</v>
      </c>
      <c r="BF860" s="1" t="s">
        <v>74</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7895</v>
      </c>
      <c r="BT860" s="1" t="str">
        <f>HYPERLINK("https%3A%2F%2Fwww.webofscience.com%2Fwos%2Fwoscc%2Ffull-record%2FWOS:000220466500004","View Full Record in Web of Science")</f>
        <v>View Full Record in Web of Science</v>
      </c>
    </row>
    <row r="861" ht="12.75" customHeight="1">
      <c r="A861" s="1" t="s">
        <v>72</v>
      </c>
      <c r="B861" s="1" t="s">
        <v>7896</v>
      </c>
      <c r="C861" s="1" t="s">
        <v>74</v>
      </c>
      <c r="D861" s="1" t="s">
        <v>74</v>
      </c>
      <c r="E861" s="1" t="s">
        <v>74</v>
      </c>
      <c r="F861" s="1" t="s">
        <v>7896</v>
      </c>
      <c r="G861" s="1" t="s">
        <v>74</v>
      </c>
      <c r="H861" s="1" t="s">
        <v>74</v>
      </c>
      <c r="I861" s="1" t="s">
        <v>7897</v>
      </c>
      <c r="J861" s="1" t="s">
        <v>1752</v>
      </c>
      <c r="K861" s="1" t="s">
        <v>74</v>
      </c>
      <c r="L861" s="1" t="s">
        <v>74</v>
      </c>
      <c r="M861" s="1" t="s">
        <v>74</v>
      </c>
      <c r="N861" s="1" t="s">
        <v>74</v>
      </c>
      <c r="O861" s="1" t="s">
        <v>1753</v>
      </c>
      <c r="P861" s="1" t="s">
        <v>1754</v>
      </c>
      <c r="Q861" s="1" t="s">
        <v>1755</v>
      </c>
      <c r="R861" s="1" t="s">
        <v>74</v>
      </c>
      <c r="S861" s="1" t="s">
        <v>74</v>
      </c>
      <c r="T861" s="1" t="s">
        <v>74</v>
      </c>
      <c r="U861" s="1" t="s">
        <v>74</v>
      </c>
      <c r="V861" s="1" t="s">
        <v>7898</v>
      </c>
      <c r="W861" s="1" t="s">
        <v>74</v>
      </c>
      <c r="X861" s="1" t="s">
        <v>74</v>
      </c>
      <c r="Y861" s="1" t="s">
        <v>74</v>
      </c>
      <c r="Z861" s="1" t="s">
        <v>74</v>
      </c>
      <c r="AA861" s="1" t="s">
        <v>7899</v>
      </c>
      <c r="AB861" s="1" t="s">
        <v>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1757</v>
      </c>
      <c r="AP861" s="1" t="s">
        <v>74</v>
      </c>
      <c r="AQ861" s="1" t="s">
        <v>74</v>
      </c>
      <c r="AR861" s="1" t="s">
        <v>74</v>
      </c>
      <c r="AS861" s="1" t="s">
        <v>74</v>
      </c>
      <c r="AT861" s="1" t="s">
        <v>160</v>
      </c>
      <c r="AU861" s="1">
        <v>2002.0</v>
      </c>
      <c r="AV861" s="1">
        <v>48.0</v>
      </c>
      <c r="AW861" s="1" t="s">
        <v>74</v>
      </c>
      <c r="AX861" s="1" t="s">
        <v>74</v>
      </c>
      <c r="AY861" s="1">
        <v>3.0</v>
      </c>
      <c r="AZ861" s="1" t="s">
        <v>74</v>
      </c>
      <c r="BA861" s="1" t="s">
        <v>74</v>
      </c>
      <c r="BB861" s="1">
        <v>82.0</v>
      </c>
      <c r="BC861" s="1">
        <v>83.0</v>
      </c>
      <c r="BD861" s="1" t="s">
        <v>74</v>
      </c>
      <c r="BE861" s="1" t="s">
        <v>74</v>
      </c>
      <c r="BF861" s="1" t="s">
        <v>74</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7900</v>
      </c>
      <c r="BT861" s="1" t="str">
        <f>HYPERLINK("https%3A%2F%2Fwww.webofscience.com%2Fwos%2Fwoscc%2Ffull-record%2FWOS:000180065500029","View Full Record in Web of Science")</f>
        <v>View Full Record in Web of Science</v>
      </c>
    </row>
    <row r="862" ht="12.75" customHeight="1">
      <c r="A862" s="1" t="s">
        <v>72</v>
      </c>
      <c r="B862" s="1" t="s">
        <v>7901</v>
      </c>
      <c r="C862" s="1" t="s">
        <v>74</v>
      </c>
      <c r="D862" s="1" t="s">
        <v>74</v>
      </c>
      <c r="E862" s="1" t="s">
        <v>74</v>
      </c>
      <c r="F862" s="1" t="s">
        <v>7901</v>
      </c>
      <c r="G862" s="1" t="s">
        <v>74</v>
      </c>
      <c r="H862" s="1" t="s">
        <v>74</v>
      </c>
      <c r="I862" s="1" t="s">
        <v>7902</v>
      </c>
      <c r="J862" s="1" t="s">
        <v>88</v>
      </c>
      <c r="K862" s="1" t="s">
        <v>74</v>
      </c>
      <c r="L862" s="1" t="s">
        <v>74</v>
      </c>
      <c r="M862" s="1" t="s">
        <v>74</v>
      </c>
      <c r="N862" s="1" t="s">
        <v>74</v>
      </c>
      <c r="O862" s="1" t="s">
        <v>74</v>
      </c>
      <c r="P862" s="1" t="s">
        <v>74</v>
      </c>
      <c r="Q862" s="1" t="s">
        <v>74</v>
      </c>
      <c r="R862" s="1" t="s">
        <v>74</v>
      </c>
      <c r="S862" s="1" t="s">
        <v>74</v>
      </c>
      <c r="T862" s="1" t="s">
        <v>74</v>
      </c>
      <c r="U862" s="1" t="s">
        <v>74</v>
      </c>
      <c r="V862" s="1" t="s">
        <v>7903</v>
      </c>
      <c r="W862" s="1" t="s">
        <v>74</v>
      </c>
      <c r="X862" s="1" t="s">
        <v>74</v>
      </c>
      <c r="Y862" s="1" t="s">
        <v>74</v>
      </c>
      <c r="Z862" s="1" t="s">
        <v>74</v>
      </c>
      <c r="AA862" s="1" t="s">
        <v>74</v>
      </c>
      <c r="AB862" s="1" t="s">
        <v>74</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92</v>
      </c>
      <c r="AP862" s="1" t="s">
        <v>74</v>
      </c>
      <c r="AQ862" s="1" t="s">
        <v>74</v>
      </c>
      <c r="AR862" s="1" t="s">
        <v>74</v>
      </c>
      <c r="AS862" s="1" t="s">
        <v>74</v>
      </c>
      <c r="AT862" s="1" t="s">
        <v>319</v>
      </c>
      <c r="AU862" s="1">
        <v>2002.0</v>
      </c>
      <c r="AV862" s="1">
        <v>37.0</v>
      </c>
      <c r="AW862" s="1">
        <v>2.0</v>
      </c>
      <c r="AX862" s="1" t="s">
        <v>74</v>
      </c>
      <c r="AY862" s="1" t="s">
        <v>74</v>
      </c>
      <c r="AZ862" s="1" t="s">
        <v>74</v>
      </c>
      <c r="BA862" s="1" t="s">
        <v>74</v>
      </c>
      <c r="BB862" s="1">
        <v>369.0</v>
      </c>
      <c r="BC862" s="1">
        <v>393.0</v>
      </c>
      <c r="BD862" s="1" t="s">
        <v>74</v>
      </c>
      <c r="BE862" s="1" t="s">
        <v>7904</v>
      </c>
      <c r="BF862" s="2" t="str">
        <f>HYPERLINK("http://dx.doi.org/10.1016/S0020-7462(01)00046-4","http://dx.doi.org/10.1016/S0020-7462(01)00046-4")</f>
        <v>http://dx.doi.org/10.1016/S0020-7462(01)00046-4</v>
      </c>
      <c r="BG862" s="1" t="s">
        <v>74</v>
      </c>
      <c r="BH862" s="1" t="s">
        <v>74</v>
      </c>
      <c r="BI862" s="1" t="s">
        <v>74</v>
      </c>
      <c r="BJ862" s="1" t="s">
        <v>74</v>
      </c>
      <c r="BK862" s="1" t="s">
        <v>74</v>
      </c>
      <c r="BL862" s="1" t="s">
        <v>74</v>
      </c>
      <c r="BM862" s="1" t="s">
        <v>74</v>
      </c>
      <c r="BN862" s="1" t="s">
        <v>74</v>
      </c>
      <c r="BO862" s="1" t="s">
        <v>74</v>
      </c>
      <c r="BP862" s="1" t="s">
        <v>74</v>
      </c>
      <c r="BQ862" s="1" t="s">
        <v>74</v>
      </c>
      <c r="BR862" s="1" t="s">
        <v>74</v>
      </c>
      <c r="BS862" s="1" t="s">
        <v>7905</v>
      </c>
      <c r="BT862" s="1" t="str">
        <f>HYPERLINK("https%3A%2F%2Fwww.webofscience.com%2Fwos%2Fwoscc%2Ffull-record%2FWOS:000172477400017","View Full Record in Web of Science")</f>
        <v>View Full Record in Web of Science</v>
      </c>
    </row>
    <row r="863" ht="12.75" customHeight="1">
      <c r="A863" s="1" t="s">
        <v>72</v>
      </c>
      <c r="B863" s="1" t="s">
        <v>7906</v>
      </c>
      <c r="C863" s="1" t="s">
        <v>74</v>
      </c>
      <c r="D863" s="1" t="s">
        <v>74</v>
      </c>
      <c r="E863" s="1" t="s">
        <v>74</v>
      </c>
      <c r="F863" s="1" t="s">
        <v>7906</v>
      </c>
      <c r="G863" s="1" t="s">
        <v>74</v>
      </c>
      <c r="H863" s="1" t="s">
        <v>74</v>
      </c>
      <c r="I863" s="1" t="s">
        <v>7907</v>
      </c>
      <c r="J863" s="1" t="s">
        <v>2610</v>
      </c>
      <c r="K863" s="1" t="s">
        <v>74</v>
      </c>
      <c r="L863" s="1" t="s">
        <v>74</v>
      </c>
      <c r="M863" s="1" t="s">
        <v>74</v>
      </c>
      <c r="N863" s="1" t="s">
        <v>74</v>
      </c>
      <c r="O863" s="1" t="s">
        <v>74</v>
      </c>
      <c r="P863" s="1" t="s">
        <v>74</v>
      </c>
      <c r="Q863" s="1" t="s">
        <v>74</v>
      </c>
      <c r="R863" s="1" t="s">
        <v>74</v>
      </c>
      <c r="S863" s="1" t="s">
        <v>74</v>
      </c>
      <c r="T863" s="1" t="s">
        <v>74</v>
      </c>
      <c r="U863" s="1" t="s">
        <v>74</v>
      </c>
      <c r="V863" s="1" t="s">
        <v>7908</v>
      </c>
      <c r="W863" s="1" t="s">
        <v>74</v>
      </c>
      <c r="X863" s="1" t="s">
        <v>74</v>
      </c>
      <c r="Y863" s="1" t="s">
        <v>74</v>
      </c>
      <c r="Z863" s="1" t="s">
        <v>74</v>
      </c>
      <c r="AA863" s="1" t="s">
        <v>663</v>
      </c>
      <c r="AB863" s="1" t="s">
        <v>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2612</v>
      </c>
      <c r="AP863" s="1" t="s">
        <v>2613</v>
      </c>
      <c r="AQ863" s="1" t="s">
        <v>74</v>
      </c>
      <c r="AR863" s="1" t="s">
        <v>74</v>
      </c>
      <c r="AS863" s="1" t="s">
        <v>74</v>
      </c>
      <c r="AT863" s="1" t="s">
        <v>74</v>
      </c>
      <c r="AU863" s="1">
        <v>2002.0</v>
      </c>
      <c r="AV863" s="1">
        <v>85.0</v>
      </c>
      <c r="AW863" s="1">
        <v>5.0</v>
      </c>
      <c r="AX863" s="1" t="s">
        <v>74</v>
      </c>
      <c r="AY863" s="1" t="s">
        <v>74</v>
      </c>
      <c r="AZ863" s="1" t="s">
        <v>74</v>
      </c>
      <c r="BA863" s="1" t="s">
        <v>74</v>
      </c>
      <c r="BB863" s="1">
        <v>1427.0</v>
      </c>
      <c r="BC863" s="1">
        <v>1438.0</v>
      </c>
      <c r="BD863" s="1" t="s">
        <v>74</v>
      </c>
      <c r="BE863" s="1" t="s">
        <v>7909</v>
      </c>
      <c r="BF863" s="2" t="str">
        <f>HYPERLINK("http://dx.doi.org/10.1002/1522-2675(200205)85:5&lt;1427::AID-HLCA1427&gt;3.0.CO;2-A","http://dx.doi.org/10.1002/1522-2675(200205)85:5&lt;1427::AID-HLCA1427&gt;3.0.CO;2-A")</f>
        <v>http://dx.doi.org/10.1002/1522-2675(200205)85:5&lt;1427::AID-HLCA1427&gt;3.0.CO;2-A</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7910</v>
      </c>
      <c r="BT863" s="1" t="str">
        <f>HYPERLINK("https%3A%2F%2Fwww.webofscience.com%2Fwos%2Fwoscc%2Ffull-record%2FWOS:000176150100017","View Full Record in Web of Science")</f>
        <v>View Full Record in Web of Science</v>
      </c>
    </row>
    <row r="864" ht="12.75" customHeight="1">
      <c r="A864" s="1" t="s">
        <v>72</v>
      </c>
      <c r="B864" s="1" t="s">
        <v>7911</v>
      </c>
      <c r="C864" s="1" t="s">
        <v>74</v>
      </c>
      <c r="D864" s="1" t="s">
        <v>74</v>
      </c>
      <c r="E864" s="1" t="s">
        <v>74</v>
      </c>
      <c r="F864" s="1" t="s">
        <v>7911</v>
      </c>
      <c r="G864" s="1" t="s">
        <v>74</v>
      </c>
      <c r="H864" s="1" t="s">
        <v>74</v>
      </c>
      <c r="I864" s="1" t="s">
        <v>7912</v>
      </c>
      <c r="J864" s="1" t="s">
        <v>7913</v>
      </c>
      <c r="K864" s="1" t="s">
        <v>74</v>
      </c>
      <c r="L864" s="1" t="s">
        <v>74</v>
      </c>
      <c r="M864" s="1" t="s">
        <v>74</v>
      </c>
      <c r="N864" s="1" t="s">
        <v>74</v>
      </c>
      <c r="O864" s="1" t="s">
        <v>74</v>
      </c>
      <c r="P864" s="1" t="s">
        <v>74</v>
      </c>
      <c r="Q864" s="1" t="s">
        <v>74</v>
      </c>
      <c r="R864" s="1" t="s">
        <v>74</v>
      </c>
      <c r="S864" s="1" t="s">
        <v>74</v>
      </c>
      <c r="T864" s="1" t="s">
        <v>74</v>
      </c>
      <c r="U864" s="1" t="s">
        <v>74</v>
      </c>
      <c r="V864" s="1" t="s">
        <v>7914</v>
      </c>
      <c r="W864" s="1" t="s">
        <v>74</v>
      </c>
      <c r="X864" s="1" t="s">
        <v>74</v>
      </c>
      <c r="Y864" s="1" t="s">
        <v>74</v>
      </c>
      <c r="Z864" s="1" t="s">
        <v>74</v>
      </c>
      <c r="AA864" s="1" t="s">
        <v>74</v>
      </c>
      <c r="AB864" s="1" t="s">
        <v>74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7915</v>
      </c>
      <c r="AP864" s="1" t="s">
        <v>7916</v>
      </c>
      <c r="AQ864" s="1" t="s">
        <v>74</v>
      </c>
      <c r="AR864" s="1" t="s">
        <v>74</v>
      </c>
      <c r="AS864" s="1" t="s">
        <v>74</v>
      </c>
      <c r="AT864" s="1" t="s">
        <v>228</v>
      </c>
      <c r="AU864" s="1">
        <v>2000.0</v>
      </c>
      <c r="AV864" s="1">
        <v>317.0</v>
      </c>
      <c r="AW864" s="1">
        <v>4.0</v>
      </c>
      <c r="AX864" s="1" t="s">
        <v>74</v>
      </c>
      <c r="AY864" s="1" t="s">
        <v>74</v>
      </c>
      <c r="AZ864" s="1" t="s">
        <v>74</v>
      </c>
      <c r="BA864" s="1" t="s">
        <v>74</v>
      </c>
      <c r="BB864" s="1">
        <v>825.0</v>
      </c>
      <c r="BC864" s="1">
        <v>830.0</v>
      </c>
      <c r="BD864" s="1" t="s">
        <v>74</v>
      </c>
      <c r="BE864" s="1" t="s">
        <v>7917</v>
      </c>
      <c r="BF864" s="2" t="str">
        <f>HYPERLINK("http://dx.doi.org/10.1046/j.1365-8711.2000.03675.x","http://dx.doi.org/10.1046/j.1365-8711.2000.03675.x")</f>
        <v>http://dx.doi.org/10.1046/j.1365-8711.2000.03675.x</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7918</v>
      </c>
      <c r="BT864" s="1" t="str">
        <f>HYPERLINK("https%3A%2F%2Fwww.webofscience.com%2Fwos%2Fwoscc%2Ffull-record%2FWOS:000089857200009","View Full Record in Web of Science")</f>
        <v>View Full Record in Web of Science</v>
      </c>
    </row>
    <row r="865" ht="12.75" customHeight="1">
      <c r="A865" s="1" t="s">
        <v>72</v>
      </c>
      <c r="B865" s="1" t="s">
        <v>7919</v>
      </c>
      <c r="C865" s="1" t="s">
        <v>74</v>
      </c>
      <c r="D865" s="1" t="s">
        <v>74</v>
      </c>
      <c r="E865" s="1" t="s">
        <v>74</v>
      </c>
      <c r="F865" s="1" t="s">
        <v>7919</v>
      </c>
      <c r="G865" s="1" t="s">
        <v>74</v>
      </c>
      <c r="H865" s="1" t="s">
        <v>74</v>
      </c>
      <c r="I865" s="1" t="s">
        <v>7920</v>
      </c>
      <c r="J865" s="1" t="s">
        <v>1042</v>
      </c>
      <c r="K865" s="1" t="s">
        <v>74</v>
      </c>
      <c r="L865" s="1" t="s">
        <v>74</v>
      </c>
      <c r="M865" s="1" t="s">
        <v>74</v>
      </c>
      <c r="N865" s="1" t="s">
        <v>74</v>
      </c>
      <c r="O865" s="1" t="s">
        <v>7921</v>
      </c>
      <c r="P865" s="1" t="s">
        <v>7922</v>
      </c>
      <c r="Q865" s="1" t="s">
        <v>7923</v>
      </c>
      <c r="R865" s="1" t="s">
        <v>7924</v>
      </c>
      <c r="S865" s="1" t="s">
        <v>74</v>
      </c>
      <c r="T865" s="1" t="s">
        <v>74</v>
      </c>
      <c r="U865" s="1" t="s">
        <v>74</v>
      </c>
      <c r="V865" s="1" t="s">
        <v>7925</v>
      </c>
      <c r="W865" s="1" t="s">
        <v>74</v>
      </c>
      <c r="X865" s="1" t="s">
        <v>74</v>
      </c>
      <c r="Y865" s="1" t="s">
        <v>74</v>
      </c>
      <c r="Z865" s="1" t="s">
        <v>74</v>
      </c>
      <c r="AA865" s="1" t="s">
        <v>74</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1043</v>
      </c>
      <c r="AP865" s="1" t="s">
        <v>74</v>
      </c>
      <c r="AQ865" s="1" t="s">
        <v>74</v>
      </c>
      <c r="AR865" s="1" t="s">
        <v>74</v>
      </c>
      <c r="AS865" s="1" t="s">
        <v>74</v>
      </c>
      <c r="AT865" s="1" t="s">
        <v>106</v>
      </c>
      <c r="AU865" s="1">
        <v>2000.0</v>
      </c>
      <c r="AV865" s="1">
        <v>45.0</v>
      </c>
      <c r="AW865" s="1">
        <v>3.0</v>
      </c>
      <c r="AX865" s="1" t="s">
        <v>74</v>
      </c>
      <c r="AY865" s="1" t="s">
        <v>74</v>
      </c>
      <c r="AZ865" s="1" t="s">
        <v>74</v>
      </c>
      <c r="BA865" s="1" t="s">
        <v>74</v>
      </c>
      <c r="BB865" s="1">
        <v>441.0</v>
      </c>
      <c r="BC865" s="1">
        <v>448.0</v>
      </c>
      <c r="BD865" s="1" t="s">
        <v>74</v>
      </c>
      <c r="BE865" s="1" t="s">
        <v>74</v>
      </c>
      <c r="BF865" s="1" t="s">
        <v>74</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7926</v>
      </c>
      <c r="BT865" s="1" t="str">
        <f>HYPERLINK("https%3A%2F%2Fwww.webofscience.com%2Fwos%2Fwoscc%2Ffull-record%2FWOS:000089763300015","View Full Record in Web of Science")</f>
        <v>View Full Record in Web of Science</v>
      </c>
    </row>
    <row r="866" ht="12.75" customHeight="1">
      <c r="A866" s="1" t="s">
        <v>72</v>
      </c>
      <c r="B866" s="1" t="s">
        <v>7927</v>
      </c>
      <c r="C866" s="1" t="s">
        <v>74</v>
      </c>
      <c r="D866" s="1" t="s">
        <v>74</v>
      </c>
      <c r="E866" s="1" t="s">
        <v>74</v>
      </c>
      <c r="F866" s="1" t="s">
        <v>7927</v>
      </c>
      <c r="G866" s="1" t="s">
        <v>74</v>
      </c>
      <c r="H866" s="1" t="s">
        <v>74</v>
      </c>
      <c r="I866" s="1" t="s">
        <v>7928</v>
      </c>
      <c r="J866" s="1" t="s">
        <v>7929</v>
      </c>
      <c r="K866" s="1" t="s">
        <v>74</v>
      </c>
      <c r="L866" s="1" t="s">
        <v>74</v>
      </c>
      <c r="M866" s="1" t="s">
        <v>74</v>
      </c>
      <c r="N866" s="1" t="s">
        <v>74</v>
      </c>
      <c r="O866" s="1" t="s">
        <v>74</v>
      </c>
      <c r="P866" s="1" t="s">
        <v>74</v>
      </c>
      <c r="Q866" s="1" t="s">
        <v>74</v>
      </c>
      <c r="R866" s="1" t="s">
        <v>74</v>
      </c>
      <c r="S866" s="1" t="s">
        <v>74</v>
      </c>
      <c r="T866" s="1" t="s">
        <v>74</v>
      </c>
      <c r="U866" s="1" t="s">
        <v>74</v>
      </c>
      <c r="V866" s="1" t="s">
        <v>7930</v>
      </c>
      <c r="W866" s="1" t="s">
        <v>74</v>
      </c>
      <c r="X866" s="1" t="s">
        <v>74</v>
      </c>
      <c r="Y866" s="1" t="s">
        <v>74</v>
      </c>
      <c r="Z866" s="1" t="s">
        <v>74</v>
      </c>
      <c r="AA866" s="1" t="s">
        <v>74</v>
      </c>
      <c r="AB866" s="1" t="s">
        <v>74</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7931</v>
      </c>
      <c r="AP866" s="1" t="s">
        <v>7932</v>
      </c>
      <c r="AQ866" s="1" t="s">
        <v>74</v>
      </c>
      <c r="AR866" s="1" t="s">
        <v>74</v>
      </c>
      <c r="AS866" s="1" t="s">
        <v>74</v>
      </c>
      <c r="AT866" s="1" t="s">
        <v>94</v>
      </c>
      <c r="AU866" s="1">
        <v>1999.0</v>
      </c>
      <c r="AV866" s="1">
        <v>50.0</v>
      </c>
      <c r="AW866" s="1">
        <v>1.0</v>
      </c>
      <c r="AX866" s="1" t="s">
        <v>74</v>
      </c>
      <c r="AY866" s="1" t="s">
        <v>74</v>
      </c>
      <c r="AZ866" s="1" t="s">
        <v>74</v>
      </c>
      <c r="BA866" s="1" t="s">
        <v>74</v>
      </c>
      <c r="BB866" s="1">
        <v>1.0</v>
      </c>
      <c r="BC866" s="1">
        <v>40.0</v>
      </c>
      <c r="BD866" s="1" t="s">
        <v>74</v>
      </c>
      <c r="BE866" s="1" t="s">
        <v>7933</v>
      </c>
      <c r="BF866" s="2" t="str">
        <f>HYPERLINK("http://dx.doi.org/10.1006/ijhc.1998.0233","http://dx.doi.org/10.1006/ijhc.1998.0233")</f>
        <v>http://dx.doi.org/10.1006/ijhc.1998.0233</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7934</v>
      </c>
      <c r="BT866" s="1" t="str">
        <f>HYPERLINK("https%3A%2F%2Fwww.webofscience.com%2Fwos%2Fwoscc%2Ffull-record%2FWOS:000078099700001","View Full Record in Web of Science")</f>
        <v>View Full Record in Web of Science</v>
      </c>
    </row>
    <row r="867" ht="12.75" customHeight="1">
      <c r="A867" s="1" t="s">
        <v>72</v>
      </c>
      <c r="B867" s="1" t="s">
        <v>7935</v>
      </c>
      <c r="C867" s="1" t="s">
        <v>74</v>
      </c>
      <c r="D867" s="1" t="s">
        <v>74</v>
      </c>
      <c r="E867" s="1" t="s">
        <v>74</v>
      </c>
      <c r="F867" s="1" t="s">
        <v>7936</v>
      </c>
      <c r="G867" s="1" t="s">
        <v>74</v>
      </c>
      <c r="H867" s="1" t="s">
        <v>74</v>
      </c>
      <c r="I867" s="1" t="s">
        <v>7937</v>
      </c>
      <c r="J867" s="1" t="s">
        <v>7938</v>
      </c>
      <c r="K867" s="1" t="s">
        <v>74</v>
      </c>
      <c r="L867" s="1" t="s">
        <v>74</v>
      </c>
      <c r="M867" s="1" t="s">
        <v>74</v>
      </c>
      <c r="N867" s="1" t="s">
        <v>74</v>
      </c>
      <c r="O867" s="1" t="s">
        <v>74</v>
      </c>
      <c r="P867" s="1" t="s">
        <v>74</v>
      </c>
      <c r="Q867" s="1" t="s">
        <v>74</v>
      </c>
      <c r="R867" s="1" t="s">
        <v>74</v>
      </c>
      <c r="S867" s="1" t="s">
        <v>74</v>
      </c>
      <c r="T867" s="1" t="s">
        <v>74</v>
      </c>
      <c r="U867" s="1" t="s">
        <v>74</v>
      </c>
      <c r="V867" s="1" t="s">
        <v>74</v>
      </c>
      <c r="W867" s="1" t="s">
        <v>74</v>
      </c>
      <c r="X867" s="1" t="s">
        <v>74</v>
      </c>
      <c r="Y867" s="1" t="s">
        <v>74</v>
      </c>
      <c r="Z867" s="1" t="s">
        <v>74</v>
      </c>
      <c r="AA867" s="1" t="s">
        <v>74</v>
      </c>
      <c r="AB867" s="1" t="s">
        <v>74</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7939</v>
      </c>
      <c r="AP867" s="1" t="s">
        <v>74</v>
      </c>
      <c r="AQ867" s="1" t="s">
        <v>74</v>
      </c>
      <c r="AR867" s="1" t="s">
        <v>74</v>
      </c>
      <c r="AS867" s="1" t="s">
        <v>74</v>
      </c>
      <c r="AT867" s="1" t="s">
        <v>74</v>
      </c>
      <c r="AU867" s="1">
        <v>1999.0</v>
      </c>
      <c r="AV867" s="1">
        <v>55.0</v>
      </c>
      <c r="AW867" s="1" t="s">
        <v>74</v>
      </c>
      <c r="AX867" s="1" t="s">
        <v>74</v>
      </c>
      <c r="AY867" s="1" t="s">
        <v>1857</v>
      </c>
      <c r="AZ867" s="1" t="s">
        <v>74</v>
      </c>
      <c r="BA867" s="1" t="s">
        <v>7940</v>
      </c>
      <c r="BB867" s="1">
        <v>413.0</v>
      </c>
      <c r="BC867" s="1">
        <v>413.0</v>
      </c>
      <c r="BD867" s="1" t="s">
        <v>74</v>
      </c>
      <c r="BE867" s="1" t="s">
        <v>74</v>
      </c>
      <c r="BF867" s="1" t="s">
        <v>74</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7941</v>
      </c>
      <c r="BT867" s="1" t="str">
        <f>HYPERLINK("https%3A%2F%2Fwww.webofscience.com%2Fwos%2Fwoscc%2Ffull-record%2FWOS:000475706304033","View Full Record in Web of Science")</f>
        <v>View Full Record in Web of Science</v>
      </c>
    </row>
    <row r="868" ht="12.75" customHeight="1">
      <c r="A868" s="1" t="s">
        <v>72</v>
      </c>
      <c r="B868" s="1" t="s">
        <v>7942</v>
      </c>
      <c r="C868" s="1" t="s">
        <v>74</v>
      </c>
      <c r="D868" s="1" t="s">
        <v>74</v>
      </c>
      <c r="E868" s="1" t="s">
        <v>74</v>
      </c>
      <c r="F868" s="1" t="s">
        <v>7942</v>
      </c>
      <c r="G868" s="1" t="s">
        <v>74</v>
      </c>
      <c r="H868" s="1" t="s">
        <v>74</v>
      </c>
      <c r="I868" s="1" t="s">
        <v>7943</v>
      </c>
      <c r="J868" s="1" t="s">
        <v>7944</v>
      </c>
      <c r="K868" s="1" t="s">
        <v>74</v>
      </c>
      <c r="L868" s="1" t="s">
        <v>74</v>
      </c>
      <c r="M868" s="1" t="s">
        <v>74</v>
      </c>
      <c r="N868" s="1" t="s">
        <v>74</v>
      </c>
      <c r="O868" s="1" t="s">
        <v>74</v>
      </c>
      <c r="P868" s="1" t="s">
        <v>74</v>
      </c>
      <c r="Q868" s="1" t="s">
        <v>74</v>
      </c>
      <c r="R868" s="1" t="s">
        <v>74</v>
      </c>
      <c r="S868" s="1" t="s">
        <v>74</v>
      </c>
      <c r="T868" s="1" t="s">
        <v>74</v>
      </c>
      <c r="U868" s="1" t="s">
        <v>74</v>
      </c>
      <c r="V868" s="1" t="s">
        <v>7945</v>
      </c>
      <c r="W868" s="1" t="s">
        <v>74</v>
      </c>
      <c r="X868" s="1" t="s">
        <v>74</v>
      </c>
      <c r="Y868" s="1" t="s">
        <v>74</v>
      </c>
      <c r="Z868" s="1" t="s">
        <v>74</v>
      </c>
      <c r="AA868" s="1" t="s">
        <v>7946</v>
      </c>
      <c r="AB868" s="1" t="s">
        <v>74</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7947</v>
      </c>
      <c r="AP868" s="1" t="s">
        <v>74</v>
      </c>
      <c r="AQ868" s="1" t="s">
        <v>74</v>
      </c>
      <c r="AR868" s="1" t="s">
        <v>74</v>
      </c>
      <c r="AS868" s="1" t="s">
        <v>74</v>
      </c>
      <c r="AT868" s="1" t="s">
        <v>183</v>
      </c>
      <c r="AU868" s="1">
        <v>1998.0</v>
      </c>
      <c r="AV868" s="1">
        <v>41.0</v>
      </c>
      <c r="AW868" s="1">
        <v>3.0</v>
      </c>
      <c r="AX868" s="1" t="s">
        <v>74</v>
      </c>
      <c r="AY868" s="1" t="s">
        <v>74</v>
      </c>
      <c r="AZ868" s="1" t="s">
        <v>74</v>
      </c>
      <c r="BA868" s="1" t="s">
        <v>74</v>
      </c>
      <c r="BB868" s="1">
        <v>235.0</v>
      </c>
      <c r="BC868" s="1">
        <v>242.0</v>
      </c>
      <c r="BD868" s="1" t="s">
        <v>74</v>
      </c>
      <c r="BE868" s="1" t="s">
        <v>7948</v>
      </c>
      <c r="BF868" s="2" t="str">
        <f>HYPERLINK("http://dx.doi.org/10.1515/botm.1998.41.1-6.235","http://dx.doi.org/10.1515/botm.1998.41.1-6.235")</f>
        <v>http://dx.doi.org/10.1515/botm.1998.41.1-6.235</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7949</v>
      </c>
      <c r="BT868" s="1" t="str">
        <f>HYPERLINK("https%3A%2F%2Fwww.webofscience.com%2Fwos%2Fwoscc%2Ffull-record%2FWOS:000073994500001","View Full Record in Web of Science")</f>
        <v>View Full Record in Web of Science</v>
      </c>
    </row>
    <row r="869" ht="12.75" customHeight="1">
      <c r="A869" s="1" t="s">
        <v>72</v>
      </c>
      <c r="B869" s="1" t="s">
        <v>7950</v>
      </c>
      <c r="C869" s="1" t="s">
        <v>74</v>
      </c>
      <c r="D869" s="1" t="s">
        <v>74</v>
      </c>
      <c r="E869" s="1" t="s">
        <v>74</v>
      </c>
      <c r="F869" s="1" t="s">
        <v>7950</v>
      </c>
      <c r="G869" s="1" t="s">
        <v>74</v>
      </c>
      <c r="H869" s="1" t="s">
        <v>74</v>
      </c>
      <c r="I869" s="1" t="s">
        <v>7951</v>
      </c>
      <c r="J869" s="1" t="s">
        <v>1838</v>
      </c>
      <c r="K869" s="1" t="s">
        <v>74</v>
      </c>
      <c r="L869" s="1" t="s">
        <v>74</v>
      </c>
      <c r="M869" s="1" t="s">
        <v>74</v>
      </c>
      <c r="N869" s="1" t="s">
        <v>74</v>
      </c>
      <c r="O869" s="1" t="s">
        <v>74</v>
      </c>
      <c r="P869" s="1" t="s">
        <v>74</v>
      </c>
      <c r="Q869" s="1" t="s">
        <v>74</v>
      </c>
      <c r="R869" s="1" t="s">
        <v>74</v>
      </c>
      <c r="S869" s="1" t="s">
        <v>74</v>
      </c>
      <c r="T869" s="1" t="s">
        <v>74</v>
      </c>
      <c r="U869" s="1" t="s">
        <v>74</v>
      </c>
      <c r="V869" s="1" t="s">
        <v>7952</v>
      </c>
      <c r="W869" s="1" t="s">
        <v>74</v>
      </c>
      <c r="X869" s="1" t="s">
        <v>74</v>
      </c>
      <c r="Y869" s="1" t="s">
        <v>74</v>
      </c>
      <c r="Z869" s="1" t="s">
        <v>74</v>
      </c>
      <c r="AA869" s="1" t="s">
        <v>7953</v>
      </c>
      <c r="AB869" s="1" t="s">
        <v>7954</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1840</v>
      </c>
      <c r="AP869" s="1" t="s">
        <v>74</v>
      </c>
      <c r="AQ869" s="1" t="s">
        <v>74</v>
      </c>
      <c r="AR869" s="1" t="s">
        <v>74</v>
      </c>
      <c r="AS869" s="1" t="s">
        <v>74</v>
      </c>
      <c r="AT869" s="1" t="s">
        <v>353</v>
      </c>
      <c r="AU869" s="1">
        <v>1997.0</v>
      </c>
      <c r="AV869" s="1">
        <v>10.0</v>
      </c>
      <c r="AW869" s="1">
        <v>10.0</v>
      </c>
      <c r="AX869" s="1" t="s">
        <v>74</v>
      </c>
      <c r="AY869" s="1" t="s">
        <v>74</v>
      </c>
      <c r="AZ869" s="1" t="s">
        <v>74</v>
      </c>
      <c r="BA869" s="1" t="s">
        <v>74</v>
      </c>
      <c r="BB869" s="1">
        <v>731.0</v>
      </c>
      <c r="BC869" s="1">
        <v>736.0</v>
      </c>
      <c r="BD869" s="1" t="s">
        <v>74</v>
      </c>
      <c r="BE869" s="1" t="s">
        <v>7955</v>
      </c>
      <c r="BF869" s="2" t="str">
        <f>HYPERLINK("http://dx.doi.org/10.1002/(SICI)1099-1395(199710)10:10&lt;731::AID-POC942&gt;3.0.CO;2-A","http://dx.doi.org/10.1002/(SICI)1099-1395(199710)10:10&lt;731::AID-POC942&gt;3.0.CO;2-A")</f>
        <v>http://dx.doi.org/10.1002/(SICI)1099-1395(199710)10:10&lt;731::AID-POC942&gt;3.0.CO;2-A</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7956</v>
      </c>
      <c r="BT869" s="1" t="str">
        <f>HYPERLINK("https%3A%2F%2Fwww.webofscience.com%2Fwos%2Fwoscc%2Ffull-record%2FWOS:A1997YG07000003","View Full Record in Web of Science")</f>
        <v>View Full Record in Web of Science</v>
      </c>
    </row>
    <row r="870" ht="12.75" customHeight="1">
      <c r="A870" s="1" t="s">
        <v>72</v>
      </c>
      <c r="B870" s="1" t="s">
        <v>7957</v>
      </c>
      <c r="C870" s="1" t="s">
        <v>74</v>
      </c>
      <c r="D870" s="1" t="s">
        <v>74</v>
      </c>
      <c r="E870" s="1" t="s">
        <v>74</v>
      </c>
      <c r="F870" s="1" t="s">
        <v>7957</v>
      </c>
      <c r="G870" s="1" t="s">
        <v>74</v>
      </c>
      <c r="H870" s="1" t="s">
        <v>74</v>
      </c>
      <c r="I870" s="1" t="s">
        <v>7958</v>
      </c>
      <c r="J870" s="1" t="s">
        <v>7464</v>
      </c>
      <c r="K870" s="1" t="s">
        <v>74</v>
      </c>
      <c r="L870" s="1" t="s">
        <v>74</v>
      </c>
      <c r="M870" s="1" t="s">
        <v>74</v>
      </c>
      <c r="N870" s="1" t="s">
        <v>74</v>
      </c>
      <c r="O870" s="1" t="s">
        <v>74</v>
      </c>
      <c r="P870" s="1" t="s">
        <v>74</v>
      </c>
      <c r="Q870" s="1" t="s">
        <v>74</v>
      </c>
      <c r="R870" s="1" t="s">
        <v>74</v>
      </c>
      <c r="S870" s="1" t="s">
        <v>74</v>
      </c>
      <c r="T870" s="1" t="s">
        <v>74</v>
      </c>
      <c r="U870" s="1" t="s">
        <v>74</v>
      </c>
      <c r="V870" s="1" t="s">
        <v>7959</v>
      </c>
      <c r="W870" s="1" t="s">
        <v>74</v>
      </c>
      <c r="X870" s="1" t="s">
        <v>74</v>
      </c>
      <c r="Y870" s="1" t="s">
        <v>74</v>
      </c>
      <c r="Z870" s="1" t="s">
        <v>74</v>
      </c>
      <c r="AA870" s="1" t="s">
        <v>7960</v>
      </c>
      <c r="AB870" s="1" t="s">
        <v>7961</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7962</v>
      </c>
      <c r="AP870" s="1" t="s">
        <v>74</v>
      </c>
      <c r="AQ870" s="1" t="s">
        <v>74</v>
      </c>
      <c r="AR870" s="1" t="s">
        <v>74</v>
      </c>
      <c r="AS870" s="1" t="s">
        <v>74</v>
      </c>
      <c r="AT870" s="1" t="s">
        <v>319</v>
      </c>
      <c r="AU870" s="1">
        <v>1995.0</v>
      </c>
      <c r="AV870" s="1" t="s">
        <v>74</v>
      </c>
      <c r="AW870" s="1">
        <v>3.0</v>
      </c>
      <c r="AX870" s="1" t="s">
        <v>74</v>
      </c>
      <c r="AY870" s="1" t="s">
        <v>74</v>
      </c>
      <c r="AZ870" s="1" t="s">
        <v>74</v>
      </c>
      <c r="BA870" s="1" t="s">
        <v>74</v>
      </c>
      <c r="BB870" s="1">
        <v>483.0</v>
      </c>
      <c r="BC870" s="1">
        <v>488.0</v>
      </c>
      <c r="BD870" s="1" t="s">
        <v>74</v>
      </c>
      <c r="BE870" s="1" t="s">
        <v>7963</v>
      </c>
      <c r="BF870" s="2" t="str">
        <f>HYPERLINK("http://dx.doi.org/10.1039/p29950000483","http://dx.doi.org/10.1039/p29950000483")</f>
        <v>http://dx.doi.org/10.1039/p29950000483</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7964</v>
      </c>
      <c r="BT870" s="1" t="str">
        <f>HYPERLINK("https%3A%2F%2Fwww.webofscience.com%2Fwos%2Fwoscc%2Ffull-record%2FWOS:A1995QL87000012","View Full Record in Web of Science")</f>
        <v>View Full Record in Web of Science</v>
      </c>
    </row>
    <row r="871" ht="12.75" customHeight="1">
      <c r="A871" s="1" t="s">
        <v>72</v>
      </c>
      <c r="B871" s="1" t="s">
        <v>7965</v>
      </c>
      <c r="C871" s="1" t="s">
        <v>74</v>
      </c>
      <c r="D871" s="1" t="s">
        <v>74</v>
      </c>
      <c r="E871" s="1" t="s">
        <v>74</v>
      </c>
      <c r="F871" s="1" t="s">
        <v>7965</v>
      </c>
      <c r="G871" s="1" t="s">
        <v>74</v>
      </c>
      <c r="H871" s="1" t="s">
        <v>74</v>
      </c>
      <c r="I871" s="1" t="s">
        <v>7966</v>
      </c>
      <c r="J871" s="1" t="s">
        <v>1042</v>
      </c>
      <c r="K871" s="1" t="s">
        <v>74</v>
      </c>
      <c r="L871" s="1" t="s">
        <v>74</v>
      </c>
      <c r="M871" s="1" t="s">
        <v>74</v>
      </c>
      <c r="N871" s="1" t="s">
        <v>74</v>
      </c>
      <c r="O871" s="1" t="s">
        <v>74</v>
      </c>
      <c r="P871" s="1" t="s">
        <v>74</v>
      </c>
      <c r="Q871" s="1" t="s">
        <v>74</v>
      </c>
      <c r="R871" s="1" t="s">
        <v>74</v>
      </c>
      <c r="S871" s="1" t="s">
        <v>74</v>
      </c>
      <c r="T871" s="1" t="s">
        <v>74</v>
      </c>
      <c r="U871" s="1" t="s">
        <v>74</v>
      </c>
      <c r="V871" s="1" t="s">
        <v>7967</v>
      </c>
      <c r="W871" s="1" t="s">
        <v>74</v>
      </c>
      <c r="X871" s="1" t="s">
        <v>74</v>
      </c>
      <c r="Y871" s="1" t="s">
        <v>74</v>
      </c>
      <c r="Z871" s="1" t="s">
        <v>74</v>
      </c>
      <c r="AA871" s="1" t="s">
        <v>74</v>
      </c>
      <c r="AB871" s="1" t="s">
        <v>74</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1043</v>
      </c>
      <c r="AP871" s="1" t="s">
        <v>74</v>
      </c>
      <c r="AQ871" s="1" t="s">
        <v>74</v>
      </c>
      <c r="AR871" s="1" t="s">
        <v>74</v>
      </c>
      <c r="AS871" s="1" t="s">
        <v>74</v>
      </c>
      <c r="AT871" s="1" t="s">
        <v>160</v>
      </c>
      <c r="AU871" s="1">
        <v>1992.0</v>
      </c>
      <c r="AV871" s="1">
        <v>37.0</v>
      </c>
      <c r="AW871" s="1">
        <v>4.0</v>
      </c>
      <c r="AX871" s="1" t="s">
        <v>74</v>
      </c>
      <c r="AY871" s="1" t="s">
        <v>74</v>
      </c>
      <c r="AZ871" s="1" t="s">
        <v>74</v>
      </c>
      <c r="BA871" s="1" t="s">
        <v>74</v>
      </c>
      <c r="BB871" s="1">
        <v>311.0</v>
      </c>
      <c r="BC871" s="1">
        <v>314.0</v>
      </c>
      <c r="BD871" s="1" t="s">
        <v>74</v>
      </c>
      <c r="BE871" s="1" t="s">
        <v>74</v>
      </c>
      <c r="BF871" s="1" t="s">
        <v>74</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7968</v>
      </c>
      <c r="BT871" s="1" t="str">
        <f>HYPERLINK("https%3A%2F%2Fwww.webofscience.com%2Fwos%2Fwoscc%2Ffull-record%2FWOS:A1992KH70700010","View Full Record in Web of Science")</f>
        <v>View Full Record in Web of Science</v>
      </c>
    </row>
    <row r="872" ht="12.75" customHeight="1">
      <c r="A872" s="1" t="s">
        <v>72</v>
      </c>
      <c r="B872" s="1" t="s">
        <v>5600</v>
      </c>
      <c r="C872" s="1" t="s">
        <v>74</v>
      </c>
      <c r="D872" s="1" t="s">
        <v>74</v>
      </c>
      <c r="E872" s="1" t="s">
        <v>74</v>
      </c>
      <c r="F872" s="1" t="s">
        <v>5600</v>
      </c>
      <c r="G872" s="1" t="s">
        <v>74</v>
      </c>
      <c r="H872" s="1" t="s">
        <v>74</v>
      </c>
      <c r="I872" s="1" t="s">
        <v>7969</v>
      </c>
      <c r="J872" s="1" t="s">
        <v>7970</v>
      </c>
      <c r="K872" s="1" t="s">
        <v>74</v>
      </c>
      <c r="L872" s="1" t="s">
        <v>74</v>
      </c>
      <c r="M872" s="1" t="s">
        <v>74</v>
      </c>
      <c r="N872" s="1" t="s">
        <v>74</v>
      </c>
      <c r="O872" s="1" t="s">
        <v>74</v>
      </c>
      <c r="P872" s="1" t="s">
        <v>74</v>
      </c>
      <c r="Q872" s="1" t="s">
        <v>74</v>
      </c>
      <c r="R872" s="1" t="s">
        <v>74</v>
      </c>
      <c r="S872" s="1" t="s">
        <v>74</v>
      </c>
      <c r="T872" s="1" t="s">
        <v>74</v>
      </c>
      <c r="U872" s="1" t="s">
        <v>74</v>
      </c>
      <c r="V872" s="1" t="s">
        <v>74</v>
      </c>
      <c r="W872" s="1" t="s">
        <v>74</v>
      </c>
      <c r="X872" s="1" t="s">
        <v>74</v>
      </c>
      <c r="Y872" s="1" t="s">
        <v>74</v>
      </c>
      <c r="Z872" s="1" t="s">
        <v>74</v>
      </c>
      <c r="AA872" s="1" t="s">
        <v>5603</v>
      </c>
      <c r="AB872" s="1" t="s">
        <v>5604</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7971</v>
      </c>
      <c r="AP872" s="1" t="s">
        <v>74</v>
      </c>
      <c r="AQ872" s="1" t="s">
        <v>74</v>
      </c>
      <c r="AR872" s="1" t="s">
        <v>74</v>
      </c>
      <c r="AS872" s="1" t="s">
        <v>74</v>
      </c>
      <c r="AT872" s="1" t="s">
        <v>74</v>
      </c>
      <c r="AU872" s="1">
        <v>1990.0</v>
      </c>
      <c r="AV872" s="1">
        <v>67.0</v>
      </c>
      <c r="AW872" s="1">
        <v>2.0</v>
      </c>
      <c r="AX872" s="1" t="s">
        <v>74</v>
      </c>
      <c r="AY872" s="1" t="s">
        <v>74</v>
      </c>
      <c r="AZ872" s="1" t="s">
        <v>74</v>
      </c>
      <c r="BA872" s="1" t="s">
        <v>74</v>
      </c>
      <c r="BB872" s="1">
        <v>143.0</v>
      </c>
      <c r="BC872" s="1">
        <v>163.0</v>
      </c>
      <c r="BD872" s="1" t="s">
        <v>74</v>
      </c>
      <c r="BE872" s="1" t="s">
        <v>7972</v>
      </c>
      <c r="BF872" s="2" t="str">
        <f>HYPERLINK("http://dx.doi.org/10.1007/BF02568427","http://dx.doi.org/10.1007/BF02568427")</f>
        <v>http://dx.doi.org/10.1007/BF02568427</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7973</v>
      </c>
      <c r="BT872" s="1" t="str">
        <f>HYPERLINK("https%3A%2F%2Fwww.webofscience.com%2Fwos%2Fwoscc%2Ffull-record%2FWOS:A1990CW31700003","View Full Record in Web of Science")</f>
        <v>View Full Record in Web of Science</v>
      </c>
    </row>
    <row r="873" ht="12.75" customHeight="1">
      <c r="A873" s="1" t="s">
        <v>72</v>
      </c>
      <c r="B873" s="1" t="s">
        <v>7974</v>
      </c>
      <c r="C873" s="1" t="s">
        <v>74</v>
      </c>
      <c r="D873" s="1" t="s">
        <v>74</v>
      </c>
      <c r="E873" s="1" t="s">
        <v>74</v>
      </c>
      <c r="F873" s="1" t="s">
        <v>7975</v>
      </c>
      <c r="G873" s="1" t="s">
        <v>74</v>
      </c>
      <c r="H873" s="1" t="s">
        <v>74</v>
      </c>
      <c r="I873" s="1" t="s">
        <v>7976</v>
      </c>
      <c r="J873" s="1" t="s">
        <v>1397</v>
      </c>
      <c r="K873" s="1" t="s">
        <v>74</v>
      </c>
      <c r="L873" s="1" t="s">
        <v>74</v>
      </c>
      <c r="M873" s="1" t="s">
        <v>74</v>
      </c>
      <c r="N873" s="1" t="s">
        <v>74</v>
      </c>
      <c r="O873" s="1" t="s">
        <v>74</v>
      </c>
      <c r="P873" s="1" t="s">
        <v>74</v>
      </c>
      <c r="Q873" s="1" t="s">
        <v>74</v>
      </c>
      <c r="R873" s="1" t="s">
        <v>74</v>
      </c>
      <c r="S873" s="1" t="s">
        <v>74</v>
      </c>
      <c r="T873" s="1" t="s">
        <v>74</v>
      </c>
      <c r="U873" s="1" t="s">
        <v>74</v>
      </c>
      <c r="V873" s="1" t="s">
        <v>7977</v>
      </c>
      <c r="W873" s="1" t="s">
        <v>74</v>
      </c>
      <c r="X873" s="1" t="s">
        <v>74</v>
      </c>
      <c r="Y873" s="1" t="s">
        <v>74</v>
      </c>
      <c r="Z873" s="1" t="s">
        <v>74</v>
      </c>
      <c r="AA873" s="1" t="s">
        <v>74</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1401</v>
      </c>
      <c r="AP873" s="1" t="s">
        <v>1402</v>
      </c>
      <c r="AQ873" s="1" t="s">
        <v>74</v>
      </c>
      <c r="AR873" s="1" t="s">
        <v>74</v>
      </c>
      <c r="AS873" s="1" t="s">
        <v>74</v>
      </c>
      <c r="AT873" s="1" t="s">
        <v>82</v>
      </c>
      <c r="AU873" s="1">
        <v>2025.0</v>
      </c>
      <c r="AV873" s="1">
        <v>267.0</v>
      </c>
      <c r="AW873" s="1" t="s">
        <v>74</v>
      </c>
      <c r="AX873" s="1" t="s">
        <v>74</v>
      </c>
      <c r="AY873" s="1" t="s">
        <v>74</v>
      </c>
      <c r="AZ873" s="1" t="s">
        <v>74</v>
      </c>
      <c r="BA873" s="1" t="s">
        <v>74</v>
      </c>
      <c r="BB873" s="1" t="s">
        <v>74</v>
      </c>
      <c r="BC873" s="1" t="s">
        <v>74</v>
      </c>
      <c r="BD873" s="1">
        <v>113152.0</v>
      </c>
      <c r="BE873" s="1" t="s">
        <v>7978</v>
      </c>
      <c r="BF873" s="2" t="str">
        <f>HYPERLINK("http://dx.doi.org/10.1016/j.jphotobiol.2025.113152","http://dx.doi.org/10.1016/j.jphotobiol.2025.113152")</f>
        <v>http://dx.doi.org/10.1016/j.jphotobiol.2025.113152</v>
      </c>
      <c r="BG873" s="1" t="s">
        <v>74</v>
      </c>
      <c r="BH873" s="1" t="s">
        <v>74</v>
      </c>
      <c r="BI873" s="1" t="s">
        <v>74</v>
      </c>
      <c r="BJ873" s="1" t="s">
        <v>74</v>
      </c>
      <c r="BK873" s="1" t="s">
        <v>74</v>
      </c>
      <c r="BL873" s="1" t="s">
        <v>74</v>
      </c>
      <c r="BM873" s="1" t="s">
        <v>74</v>
      </c>
      <c r="BN873" s="1">
        <v>4.0184897E7</v>
      </c>
      <c r="BO873" s="1" t="s">
        <v>74</v>
      </c>
      <c r="BP873" s="1" t="s">
        <v>74</v>
      </c>
      <c r="BQ873" s="1" t="s">
        <v>74</v>
      </c>
      <c r="BR873" s="1" t="s">
        <v>74</v>
      </c>
      <c r="BS873" s="1" t="s">
        <v>7979</v>
      </c>
      <c r="BT873" s="1" t="str">
        <f>HYPERLINK("https%3A%2F%2Fwww.webofscience.com%2Fwos%2Fwoscc%2Ffull-record%2FWOS:001463260700001","View Full Record in Web of Science")</f>
        <v>View Full Record in Web of Science</v>
      </c>
    </row>
    <row r="874" ht="12.75" customHeight="1">
      <c r="A874" s="1" t="s">
        <v>72</v>
      </c>
      <c r="B874" s="1" t="s">
        <v>7980</v>
      </c>
      <c r="C874" s="1" t="s">
        <v>74</v>
      </c>
      <c r="D874" s="1" t="s">
        <v>74</v>
      </c>
      <c r="E874" s="1" t="s">
        <v>74</v>
      </c>
      <c r="F874" s="1" t="s">
        <v>7981</v>
      </c>
      <c r="G874" s="1" t="s">
        <v>74</v>
      </c>
      <c r="H874" s="1" t="s">
        <v>74</v>
      </c>
      <c r="I874" s="1" t="s">
        <v>7982</v>
      </c>
      <c r="J874" s="1" t="s">
        <v>1314</v>
      </c>
      <c r="K874" s="1" t="s">
        <v>74</v>
      </c>
      <c r="L874" s="1" t="s">
        <v>74</v>
      </c>
      <c r="M874" s="1" t="s">
        <v>74</v>
      </c>
      <c r="N874" s="1" t="s">
        <v>74</v>
      </c>
      <c r="O874" s="1" t="s">
        <v>74</v>
      </c>
      <c r="P874" s="1" t="s">
        <v>74</v>
      </c>
      <c r="Q874" s="1" t="s">
        <v>74</v>
      </c>
      <c r="R874" s="1" t="s">
        <v>74</v>
      </c>
      <c r="S874" s="1" t="s">
        <v>74</v>
      </c>
      <c r="T874" s="1" t="s">
        <v>74</v>
      </c>
      <c r="U874" s="1" t="s">
        <v>74</v>
      </c>
      <c r="V874" s="1" t="s">
        <v>7983</v>
      </c>
      <c r="W874" s="1" t="s">
        <v>74</v>
      </c>
      <c r="X874" s="1" t="s">
        <v>74</v>
      </c>
      <c r="Y874" s="1" t="s">
        <v>74</v>
      </c>
      <c r="Z874" s="1" t="s">
        <v>74</v>
      </c>
      <c r="AA874" s="1" t="s">
        <v>7984</v>
      </c>
      <c r="AB874" s="1" t="s">
        <v>7985</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74</v>
      </c>
      <c r="AP874" s="1" t="s">
        <v>1318</v>
      </c>
      <c r="AQ874" s="1" t="s">
        <v>74</v>
      </c>
      <c r="AR874" s="1" t="s">
        <v>74</v>
      </c>
      <c r="AS874" s="1" t="s">
        <v>74</v>
      </c>
      <c r="AT874" s="1" t="s">
        <v>7986</v>
      </c>
      <c r="AU874" s="1">
        <v>2025.0</v>
      </c>
      <c r="AV874" s="1">
        <v>17.0</v>
      </c>
      <c r="AW874" s="1">
        <v>7.0</v>
      </c>
      <c r="AX874" s="1" t="s">
        <v>74</v>
      </c>
      <c r="AY874" s="1" t="s">
        <v>74</v>
      </c>
      <c r="AZ874" s="1" t="s">
        <v>74</v>
      </c>
      <c r="BA874" s="1" t="s">
        <v>74</v>
      </c>
      <c r="BB874" s="1" t="s">
        <v>74</v>
      </c>
      <c r="BC874" s="1" t="s">
        <v>74</v>
      </c>
      <c r="BD874" s="1">
        <v>3064.0</v>
      </c>
      <c r="BE874" s="1" t="s">
        <v>7987</v>
      </c>
      <c r="BF874" s="2" t="str">
        <f>HYPERLINK("http://dx.doi.org/10.3390/su17073064","http://dx.doi.org/10.3390/su17073064")</f>
        <v>http://dx.doi.org/10.3390/su17073064</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7988</v>
      </c>
      <c r="BT874" s="1" t="str">
        <f>HYPERLINK("https%3A%2F%2Fwww.webofscience.com%2Fwos%2Fwoscc%2Ffull-record%2FWOS:001465725300001","View Full Record in Web of Science")</f>
        <v>View Full Record in Web of Science</v>
      </c>
    </row>
    <row r="875" ht="12.75" customHeight="1">
      <c r="A875" s="1" t="s">
        <v>72</v>
      </c>
      <c r="B875" s="1" t="s">
        <v>7989</v>
      </c>
      <c r="C875" s="1" t="s">
        <v>74</v>
      </c>
      <c r="D875" s="1" t="s">
        <v>74</v>
      </c>
      <c r="E875" s="1" t="s">
        <v>74</v>
      </c>
      <c r="F875" s="1" t="s">
        <v>7990</v>
      </c>
      <c r="G875" s="1" t="s">
        <v>74</v>
      </c>
      <c r="H875" s="1" t="s">
        <v>74</v>
      </c>
      <c r="I875" s="1" t="s">
        <v>7991</v>
      </c>
      <c r="J875" s="1" t="s">
        <v>325</v>
      </c>
      <c r="K875" s="1" t="s">
        <v>74</v>
      </c>
      <c r="L875" s="1" t="s">
        <v>74</v>
      </c>
      <c r="M875" s="1" t="s">
        <v>74</v>
      </c>
      <c r="N875" s="1" t="s">
        <v>74</v>
      </c>
      <c r="O875" s="1" t="s">
        <v>74</v>
      </c>
      <c r="P875" s="1" t="s">
        <v>74</v>
      </c>
      <c r="Q875" s="1" t="s">
        <v>74</v>
      </c>
      <c r="R875" s="1" t="s">
        <v>74</v>
      </c>
      <c r="S875" s="1" t="s">
        <v>74</v>
      </c>
      <c r="T875" s="1" t="s">
        <v>74</v>
      </c>
      <c r="U875" s="1" t="s">
        <v>74</v>
      </c>
      <c r="V875" s="1" t="s">
        <v>7992</v>
      </c>
      <c r="W875" s="1" t="s">
        <v>74</v>
      </c>
      <c r="X875" s="1" t="s">
        <v>74</v>
      </c>
      <c r="Y875" s="1" t="s">
        <v>74</v>
      </c>
      <c r="Z875" s="1" t="s">
        <v>74</v>
      </c>
      <c r="AA875" s="1" t="s">
        <v>74</v>
      </c>
      <c r="AB875" s="1" t="s">
        <v>7993</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329</v>
      </c>
      <c r="AP875" s="1" t="s">
        <v>74</v>
      </c>
      <c r="AQ875" s="1" t="s">
        <v>74</v>
      </c>
      <c r="AR875" s="1" t="s">
        <v>74</v>
      </c>
      <c r="AS875" s="1" t="s">
        <v>74</v>
      </c>
      <c r="AT875" s="1" t="s">
        <v>5900</v>
      </c>
      <c r="AU875" s="1">
        <v>2024.0</v>
      </c>
      <c r="AV875" s="1">
        <v>19.0</v>
      </c>
      <c r="AW875" s="1">
        <v>5.0</v>
      </c>
      <c r="AX875" s="1" t="s">
        <v>74</v>
      </c>
      <c r="AY875" s="1" t="s">
        <v>74</v>
      </c>
      <c r="AZ875" s="1" t="s">
        <v>74</v>
      </c>
      <c r="BA875" s="1" t="s">
        <v>74</v>
      </c>
      <c r="BB875" s="1" t="s">
        <v>74</v>
      </c>
      <c r="BC875" s="1" t="s">
        <v>74</v>
      </c>
      <c r="BD875" s="1" t="s">
        <v>7994</v>
      </c>
      <c r="BE875" s="1" t="s">
        <v>7995</v>
      </c>
      <c r="BF875" s="2" t="str">
        <f>HYPERLINK("http://dx.doi.org/10.1371/journal.pone.0304623","http://dx.doi.org/10.1371/journal.pone.0304623")</f>
        <v>http://dx.doi.org/10.1371/journal.pone.0304623</v>
      </c>
      <c r="BG875" s="1" t="s">
        <v>74</v>
      </c>
      <c r="BH875" s="1" t="s">
        <v>74</v>
      </c>
      <c r="BI875" s="1" t="s">
        <v>74</v>
      </c>
      <c r="BJ875" s="1" t="s">
        <v>74</v>
      </c>
      <c r="BK875" s="1" t="s">
        <v>74</v>
      </c>
      <c r="BL875" s="1" t="s">
        <v>74</v>
      </c>
      <c r="BM875" s="1" t="s">
        <v>74</v>
      </c>
      <c r="BN875" s="1">
        <v>3.8820399E7</v>
      </c>
      <c r="BO875" s="1" t="s">
        <v>74</v>
      </c>
      <c r="BP875" s="1" t="s">
        <v>74</v>
      </c>
      <c r="BQ875" s="1" t="s">
        <v>74</v>
      </c>
      <c r="BR875" s="1" t="s">
        <v>74</v>
      </c>
      <c r="BS875" s="1" t="s">
        <v>7996</v>
      </c>
      <c r="BT875" s="1" t="str">
        <f>HYPERLINK("https%3A%2F%2Fwww.webofscience.com%2Fwos%2Fwoscc%2Ffull-record%2FWOS:001237119600172","View Full Record in Web of Science")</f>
        <v>View Full Record in Web of Science</v>
      </c>
    </row>
    <row r="876" ht="12.75" customHeight="1">
      <c r="A876" s="1" t="s">
        <v>72</v>
      </c>
      <c r="B876" s="1" t="s">
        <v>7997</v>
      </c>
      <c r="C876" s="1" t="s">
        <v>74</v>
      </c>
      <c r="D876" s="1" t="s">
        <v>74</v>
      </c>
      <c r="E876" s="1" t="s">
        <v>74</v>
      </c>
      <c r="F876" s="1" t="s">
        <v>7998</v>
      </c>
      <c r="G876" s="1" t="s">
        <v>74</v>
      </c>
      <c r="H876" s="1" t="s">
        <v>74</v>
      </c>
      <c r="I876" s="1" t="s">
        <v>7999</v>
      </c>
      <c r="J876" s="1" t="s">
        <v>456</v>
      </c>
      <c r="K876" s="1" t="s">
        <v>74</v>
      </c>
      <c r="L876" s="1" t="s">
        <v>74</v>
      </c>
      <c r="M876" s="1" t="s">
        <v>74</v>
      </c>
      <c r="N876" s="1" t="s">
        <v>74</v>
      </c>
      <c r="O876" s="1" t="s">
        <v>74</v>
      </c>
      <c r="P876" s="1" t="s">
        <v>74</v>
      </c>
      <c r="Q876" s="1" t="s">
        <v>74</v>
      </c>
      <c r="R876" s="1" t="s">
        <v>74</v>
      </c>
      <c r="S876" s="1" t="s">
        <v>74</v>
      </c>
      <c r="T876" s="1" t="s">
        <v>74</v>
      </c>
      <c r="U876" s="1" t="s">
        <v>74</v>
      </c>
      <c r="V876" s="1" t="s">
        <v>8000</v>
      </c>
      <c r="W876" s="1" t="s">
        <v>74</v>
      </c>
      <c r="X876" s="1" t="s">
        <v>74</v>
      </c>
      <c r="Y876" s="1" t="s">
        <v>74</v>
      </c>
      <c r="Z876" s="1" t="s">
        <v>74</v>
      </c>
      <c r="AA876" s="1" t="s">
        <v>8001</v>
      </c>
      <c r="AB876" s="1" t="s">
        <v>8002</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74</v>
      </c>
      <c r="AP876" s="1" t="s">
        <v>458</v>
      </c>
      <c r="AQ876" s="1" t="s">
        <v>74</v>
      </c>
      <c r="AR876" s="1" t="s">
        <v>74</v>
      </c>
      <c r="AS876" s="1" t="s">
        <v>74</v>
      </c>
      <c r="AT876" s="1" t="s">
        <v>8003</v>
      </c>
      <c r="AU876" s="1">
        <v>2024.0</v>
      </c>
      <c r="AV876" s="1">
        <v>15.0</v>
      </c>
      <c r="AW876" s="1" t="s">
        <v>74</v>
      </c>
      <c r="AX876" s="1" t="s">
        <v>74</v>
      </c>
      <c r="AY876" s="1" t="s">
        <v>74</v>
      </c>
      <c r="AZ876" s="1" t="s">
        <v>74</v>
      </c>
      <c r="BA876" s="1" t="s">
        <v>74</v>
      </c>
      <c r="BB876" s="1" t="s">
        <v>74</v>
      </c>
      <c r="BC876" s="1" t="s">
        <v>74</v>
      </c>
      <c r="BD876" s="1">
        <v>1364630.0</v>
      </c>
      <c r="BE876" s="1" t="s">
        <v>8004</v>
      </c>
      <c r="BF876" s="2" t="str">
        <f>HYPERLINK("http://dx.doi.org/10.3389/fphar.2024.1364630","http://dx.doi.org/10.3389/fphar.2024.1364630")</f>
        <v>http://dx.doi.org/10.3389/fphar.2024.1364630</v>
      </c>
      <c r="BG876" s="1" t="s">
        <v>74</v>
      </c>
      <c r="BH876" s="1" t="s">
        <v>74</v>
      </c>
      <c r="BI876" s="1" t="s">
        <v>74</v>
      </c>
      <c r="BJ876" s="1" t="s">
        <v>74</v>
      </c>
      <c r="BK876" s="1" t="s">
        <v>74</v>
      </c>
      <c r="BL876" s="1" t="s">
        <v>74</v>
      </c>
      <c r="BM876" s="1" t="s">
        <v>74</v>
      </c>
      <c r="BN876" s="1">
        <v>3.8725665E7</v>
      </c>
      <c r="BO876" s="1" t="s">
        <v>74</v>
      </c>
      <c r="BP876" s="1" t="s">
        <v>74</v>
      </c>
      <c r="BQ876" s="1" t="s">
        <v>74</v>
      </c>
      <c r="BR876" s="1" t="s">
        <v>74</v>
      </c>
      <c r="BS876" s="1" t="s">
        <v>8005</v>
      </c>
      <c r="BT876" s="1" t="str">
        <f>HYPERLINK("https%3A%2F%2Fwww.webofscience.com%2Fwos%2Fwoscc%2Ffull-record%2FWOS:001215866300001","View Full Record in Web of Science")</f>
        <v>View Full Record in Web of Science</v>
      </c>
    </row>
    <row r="877" ht="12.75" customHeight="1">
      <c r="A877" s="1" t="s">
        <v>72</v>
      </c>
      <c r="B877" s="1" t="s">
        <v>8006</v>
      </c>
      <c r="C877" s="1" t="s">
        <v>74</v>
      </c>
      <c r="D877" s="1" t="s">
        <v>74</v>
      </c>
      <c r="E877" s="1" t="s">
        <v>74</v>
      </c>
      <c r="F877" s="1" t="s">
        <v>8007</v>
      </c>
      <c r="G877" s="1" t="s">
        <v>74</v>
      </c>
      <c r="H877" s="1" t="s">
        <v>74</v>
      </c>
      <c r="I877" s="1" t="s">
        <v>8008</v>
      </c>
      <c r="J877" s="1" t="s">
        <v>8009</v>
      </c>
      <c r="K877" s="1" t="s">
        <v>74</v>
      </c>
      <c r="L877" s="1" t="s">
        <v>74</v>
      </c>
      <c r="M877" s="1" t="s">
        <v>74</v>
      </c>
      <c r="N877" s="1" t="s">
        <v>74</v>
      </c>
      <c r="O877" s="1" t="s">
        <v>74</v>
      </c>
      <c r="P877" s="1" t="s">
        <v>74</v>
      </c>
      <c r="Q877" s="1" t="s">
        <v>74</v>
      </c>
      <c r="R877" s="1" t="s">
        <v>74</v>
      </c>
      <c r="S877" s="1" t="s">
        <v>74</v>
      </c>
      <c r="T877" s="1" t="s">
        <v>74</v>
      </c>
      <c r="U877" s="1" t="s">
        <v>74</v>
      </c>
      <c r="V877" s="1" t="s">
        <v>8010</v>
      </c>
      <c r="W877" s="1" t="s">
        <v>74</v>
      </c>
      <c r="X877" s="1" t="s">
        <v>74</v>
      </c>
      <c r="Y877" s="1" t="s">
        <v>74</v>
      </c>
      <c r="Z877" s="1" t="s">
        <v>74</v>
      </c>
      <c r="AA877" s="1" t="s">
        <v>8011</v>
      </c>
      <c r="AB877" s="1" t="s">
        <v>8012</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8013</v>
      </c>
      <c r="AP877" s="1" t="s">
        <v>74</v>
      </c>
      <c r="AQ877" s="1" t="s">
        <v>74</v>
      </c>
      <c r="AR877" s="1" t="s">
        <v>74</v>
      </c>
      <c r="AS877" s="1" t="s">
        <v>74</v>
      </c>
      <c r="AT877" s="1" t="s">
        <v>160</v>
      </c>
      <c r="AU877" s="1">
        <v>2023.0</v>
      </c>
      <c r="AV877" s="1">
        <v>56.0</v>
      </c>
      <c r="AW877" s="1">
        <v>113.0</v>
      </c>
      <c r="AX877" s="1" t="s">
        <v>74</v>
      </c>
      <c r="AY877" s="1" t="s">
        <v>74</v>
      </c>
      <c r="AZ877" s="1" t="s">
        <v>74</v>
      </c>
      <c r="BA877" s="1" t="s">
        <v>74</v>
      </c>
      <c r="BB877" s="1">
        <v>582.0</v>
      </c>
      <c r="BC877" s="1">
        <v>609.0</v>
      </c>
      <c r="BD877" s="1" t="s">
        <v>74</v>
      </c>
      <c r="BE877" s="1" t="s">
        <v>8014</v>
      </c>
      <c r="BF877" s="2" t="str">
        <f>HYPERLINK("http://dx.doi.org/10.4067/S0718-09342023000300582","http://dx.doi.org/10.4067/S0718-09342023000300582")</f>
        <v>http://dx.doi.org/10.4067/S0718-09342023000300582</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8015</v>
      </c>
      <c r="BT877" s="1" t="str">
        <f>HYPERLINK("https%3A%2F%2Fwww.webofscience.com%2Fwos%2Fwoscc%2Ffull-record%2FWOS:001144759600004","View Full Record in Web of Science")</f>
        <v>View Full Record in Web of Science</v>
      </c>
    </row>
    <row r="878" ht="12.75" customHeight="1">
      <c r="A878" s="1" t="s">
        <v>72</v>
      </c>
      <c r="B878" s="1" t="s">
        <v>8016</v>
      </c>
      <c r="C878" s="1" t="s">
        <v>74</v>
      </c>
      <c r="D878" s="1" t="s">
        <v>74</v>
      </c>
      <c r="E878" s="1" t="s">
        <v>74</v>
      </c>
      <c r="F878" s="1" t="s">
        <v>8017</v>
      </c>
      <c r="G878" s="1" t="s">
        <v>74</v>
      </c>
      <c r="H878" s="1" t="s">
        <v>74</v>
      </c>
      <c r="I878" s="1" t="s">
        <v>8018</v>
      </c>
      <c r="J878" s="1" t="s">
        <v>8019</v>
      </c>
      <c r="K878" s="1" t="s">
        <v>74</v>
      </c>
      <c r="L878" s="1" t="s">
        <v>74</v>
      </c>
      <c r="M878" s="1" t="s">
        <v>74</v>
      </c>
      <c r="N878" s="1" t="s">
        <v>74</v>
      </c>
      <c r="O878" s="1" t="s">
        <v>74</v>
      </c>
      <c r="P878" s="1" t="s">
        <v>74</v>
      </c>
      <c r="Q878" s="1" t="s">
        <v>74</v>
      </c>
      <c r="R878" s="1" t="s">
        <v>74</v>
      </c>
      <c r="S878" s="1" t="s">
        <v>74</v>
      </c>
      <c r="T878" s="1" t="s">
        <v>74</v>
      </c>
      <c r="U878" s="1" t="s">
        <v>74</v>
      </c>
      <c r="V878" s="1" t="s">
        <v>8020</v>
      </c>
      <c r="W878" s="1" t="s">
        <v>74</v>
      </c>
      <c r="X878" s="1" t="s">
        <v>74</v>
      </c>
      <c r="Y878" s="1" t="s">
        <v>74</v>
      </c>
      <c r="Z878" s="1" t="s">
        <v>74</v>
      </c>
      <c r="AA878" s="1" t="s">
        <v>8021</v>
      </c>
      <c r="AB878" s="1" t="s">
        <v>8022</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8023</v>
      </c>
      <c r="AP878" s="1" t="s">
        <v>8024</v>
      </c>
      <c r="AQ878" s="1" t="s">
        <v>74</v>
      </c>
      <c r="AR878" s="1" t="s">
        <v>74</v>
      </c>
      <c r="AS878" s="1" t="s">
        <v>74</v>
      </c>
      <c r="AT878" s="1" t="s">
        <v>94</v>
      </c>
      <c r="AU878" s="1">
        <v>2024.0</v>
      </c>
      <c r="AV878" s="1">
        <v>22.0</v>
      </c>
      <c r="AW878" s="1">
        <v>2.0</v>
      </c>
      <c r="AX878" s="1" t="s">
        <v>74</v>
      </c>
      <c r="AY878" s="1" t="s">
        <v>74</v>
      </c>
      <c r="AZ878" s="1" t="s">
        <v>74</v>
      </c>
      <c r="BA878" s="1" t="s">
        <v>74</v>
      </c>
      <c r="BB878" s="1">
        <v>583.0</v>
      </c>
      <c r="BC878" s="1">
        <v>609.0</v>
      </c>
      <c r="BD878" s="1" t="s">
        <v>74</v>
      </c>
      <c r="BE878" s="1" t="s">
        <v>8025</v>
      </c>
      <c r="BF878" s="2" t="str">
        <f>HYPERLINK("http://dx.doi.org/10.1007/s10518-023-01782-z","http://dx.doi.org/10.1007/s10518-023-01782-z")</f>
        <v>http://dx.doi.org/10.1007/s10518-023-01782-z</v>
      </c>
      <c r="BG878" s="1" t="s">
        <v>74</v>
      </c>
      <c r="BH878" s="1" t="s">
        <v>5659</v>
      </c>
      <c r="BI878" s="1" t="s">
        <v>74</v>
      </c>
      <c r="BJ878" s="1" t="s">
        <v>74</v>
      </c>
      <c r="BK878" s="1" t="s">
        <v>74</v>
      </c>
      <c r="BL878" s="1" t="s">
        <v>74</v>
      </c>
      <c r="BM878" s="1" t="s">
        <v>74</v>
      </c>
      <c r="BN878" s="1" t="s">
        <v>74</v>
      </c>
      <c r="BO878" s="1" t="s">
        <v>74</v>
      </c>
      <c r="BP878" s="1" t="s">
        <v>74</v>
      </c>
      <c r="BQ878" s="1" t="s">
        <v>74</v>
      </c>
      <c r="BR878" s="1" t="s">
        <v>74</v>
      </c>
      <c r="BS878" s="1" t="s">
        <v>8026</v>
      </c>
      <c r="BT878" s="1" t="str">
        <f>HYPERLINK("https%3A%2F%2Fwww.webofscience.com%2Fwos%2Fwoscc%2Ffull-record%2FWOS:001087711900002","View Full Record in Web of Science")</f>
        <v>View Full Record in Web of Science</v>
      </c>
    </row>
    <row r="879" ht="12.75" customHeight="1">
      <c r="A879" s="1" t="s">
        <v>72</v>
      </c>
      <c r="B879" s="1" t="s">
        <v>8027</v>
      </c>
      <c r="C879" s="1" t="s">
        <v>74</v>
      </c>
      <c r="D879" s="1" t="s">
        <v>74</v>
      </c>
      <c r="E879" s="1" t="s">
        <v>74</v>
      </c>
      <c r="F879" s="1" t="s">
        <v>8028</v>
      </c>
      <c r="G879" s="1" t="s">
        <v>74</v>
      </c>
      <c r="H879" s="1" t="s">
        <v>74</v>
      </c>
      <c r="I879" s="1" t="s">
        <v>8029</v>
      </c>
      <c r="J879" s="1" t="s">
        <v>4075</v>
      </c>
      <c r="K879" s="1" t="s">
        <v>74</v>
      </c>
      <c r="L879" s="1" t="s">
        <v>74</v>
      </c>
      <c r="M879" s="1" t="s">
        <v>74</v>
      </c>
      <c r="N879" s="1" t="s">
        <v>74</v>
      </c>
      <c r="O879" s="1" t="s">
        <v>74</v>
      </c>
      <c r="P879" s="1" t="s">
        <v>74</v>
      </c>
      <c r="Q879" s="1" t="s">
        <v>74</v>
      </c>
      <c r="R879" s="1" t="s">
        <v>74</v>
      </c>
      <c r="S879" s="1" t="s">
        <v>74</v>
      </c>
      <c r="T879" s="1" t="s">
        <v>74</v>
      </c>
      <c r="U879" s="1" t="s">
        <v>74</v>
      </c>
      <c r="V879" s="1" t="s">
        <v>8030</v>
      </c>
      <c r="W879" s="1" t="s">
        <v>74</v>
      </c>
      <c r="X879" s="1" t="s">
        <v>74</v>
      </c>
      <c r="Y879" s="1" t="s">
        <v>74</v>
      </c>
      <c r="Z879" s="1" t="s">
        <v>74</v>
      </c>
      <c r="AA879" s="1" t="s">
        <v>8031</v>
      </c>
      <c r="AB879" s="1" t="s">
        <v>8032</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4079</v>
      </c>
      <c r="AQ879" s="1" t="s">
        <v>74</v>
      </c>
      <c r="AR879" s="1" t="s">
        <v>74</v>
      </c>
      <c r="AS879" s="1" t="s">
        <v>74</v>
      </c>
      <c r="AT879" s="1" t="s">
        <v>319</v>
      </c>
      <c r="AU879" s="1">
        <v>2023.0</v>
      </c>
      <c r="AV879" s="1">
        <v>15.0</v>
      </c>
      <c r="AW879" s="1">
        <v>5.0</v>
      </c>
      <c r="AX879" s="1" t="s">
        <v>74</v>
      </c>
      <c r="AY879" s="1" t="s">
        <v>74</v>
      </c>
      <c r="AZ879" s="1" t="s">
        <v>74</v>
      </c>
      <c r="BA879" s="1" t="s">
        <v>74</v>
      </c>
      <c r="BB879" s="1" t="s">
        <v>74</v>
      </c>
      <c r="BC879" s="1" t="s">
        <v>74</v>
      </c>
      <c r="BD879" s="1">
        <v>1168.0</v>
      </c>
      <c r="BE879" s="1" t="s">
        <v>8033</v>
      </c>
      <c r="BF879" s="2" t="str">
        <f>HYPERLINK("http://dx.doi.org/10.3390/polym15051168","http://dx.doi.org/10.3390/polym15051168")</f>
        <v>http://dx.doi.org/10.3390/polym15051168</v>
      </c>
      <c r="BG879" s="1" t="s">
        <v>74</v>
      </c>
      <c r="BH879" s="1" t="s">
        <v>74</v>
      </c>
      <c r="BI879" s="1" t="s">
        <v>74</v>
      </c>
      <c r="BJ879" s="1" t="s">
        <v>74</v>
      </c>
      <c r="BK879" s="1" t="s">
        <v>74</v>
      </c>
      <c r="BL879" s="1" t="s">
        <v>74</v>
      </c>
      <c r="BM879" s="1" t="s">
        <v>74</v>
      </c>
      <c r="BN879" s="1">
        <v>3.6904408E7</v>
      </c>
      <c r="BO879" s="1" t="s">
        <v>74</v>
      </c>
      <c r="BP879" s="1" t="s">
        <v>74</v>
      </c>
      <c r="BQ879" s="1" t="s">
        <v>74</v>
      </c>
      <c r="BR879" s="1" t="s">
        <v>74</v>
      </c>
      <c r="BS879" s="1" t="s">
        <v>8034</v>
      </c>
      <c r="BT879" s="1" t="str">
        <f>HYPERLINK("https%3A%2F%2Fwww.webofscience.com%2Fwos%2Fwoscc%2Ffull-record%2FWOS:000948233200001","View Full Record in Web of Science")</f>
        <v>View Full Record in Web of Science</v>
      </c>
    </row>
    <row r="880" ht="12.75" customHeight="1">
      <c r="A880" s="1" t="s">
        <v>72</v>
      </c>
      <c r="B880" s="1" t="s">
        <v>8035</v>
      </c>
      <c r="C880" s="1" t="s">
        <v>74</v>
      </c>
      <c r="D880" s="1" t="s">
        <v>74</v>
      </c>
      <c r="E880" s="1" t="s">
        <v>74</v>
      </c>
      <c r="F880" s="1" t="s">
        <v>8036</v>
      </c>
      <c r="G880" s="1" t="s">
        <v>74</v>
      </c>
      <c r="H880" s="1" t="s">
        <v>74</v>
      </c>
      <c r="I880" s="1" t="s">
        <v>8037</v>
      </c>
      <c r="J880" s="1" t="s">
        <v>1927</v>
      </c>
      <c r="K880" s="1" t="s">
        <v>74</v>
      </c>
      <c r="L880" s="1" t="s">
        <v>74</v>
      </c>
      <c r="M880" s="1" t="s">
        <v>74</v>
      </c>
      <c r="N880" s="1" t="s">
        <v>74</v>
      </c>
      <c r="O880" s="1" t="s">
        <v>74</v>
      </c>
      <c r="P880" s="1" t="s">
        <v>74</v>
      </c>
      <c r="Q880" s="1" t="s">
        <v>74</v>
      </c>
      <c r="R880" s="1" t="s">
        <v>74</v>
      </c>
      <c r="S880" s="1" t="s">
        <v>74</v>
      </c>
      <c r="T880" s="1" t="s">
        <v>74</v>
      </c>
      <c r="U880" s="1" t="s">
        <v>74</v>
      </c>
      <c r="V880" s="1" t="s">
        <v>8038</v>
      </c>
      <c r="W880" s="1" t="s">
        <v>74</v>
      </c>
      <c r="X880" s="1" t="s">
        <v>74</v>
      </c>
      <c r="Y880" s="1" t="s">
        <v>74</v>
      </c>
      <c r="Z880" s="1" t="s">
        <v>74</v>
      </c>
      <c r="AA880" s="1" t="s">
        <v>8039</v>
      </c>
      <c r="AB880" s="1" t="s">
        <v>8040</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1931</v>
      </c>
      <c r="AP880" s="1" t="s">
        <v>74</v>
      </c>
      <c r="AQ880" s="1" t="s">
        <v>74</v>
      </c>
      <c r="AR880" s="1" t="s">
        <v>74</v>
      </c>
      <c r="AS880" s="1" t="s">
        <v>74</v>
      </c>
      <c r="AT880" s="1" t="s">
        <v>74</v>
      </c>
      <c r="AU880" s="1">
        <v>2023.0</v>
      </c>
      <c r="AV880" s="1">
        <v>31.0</v>
      </c>
      <c r="AW880" s="1" t="s">
        <v>74</v>
      </c>
      <c r="AX880" s="1" t="s">
        <v>74</v>
      </c>
      <c r="AY880" s="1" t="s">
        <v>74</v>
      </c>
      <c r="AZ880" s="1" t="s">
        <v>74</v>
      </c>
      <c r="BA880" s="1" t="s">
        <v>74</v>
      </c>
      <c r="BB880" s="1" t="s">
        <v>74</v>
      </c>
      <c r="BC880" s="1" t="s">
        <v>74</v>
      </c>
      <c r="BD880" s="1" t="s">
        <v>8041</v>
      </c>
      <c r="BE880" s="1" t="s">
        <v>8042</v>
      </c>
      <c r="BF880" s="2" t="str">
        <f>HYPERLINK("http://dx.doi.org/10.1590/2526-8910.ctoAO256433443","http://dx.doi.org/10.1590/2526-8910.ctoAO256433443")</f>
        <v>http://dx.doi.org/10.1590/2526-8910.ctoAO256433443</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8043</v>
      </c>
      <c r="BT880" s="1" t="str">
        <f>HYPERLINK("https%3A%2F%2Fwww.webofscience.com%2Fwos%2Fwoscc%2Ffull-record%2FWOS:000992736400006","View Full Record in Web of Science")</f>
        <v>View Full Record in Web of Science</v>
      </c>
    </row>
    <row r="881" ht="12.75" customHeight="1">
      <c r="A881" s="1" t="s">
        <v>72</v>
      </c>
      <c r="B881" s="1" t="s">
        <v>8044</v>
      </c>
      <c r="C881" s="1" t="s">
        <v>74</v>
      </c>
      <c r="D881" s="1" t="s">
        <v>74</v>
      </c>
      <c r="E881" s="1" t="s">
        <v>74</v>
      </c>
      <c r="F881" s="1" t="s">
        <v>8045</v>
      </c>
      <c r="G881" s="1" t="s">
        <v>74</v>
      </c>
      <c r="H881" s="1" t="s">
        <v>74</v>
      </c>
      <c r="I881" s="1" t="s">
        <v>8046</v>
      </c>
      <c r="J881" s="1" t="s">
        <v>8047</v>
      </c>
      <c r="K881" s="1" t="s">
        <v>74</v>
      </c>
      <c r="L881" s="1" t="s">
        <v>74</v>
      </c>
      <c r="M881" s="1" t="s">
        <v>74</v>
      </c>
      <c r="N881" s="1" t="s">
        <v>74</v>
      </c>
      <c r="O881" s="1" t="s">
        <v>74</v>
      </c>
      <c r="P881" s="1" t="s">
        <v>74</v>
      </c>
      <c r="Q881" s="1" t="s">
        <v>74</v>
      </c>
      <c r="R881" s="1" t="s">
        <v>74</v>
      </c>
      <c r="S881" s="1" t="s">
        <v>74</v>
      </c>
      <c r="T881" s="1" t="s">
        <v>74</v>
      </c>
      <c r="U881" s="1" t="s">
        <v>74</v>
      </c>
      <c r="V881" s="1" t="s">
        <v>8048</v>
      </c>
      <c r="W881" s="1" t="s">
        <v>74</v>
      </c>
      <c r="X881" s="1" t="s">
        <v>74</v>
      </c>
      <c r="Y881" s="1" t="s">
        <v>74</v>
      </c>
      <c r="Z881" s="1" t="s">
        <v>74</v>
      </c>
      <c r="AA881" s="1" t="s">
        <v>3204</v>
      </c>
      <c r="AB881" s="1" t="s">
        <v>5409</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74</v>
      </c>
      <c r="AP881" s="1" t="s">
        <v>8049</v>
      </c>
      <c r="AQ881" s="1" t="s">
        <v>74</v>
      </c>
      <c r="AR881" s="1" t="s">
        <v>74</v>
      </c>
      <c r="AS881" s="1" t="s">
        <v>74</v>
      </c>
      <c r="AT881" s="1" t="s">
        <v>353</v>
      </c>
      <c r="AU881" s="1">
        <v>2022.0</v>
      </c>
      <c r="AV881" s="1">
        <v>10.0</v>
      </c>
      <c r="AW881" s="1">
        <v>19.0</v>
      </c>
      <c r="AX881" s="1" t="s">
        <v>74</v>
      </c>
      <c r="AY881" s="1" t="s">
        <v>74</v>
      </c>
      <c r="AZ881" s="1" t="s">
        <v>74</v>
      </c>
      <c r="BA881" s="1" t="s">
        <v>74</v>
      </c>
      <c r="BB881" s="1" t="s">
        <v>74</v>
      </c>
      <c r="BC881" s="1" t="s">
        <v>74</v>
      </c>
      <c r="BD881" s="1">
        <v>3540.0</v>
      </c>
      <c r="BE881" s="1" t="s">
        <v>8050</v>
      </c>
      <c r="BF881" s="2" t="str">
        <f>HYPERLINK("http://dx.doi.org/10.3390/math10193540","http://dx.doi.org/10.3390/math10193540")</f>
        <v>http://dx.doi.org/10.3390/math10193540</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8051</v>
      </c>
      <c r="BT881" s="1" t="str">
        <f>HYPERLINK("https%3A%2F%2Fwww.webofscience.com%2Fwos%2Fwoscc%2Ffull-record%2FWOS:000867128800001","View Full Record in Web of Science")</f>
        <v>View Full Record in Web of Science</v>
      </c>
    </row>
    <row r="882" ht="12.75" customHeight="1">
      <c r="A882" s="1" t="s">
        <v>72</v>
      </c>
      <c r="B882" s="1" t="s">
        <v>8052</v>
      </c>
      <c r="C882" s="1" t="s">
        <v>74</v>
      </c>
      <c r="D882" s="1" t="s">
        <v>74</v>
      </c>
      <c r="E882" s="1" t="s">
        <v>74</v>
      </c>
      <c r="F882" s="1" t="s">
        <v>8053</v>
      </c>
      <c r="G882" s="1" t="s">
        <v>74</v>
      </c>
      <c r="H882" s="1" t="s">
        <v>74</v>
      </c>
      <c r="I882" s="1" t="s">
        <v>8054</v>
      </c>
      <c r="J882" s="1" t="s">
        <v>8055</v>
      </c>
      <c r="K882" s="1" t="s">
        <v>74</v>
      </c>
      <c r="L882" s="1" t="s">
        <v>74</v>
      </c>
      <c r="M882" s="1" t="s">
        <v>74</v>
      </c>
      <c r="N882" s="1" t="s">
        <v>74</v>
      </c>
      <c r="O882" s="1" t="s">
        <v>74</v>
      </c>
      <c r="P882" s="1" t="s">
        <v>74</v>
      </c>
      <c r="Q882" s="1" t="s">
        <v>74</v>
      </c>
      <c r="R882" s="1" t="s">
        <v>74</v>
      </c>
      <c r="S882" s="1" t="s">
        <v>74</v>
      </c>
      <c r="T882" s="1" t="s">
        <v>74</v>
      </c>
      <c r="U882" s="1" t="s">
        <v>74</v>
      </c>
      <c r="V882" s="1" t="s">
        <v>8056</v>
      </c>
      <c r="W882" s="1" t="s">
        <v>74</v>
      </c>
      <c r="X882" s="1" t="s">
        <v>74</v>
      </c>
      <c r="Y882" s="1" t="s">
        <v>74</v>
      </c>
      <c r="Z882" s="1" t="s">
        <v>74</v>
      </c>
      <c r="AA882" s="1" t="s">
        <v>8057</v>
      </c>
      <c r="AB882" s="1" t="s">
        <v>8058</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8059</v>
      </c>
      <c r="AP882" s="1" t="s">
        <v>8060</v>
      </c>
      <c r="AQ882" s="1" t="s">
        <v>74</v>
      </c>
      <c r="AR882" s="1" t="s">
        <v>74</v>
      </c>
      <c r="AS882" s="1" t="s">
        <v>74</v>
      </c>
      <c r="AT882" s="1" t="s">
        <v>228</v>
      </c>
      <c r="AU882" s="1">
        <v>2022.0</v>
      </c>
      <c r="AV882" s="1">
        <v>400.0</v>
      </c>
      <c r="AW882" s="1" t="s">
        <v>74</v>
      </c>
      <c r="AX882" s="1" t="s">
        <v>74</v>
      </c>
      <c r="AY882" s="1" t="s">
        <v>74</v>
      </c>
      <c r="AZ882" s="1" t="s">
        <v>74</v>
      </c>
      <c r="BA882" s="1" t="s">
        <v>74</v>
      </c>
      <c r="BB882" s="1" t="s">
        <v>74</v>
      </c>
      <c r="BC882" s="1" t="s">
        <v>74</v>
      </c>
      <c r="BD882" s="1">
        <v>115586.0</v>
      </c>
      <c r="BE882" s="1" t="s">
        <v>8061</v>
      </c>
      <c r="BF882" s="2" t="str">
        <f>HYPERLINK("http://dx.doi.org/10.1016/j.cma.2022.115586","http://dx.doi.org/10.1016/j.cma.2022.115586")</f>
        <v>http://dx.doi.org/10.1016/j.cma.2022.115586</v>
      </c>
      <c r="BG882" s="1" t="s">
        <v>74</v>
      </c>
      <c r="BH882" s="1" t="s">
        <v>3747</v>
      </c>
      <c r="BI882" s="1" t="s">
        <v>74</v>
      </c>
      <c r="BJ882" s="1" t="s">
        <v>74</v>
      </c>
      <c r="BK882" s="1" t="s">
        <v>74</v>
      </c>
      <c r="BL882" s="1" t="s">
        <v>74</v>
      </c>
      <c r="BM882" s="1" t="s">
        <v>74</v>
      </c>
      <c r="BN882" s="1" t="s">
        <v>74</v>
      </c>
      <c r="BO882" s="1" t="s">
        <v>74</v>
      </c>
      <c r="BP882" s="1" t="s">
        <v>74</v>
      </c>
      <c r="BQ882" s="1" t="s">
        <v>74</v>
      </c>
      <c r="BR882" s="1" t="s">
        <v>74</v>
      </c>
      <c r="BS882" s="1" t="s">
        <v>8062</v>
      </c>
      <c r="BT882" s="1" t="str">
        <f>HYPERLINK("https%3A%2F%2Fwww.webofscience.com%2Fwos%2Fwoscc%2Ffull-record%2FWOS:000861490000002","View Full Record in Web of Science")</f>
        <v>View Full Record in Web of Science</v>
      </c>
    </row>
    <row r="883" ht="12.75" customHeight="1">
      <c r="A883" s="1" t="s">
        <v>72</v>
      </c>
      <c r="B883" s="1" t="s">
        <v>8063</v>
      </c>
      <c r="C883" s="1" t="s">
        <v>74</v>
      </c>
      <c r="D883" s="1" t="s">
        <v>74</v>
      </c>
      <c r="E883" s="1" t="s">
        <v>74</v>
      </c>
      <c r="F883" s="1" t="s">
        <v>8064</v>
      </c>
      <c r="G883" s="1" t="s">
        <v>74</v>
      </c>
      <c r="H883" s="1" t="s">
        <v>74</v>
      </c>
      <c r="I883" s="1" t="s">
        <v>8065</v>
      </c>
      <c r="J883" s="1" t="s">
        <v>8066</v>
      </c>
      <c r="K883" s="1" t="s">
        <v>74</v>
      </c>
      <c r="L883" s="1" t="s">
        <v>74</v>
      </c>
      <c r="M883" s="1" t="s">
        <v>74</v>
      </c>
      <c r="N883" s="1" t="s">
        <v>74</v>
      </c>
      <c r="O883" s="1" t="s">
        <v>74</v>
      </c>
      <c r="P883" s="1" t="s">
        <v>74</v>
      </c>
      <c r="Q883" s="1" t="s">
        <v>74</v>
      </c>
      <c r="R883" s="1" t="s">
        <v>74</v>
      </c>
      <c r="S883" s="1" t="s">
        <v>74</v>
      </c>
      <c r="T883" s="1" t="s">
        <v>74</v>
      </c>
      <c r="U883" s="1" t="s">
        <v>74</v>
      </c>
      <c r="V883" s="1" t="s">
        <v>8067</v>
      </c>
      <c r="W883" s="1" t="s">
        <v>74</v>
      </c>
      <c r="X883" s="1" t="s">
        <v>74</v>
      </c>
      <c r="Y883" s="1" t="s">
        <v>74</v>
      </c>
      <c r="Z883" s="1" t="s">
        <v>74</v>
      </c>
      <c r="AA883" s="1" t="s">
        <v>74</v>
      </c>
      <c r="AB883" s="1" t="s">
        <v>8068</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8069</v>
      </c>
      <c r="AP883" s="1" t="s">
        <v>8070</v>
      </c>
      <c r="AQ883" s="1" t="s">
        <v>74</v>
      </c>
      <c r="AR883" s="1" t="s">
        <v>74</v>
      </c>
      <c r="AS883" s="1" t="s">
        <v>74</v>
      </c>
      <c r="AT883" s="1" t="s">
        <v>8071</v>
      </c>
      <c r="AU883" s="1">
        <v>2021.0</v>
      </c>
      <c r="AV883" s="1">
        <v>43.0</v>
      </c>
      <c r="AW883" s="1">
        <v>2.0</v>
      </c>
      <c r="AX883" s="1" t="s">
        <v>74</v>
      </c>
      <c r="AY883" s="1" t="s">
        <v>74</v>
      </c>
      <c r="AZ883" s="1" t="s">
        <v>74</v>
      </c>
      <c r="BA883" s="1" t="s">
        <v>74</v>
      </c>
      <c r="BB883" s="1" t="s">
        <v>74</v>
      </c>
      <c r="BC883" s="1" t="s">
        <v>74</v>
      </c>
      <c r="BD883" s="1">
        <v>62.0</v>
      </c>
      <c r="BE883" s="1" t="s">
        <v>8072</v>
      </c>
      <c r="BF883" s="2" t="str">
        <f>HYPERLINK("http://dx.doi.org/10.1007/s40430-021-02802-2","http://dx.doi.org/10.1007/s40430-021-02802-2")</f>
        <v>http://dx.doi.org/10.1007/s40430-021-02802-2</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8073</v>
      </c>
      <c r="BT883" s="1" t="str">
        <f>HYPERLINK("https%3A%2F%2Fwww.webofscience.com%2Fwos%2Fwoscc%2Ffull-record%2FWOS:000609434300001","View Full Record in Web of Science")</f>
        <v>View Full Record in Web of Science</v>
      </c>
    </row>
    <row r="884" ht="12.75" customHeight="1">
      <c r="A884" s="1" t="s">
        <v>72</v>
      </c>
      <c r="B884" s="1" t="s">
        <v>8074</v>
      </c>
      <c r="C884" s="1" t="s">
        <v>74</v>
      </c>
      <c r="D884" s="1" t="s">
        <v>74</v>
      </c>
      <c r="E884" s="1" t="s">
        <v>74</v>
      </c>
      <c r="F884" s="1" t="s">
        <v>8075</v>
      </c>
      <c r="G884" s="1" t="s">
        <v>74</v>
      </c>
      <c r="H884" s="1" t="s">
        <v>74</v>
      </c>
      <c r="I884" s="1" t="s">
        <v>8076</v>
      </c>
      <c r="J884" s="1" t="s">
        <v>8077</v>
      </c>
      <c r="K884" s="1" t="s">
        <v>74</v>
      </c>
      <c r="L884" s="1" t="s">
        <v>74</v>
      </c>
      <c r="M884" s="1" t="s">
        <v>74</v>
      </c>
      <c r="N884" s="1" t="s">
        <v>74</v>
      </c>
      <c r="O884" s="1" t="s">
        <v>74</v>
      </c>
      <c r="P884" s="1" t="s">
        <v>74</v>
      </c>
      <c r="Q884" s="1" t="s">
        <v>74</v>
      </c>
      <c r="R884" s="1" t="s">
        <v>74</v>
      </c>
      <c r="S884" s="1" t="s">
        <v>74</v>
      </c>
      <c r="T884" s="1" t="s">
        <v>74</v>
      </c>
      <c r="U884" s="1" t="s">
        <v>74</v>
      </c>
      <c r="V884" s="1" t="s">
        <v>8078</v>
      </c>
      <c r="W884" s="1" t="s">
        <v>74</v>
      </c>
      <c r="X884" s="1" t="s">
        <v>74</v>
      </c>
      <c r="Y884" s="1" t="s">
        <v>74</v>
      </c>
      <c r="Z884" s="1" t="s">
        <v>74</v>
      </c>
      <c r="AA884" s="1" t="s">
        <v>8079</v>
      </c>
      <c r="AB884" s="1" t="s">
        <v>8080</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8081</v>
      </c>
      <c r="AP884" s="1" t="s">
        <v>74</v>
      </c>
      <c r="AQ884" s="1" t="s">
        <v>74</v>
      </c>
      <c r="AR884" s="1" t="s">
        <v>74</v>
      </c>
      <c r="AS884" s="1" t="s">
        <v>74</v>
      </c>
      <c r="AT884" s="1" t="s">
        <v>607</v>
      </c>
      <c r="AU884" s="1">
        <v>2021.0</v>
      </c>
      <c r="AV884" s="1">
        <v>34.0</v>
      </c>
      <c r="AW884" s="1" t="s">
        <v>74</v>
      </c>
      <c r="AX884" s="1" t="s">
        <v>74</v>
      </c>
      <c r="AY884" s="1" t="s">
        <v>74</v>
      </c>
      <c r="AZ884" s="1" t="s">
        <v>74</v>
      </c>
      <c r="BA884" s="1" t="s">
        <v>74</v>
      </c>
      <c r="BB884" s="1" t="s">
        <v>74</v>
      </c>
      <c r="BC884" s="1" t="s">
        <v>74</v>
      </c>
      <c r="BD884" s="1">
        <v>106693.0</v>
      </c>
      <c r="BE884" s="1" t="s">
        <v>8082</v>
      </c>
      <c r="BF884" s="2" t="str">
        <f>HYPERLINK("http://dx.doi.org/10.1016/j.dib.2020.106693","http://dx.doi.org/10.1016/j.dib.2020.106693")</f>
        <v>http://dx.doi.org/10.1016/j.dib.2020.106693</v>
      </c>
      <c r="BG884" s="1" t="s">
        <v>74</v>
      </c>
      <c r="BH884" s="1" t="s">
        <v>4425</v>
      </c>
      <c r="BI884" s="1" t="s">
        <v>74</v>
      </c>
      <c r="BJ884" s="1" t="s">
        <v>74</v>
      </c>
      <c r="BK884" s="1" t="s">
        <v>74</v>
      </c>
      <c r="BL884" s="1" t="s">
        <v>74</v>
      </c>
      <c r="BM884" s="1" t="s">
        <v>74</v>
      </c>
      <c r="BN884" s="1">
        <v>3.3490324E7</v>
      </c>
      <c r="BO884" s="1" t="s">
        <v>74</v>
      </c>
      <c r="BP884" s="1" t="s">
        <v>74</v>
      </c>
      <c r="BQ884" s="1" t="s">
        <v>74</v>
      </c>
      <c r="BR884" s="1" t="s">
        <v>74</v>
      </c>
      <c r="BS884" s="1" t="s">
        <v>8083</v>
      </c>
      <c r="BT884" s="1" t="str">
        <f>HYPERLINK("https%3A%2F%2Fwww.webofscience.com%2Fwos%2Fwoscc%2Ffull-record%2FWOS:000617525400079","View Full Record in Web of Science")</f>
        <v>View Full Record in Web of Science</v>
      </c>
    </row>
    <row r="885" ht="12.75" customHeight="1">
      <c r="A885" s="1" t="s">
        <v>72</v>
      </c>
      <c r="B885" s="1" t="s">
        <v>8084</v>
      </c>
      <c r="C885" s="1" t="s">
        <v>74</v>
      </c>
      <c r="D885" s="1" t="s">
        <v>74</v>
      </c>
      <c r="E885" s="1" t="s">
        <v>74</v>
      </c>
      <c r="F885" s="1" t="s">
        <v>8085</v>
      </c>
      <c r="G885" s="1" t="s">
        <v>74</v>
      </c>
      <c r="H885" s="1" t="s">
        <v>74</v>
      </c>
      <c r="I885" s="1" t="s">
        <v>8086</v>
      </c>
      <c r="J885" s="1" t="s">
        <v>8087</v>
      </c>
      <c r="K885" s="1" t="s">
        <v>74</v>
      </c>
      <c r="L885" s="1" t="s">
        <v>74</v>
      </c>
      <c r="M885" s="1" t="s">
        <v>74</v>
      </c>
      <c r="N885" s="1" t="s">
        <v>74</v>
      </c>
      <c r="O885" s="1" t="s">
        <v>74</v>
      </c>
      <c r="P885" s="1" t="s">
        <v>74</v>
      </c>
      <c r="Q885" s="1" t="s">
        <v>74</v>
      </c>
      <c r="R885" s="1" t="s">
        <v>74</v>
      </c>
      <c r="S885" s="1" t="s">
        <v>74</v>
      </c>
      <c r="T885" s="1" t="s">
        <v>74</v>
      </c>
      <c r="U885" s="1" t="s">
        <v>74</v>
      </c>
      <c r="V885" s="1" t="s">
        <v>8088</v>
      </c>
      <c r="W885" s="1" t="s">
        <v>74</v>
      </c>
      <c r="X885" s="1" t="s">
        <v>74</v>
      </c>
      <c r="Y885" s="1" t="s">
        <v>74</v>
      </c>
      <c r="Z885" s="1" t="s">
        <v>74</v>
      </c>
      <c r="AA885" s="1" t="s">
        <v>74</v>
      </c>
      <c r="AB885" s="1" t="s">
        <v>8089</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74</v>
      </c>
      <c r="AP885" s="1" t="s">
        <v>8090</v>
      </c>
      <c r="AQ885" s="1" t="s">
        <v>74</v>
      </c>
      <c r="AR885" s="1" t="s">
        <v>74</v>
      </c>
      <c r="AS885" s="1" t="s">
        <v>74</v>
      </c>
      <c r="AT885" s="1" t="s">
        <v>160</v>
      </c>
      <c r="AU885" s="1">
        <v>2020.0</v>
      </c>
      <c r="AV885" s="1">
        <v>5.0</v>
      </c>
      <c r="AW885" s="1">
        <v>4.0</v>
      </c>
      <c r="AX885" s="1" t="s">
        <v>74</v>
      </c>
      <c r="AY885" s="1" t="s">
        <v>74</v>
      </c>
      <c r="AZ885" s="1" t="s">
        <v>74</v>
      </c>
      <c r="BA885" s="1" t="s">
        <v>74</v>
      </c>
      <c r="BB885" s="1" t="s">
        <v>74</v>
      </c>
      <c r="BC885" s="1" t="s">
        <v>74</v>
      </c>
      <c r="BD885" s="1">
        <v>92.0</v>
      </c>
      <c r="BE885" s="1" t="s">
        <v>8091</v>
      </c>
      <c r="BF885" s="2" t="str">
        <f>HYPERLINK("http://dx.doi.org/10.3390/data5040092","http://dx.doi.org/10.3390/data5040092")</f>
        <v>http://dx.doi.org/10.3390/data5040092</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8092</v>
      </c>
      <c r="BT885" s="1" t="str">
        <f>HYPERLINK("https%3A%2F%2Fwww.webofscience.com%2Fwos%2Fwoscc%2Ffull-record%2FWOS:000601538700001","View Full Record in Web of Science")</f>
        <v>View Full Record in Web of Science</v>
      </c>
    </row>
    <row r="886" ht="12.75" customHeight="1">
      <c r="A886" s="1" t="s">
        <v>72</v>
      </c>
      <c r="B886" s="1" t="s">
        <v>8093</v>
      </c>
      <c r="C886" s="1" t="s">
        <v>74</v>
      </c>
      <c r="D886" s="1" t="s">
        <v>74</v>
      </c>
      <c r="E886" s="1" t="s">
        <v>74</v>
      </c>
      <c r="F886" s="1" t="s">
        <v>8094</v>
      </c>
      <c r="G886" s="1" t="s">
        <v>74</v>
      </c>
      <c r="H886" s="1" t="s">
        <v>74</v>
      </c>
      <c r="I886" s="1" t="s">
        <v>8095</v>
      </c>
      <c r="J886" s="1" t="s">
        <v>5488</v>
      </c>
      <c r="K886" s="1" t="s">
        <v>74</v>
      </c>
      <c r="L886" s="1" t="s">
        <v>74</v>
      </c>
      <c r="M886" s="1" t="s">
        <v>74</v>
      </c>
      <c r="N886" s="1" t="s">
        <v>74</v>
      </c>
      <c r="O886" s="1" t="s">
        <v>74</v>
      </c>
      <c r="P886" s="1" t="s">
        <v>74</v>
      </c>
      <c r="Q886" s="1" t="s">
        <v>74</v>
      </c>
      <c r="R886" s="1" t="s">
        <v>74</v>
      </c>
      <c r="S886" s="1" t="s">
        <v>74</v>
      </c>
      <c r="T886" s="1" t="s">
        <v>74</v>
      </c>
      <c r="U886" s="1" t="s">
        <v>74</v>
      </c>
      <c r="V886" s="1" t="s">
        <v>8096</v>
      </c>
      <c r="W886" s="1" t="s">
        <v>74</v>
      </c>
      <c r="X886" s="1" t="s">
        <v>74</v>
      </c>
      <c r="Y886" s="1" t="s">
        <v>74</v>
      </c>
      <c r="Z886" s="1" t="s">
        <v>74</v>
      </c>
      <c r="AA886" s="1" t="s">
        <v>8097</v>
      </c>
      <c r="AB886" s="1" t="s">
        <v>8098</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5492</v>
      </c>
      <c r="AP886" s="1" t="s">
        <v>8099</v>
      </c>
      <c r="AQ886" s="1" t="s">
        <v>74</v>
      </c>
      <c r="AR886" s="1" t="s">
        <v>74</v>
      </c>
      <c r="AS886" s="1" t="s">
        <v>74</v>
      </c>
      <c r="AT886" s="1" t="s">
        <v>319</v>
      </c>
      <c r="AU886" s="1">
        <v>2021.0</v>
      </c>
      <c r="AV886" s="1">
        <v>21.0</v>
      </c>
      <c r="AW886" s="1">
        <v>1.0</v>
      </c>
      <c r="AX886" s="1" t="s">
        <v>74</v>
      </c>
      <c r="AY886" s="1" t="s">
        <v>74</v>
      </c>
      <c r="AZ886" s="1" t="s">
        <v>74</v>
      </c>
      <c r="BA886" s="1" t="s">
        <v>74</v>
      </c>
      <c r="BB886" s="1">
        <v>313.0</v>
      </c>
      <c r="BC886" s="1">
        <v>337.0</v>
      </c>
      <c r="BD886" s="1" t="s">
        <v>74</v>
      </c>
      <c r="BE886" s="1" t="s">
        <v>8100</v>
      </c>
      <c r="BF886" s="2" t="str">
        <f>HYPERLINK("http://dx.doi.org/10.1007/s00028-020-00580-3","http://dx.doi.org/10.1007/s00028-020-00580-3")</f>
        <v>http://dx.doi.org/10.1007/s00028-020-00580-3</v>
      </c>
      <c r="BG886" s="1" t="s">
        <v>74</v>
      </c>
      <c r="BH886" s="1" t="s">
        <v>8101</v>
      </c>
      <c r="BI886" s="1" t="s">
        <v>74</v>
      </c>
      <c r="BJ886" s="1" t="s">
        <v>74</v>
      </c>
      <c r="BK886" s="1" t="s">
        <v>74</v>
      </c>
      <c r="BL886" s="1" t="s">
        <v>74</v>
      </c>
      <c r="BM886" s="1" t="s">
        <v>74</v>
      </c>
      <c r="BN886" s="1" t="s">
        <v>74</v>
      </c>
      <c r="BO886" s="1" t="s">
        <v>74</v>
      </c>
      <c r="BP886" s="1" t="s">
        <v>74</v>
      </c>
      <c r="BQ886" s="1" t="s">
        <v>74</v>
      </c>
      <c r="BR886" s="1" t="s">
        <v>74</v>
      </c>
      <c r="BS886" s="1" t="s">
        <v>8102</v>
      </c>
      <c r="BT886" s="1" t="str">
        <f>HYPERLINK("https%3A%2F%2Fwww.webofscience.com%2Fwos%2Fwoscc%2Ffull-record%2FWOS:000531743000001","View Full Record in Web of Science")</f>
        <v>View Full Record in Web of Science</v>
      </c>
    </row>
    <row r="887" ht="12.75" customHeight="1">
      <c r="A887" s="1" t="s">
        <v>72</v>
      </c>
      <c r="B887" s="1" t="s">
        <v>8103</v>
      </c>
      <c r="C887" s="1" t="s">
        <v>74</v>
      </c>
      <c r="D887" s="1" t="s">
        <v>74</v>
      </c>
      <c r="E887" s="1" t="s">
        <v>74</v>
      </c>
      <c r="F887" s="1" t="s">
        <v>8104</v>
      </c>
      <c r="G887" s="1" t="s">
        <v>74</v>
      </c>
      <c r="H887" s="1" t="s">
        <v>74</v>
      </c>
      <c r="I887" s="1" t="s">
        <v>8105</v>
      </c>
      <c r="J887" s="1" t="s">
        <v>3520</v>
      </c>
      <c r="K887" s="1" t="s">
        <v>74</v>
      </c>
      <c r="L887" s="1" t="s">
        <v>74</v>
      </c>
      <c r="M887" s="1" t="s">
        <v>74</v>
      </c>
      <c r="N887" s="1" t="s">
        <v>74</v>
      </c>
      <c r="O887" s="1" t="s">
        <v>74</v>
      </c>
      <c r="P887" s="1" t="s">
        <v>74</v>
      </c>
      <c r="Q887" s="1" t="s">
        <v>74</v>
      </c>
      <c r="R887" s="1" t="s">
        <v>74</v>
      </c>
      <c r="S887" s="1" t="s">
        <v>74</v>
      </c>
      <c r="T887" s="1" t="s">
        <v>74</v>
      </c>
      <c r="U887" s="1" t="s">
        <v>74</v>
      </c>
      <c r="V887" s="1" t="s">
        <v>8106</v>
      </c>
      <c r="W887" s="1" t="s">
        <v>74</v>
      </c>
      <c r="X887" s="1" t="s">
        <v>74</v>
      </c>
      <c r="Y887" s="1" t="s">
        <v>74</v>
      </c>
      <c r="Z887" s="1" t="s">
        <v>74</v>
      </c>
      <c r="AA887" s="1" t="s">
        <v>8107</v>
      </c>
      <c r="AB887" s="1" t="s">
        <v>8108</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74</v>
      </c>
      <c r="AP887" s="1" t="s">
        <v>3524</v>
      </c>
      <c r="AQ887" s="1" t="s">
        <v>74</v>
      </c>
      <c r="AR887" s="1" t="s">
        <v>74</v>
      </c>
      <c r="AS887" s="1" t="s">
        <v>74</v>
      </c>
      <c r="AT887" s="1" t="s">
        <v>174</v>
      </c>
      <c r="AU887" s="1">
        <v>2020.0</v>
      </c>
      <c r="AV887" s="1">
        <v>8.0</v>
      </c>
      <c r="AW887" s="1">
        <v>4.0</v>
      </c>
      <c r="AX887" s="1" t="s">
        <v>74</v>
      </c>
      <c r="AY887" s="1" t="s">
        <v>74</v>
      </c>
      <c r="AZ887" s="1" t="s">
        <v>74</v>
      </c>
      <c r="BA887" s="1" t="s">
        <v>74</v>
      </c>
      <c r="BB887" s="1" t="s">
        <v>74</v>
      </c>
      <c r="BC887" s="1" t="s">
        <v>74</v>
      </c>
      <c r="BD887" s="1">
        <v>425.0</v>
      </c>
      <c r="BE887" s="1" t="s">
        <v>8109</v>
      </c>
      <c r="BF887" s="2" t="str">
        <f>HYPERLINK("http://dx.doi.org/10.3390/pr8040425","http://dx.doi.org/10.3390/pr8040425")</f>
        <v>http://dx.doi.org/10.3390/pr8040425</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8110</v>
      </c>
      <c r="BT887" s="1" t="str">
        <f>HYPERLINK("https%3A%2F%2Fwww.webofscience.com%2Fwos%2Fwoscc%2Ffull-record%2FWOS:000536891900004","View Full Record in Web of Science")</f>
        <v>View Full Record in Web of Science</v>
      </c>
    </row>
    <row r="888" ht="12.75" customHeight="1">
      <c r="A888" s="1" t="s">
        <v>72</v>
      </c>
      <c r="B888" s="1" t="s">
        <v>8111</v>
      </c>
      <c r="C888" s="1" t="s">
        <v>74</v>
      </c>
      <c r="D888" s="1" t="s">
        <v>74</v>
      </c>
      <c r="E888" s="1" t="s">
        <v>74</v>
      </c>
      <c r="F888" s="1" t="s">
        <v>8112</v>
      </c>
      <c r="G888" s="1" t="s">
        <v>74</v>
      </c>
      <c r="H888" s="1" t="s">
        <v>74</v>
      </c>
      <c r="I888" s="1" t="s">
        <v>8113</v>
      </c>
      <c r="J888" s="1" t="s">
        <v>6280</v>
      </c>
      <c r="K888" s="1" t="s">
        <v>74</v>
      </c>
      <c r="L888" s="1" t="s">
        <v>74</v>
      </c>
      <c r="M888" s="1" t="s">
        <v>74</v>
      </c>
      <c r="N888" s="1" t="s">
        <v>74</v>
      </c>
      <c r="O888" s="1" t="s">
        <v>74</v>
      </c>
      <c r="P888" s="1" t="s">
        <v>74</v>
      </c>
      <c r="Q888" s="1" t="s">
        <v>74</v>
      </c>
      <c r="R888" s="1" t="s">
        <v>74</v>
      </c>
      <c r="S888" s="1" t="s">
        <v>74</v>
      </c>
      <c r="T888" s="1" t="s">
        <v>74</v>
      </c>
      <c r="U888" s="1" t="s">
        <v>74</v>
      </c>
      <c r="V888" s="1" t="s">
        <v>8114</v>
      </c>
      <c r="W888" s="1" t="s">
        <v>74</v>
      </c>
      <c r="X888" s="1" t="s">
        <v>74</v>
      </c>
      <c r="Y888" s="1" t="s">
        <v>74</v>
      </c>
      <c r="Z888" s="1" t="s">
        <v>74</v>
      </c>
      <c r="AA888" s="1" t="s">
        <v>8115</v>
      </c>
      <c r="AB888" s="1" t="s">
        <v>8116</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6282</v>
      </c>
      <c r="AP888" s="1" t="s">
        <v>6283</v>
      </c>
      <c r="AQ888" s="1" t="s">
        <v>74</v>
      </c>
      <c r="AR888" s="1" t="s">
        <v>74</v>
      </c>
      <c r="AS888" s="1" t="s">
        <v>74</v>
      </c>
      <c r="AT888" s="1" t="s">
        <v>5239</v>
      </c>
      <c r="AU888" s="1">
        <v>2020.0</v>
      </c>
      <c r="AV888" s="1">
        <v>142.0</v>
      </c>
      <c r="AW888" s="1" t="s">
        <v>74</v>
      </c>
      <c r="AX888" s="1" t="s">
        <v>74</v>
      </c>
      <c r="AY888" s="1" t="s">
        <v>74</v>
      </c>
      <c r="AZ888" s="1" t="s">
        <v>74</v>
      </c>
      <c r="BA888" s="1" t="s">
        <v>74</v>
      </c>
      <c r="BB888" s="1">
        <v>452.0</v>
      </c>
      <c r="BC888" s="1">
        <v>462.0</v>
      </c>
      <c r="BD888" s="1" t="s">
        <v>74</v>
      </c>
      <c r="BE888" s="1" t="s">
        <v>8117</v>
      </c>
      <c r="BF888" s="2" t="str">
        <f>HYPERLINK("http://dx.doi.org/10.1016/j.ijbiomac.2019.09.117","http://dx.doi.org/10.1016/j.ijbiomac.2019.09.117")</f>
        <v>http://dx.doi.org/10.1016/j.ijbiomac.2019.09.117</v>
      </c>
      <c r="BG888" s="1" t="s">
        <v>74</v>
      </c>
      <c r="BH888" s="1" t="s">
        <v>74</v>
      </c>
      <c r="BI888" s="1" t="s">
        <v>74</v>
      </c>
      <c r="BJ888" s="1" t="s">
        <v>74</v>
      </c>
      <c r="BK888" s="1" t="s">
        <v>74</v>
      </c>
      <c r="BL888" s="1" t="s">
        <v>74</v>
      </c>
      <c r="BM888" s="1" t="s">
        <v>74</v>
      </c>
      <c r="BN888" s="1">
        <v>3.1676297E7</v>
      </c>
      <c r="BO888" s="1" t="s">
        <v>74</v>
      </c>
      <c r="BP888" s="1" t="s">
        <v>74</v>
      </c>
      <c r="BQ888" s="1" t="s">
        <v>74</v>
      </c>
      <c r="BR888" s="1" t="s">
        <v>74</v>
      </c>
      <c r="BS888" s="1" t="s">
        <v>8118</v>
      </c>
      <c r="BT888" s="1" t="str">
        <f>HYPERLINK("https%3A%2F%2Fwww.webofscience.com%2Fwos%2Fwoscc%2Ffull-record%2FWOS:000510955500043","View Full Record in Web of Science")</f>
        <v>View Full Record in Web of Science</v>
      </c>
    </row>
    <row r="889" ht="12.75" customHeight="1">
      <c r="A889" s="1" t="s">
        <v>72</v>
      </c>
      <c r="B889" s="1" t="s">
        <v>8119</v>
      </c>
      <c r="C889" s="1" t="s">
        <v>74</v>
      </c>
      <c r="D889" s="1" t="s">
        <v>74</v>
      </c>
      <c r="E889" s="1" t="s">
        <v>74</v>
      </c>
      <c r="F889" s="1" t="s">
        <v>8120</v>
      </c>
      <c r="G889" s="1" t="s">
        <v>74</v>
      </c>
      <c r="H889" s="1" t="s">
        <v>74</v>
      </c>
      <c r="I889" s="1" t="s">
        <v>8121</v>
      </c>
      <c r="J889" s="1" t="s">
        <v>8122</v>
      </c>
      <c r="K889" s="1" t="s">
        <v>74</v>
      </c>
      <c r="L889" s="1" t="s">
        <v>74</v>
      </c>
      <c r="M889" s="1" t="s">
        <v>74</v>
      </c>
      <c r="N889" s="1" t="s">
        <v>74</v>
      </c>
      <c r="O889" s="1" t="s">
        <v>74</v>
      </c>
      <c r="P889" s="1" t="s">
        <v>74</v>
      </c>
      <c r="Q889" s="1" t="s">
        <v>74</v>
      </c>
      <c r="R889" s="1" t="s">
        <v>74</v>
      </c>
      <c r="S889" s="1" t="s">
        <v>74</v>
      </c>
      <c r="T889" s="1" t="s">
        <v>74</v>
      </c>
      <c r="U889" s="1" t="s">
        <v>74</v>
      </c>
      <c r="V889" s="1" t="s">
        <v>8123</v>
      </c>
      <c r="W889" s="1" t="s">
        <v>74</v>
      </c>
      <c r="X889" s="1" t="s">
        <v>74</v>
      </c>
      <c r="Y889" s="1" t="s">
        <v>74</v>
      </c>
      <c r="Z889" s="1" t="s">
        <v>74</v>
      </c>
      <c r="AA889" s="1" t="s">
        <v>8124</v>
      </c>
      <c r="AB889" s="1" t="s">
        <v>8125</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74</v>
      </c>
      <c r="AP889" s="1" t="s">
        <v>8126</v>
      </c>
      <c r="AQ889" s="1" t="s">
        <v>74</v>
      </c>
      <c r="AR889" s="1" t="s">
        <v>74</v>
      </c>
      <c r="AS889" s="1" t="s">
        <v>74</v>
      </c>
      <c r="AT889" s="1" t="s">
        <v>160</v>
      </c>
      <c r="AU889" s="1">
        <v>2019.0</v>
      </c>
      <c r="AV889" s="1">
        <v>5.0</v>
      </c>
      <c r="AW889" s="1">
        <v>12.0</v>
      </c>
      <c r="AX889" s="1" t="s">
        <v>74</v>
      </c>
      <c r="AY889" s="1" t="s">
        <v>74</v>
      </c>
      <c r="AZ889" s="1" t="s">
        <v>74</v>
      </c>
      <c r="BA889" s="1" t="s">
        <v>74</v>
      </c>
      <c r="BB889" s="1" t="s">
        <v>74</v>
      </c>
      <c r="BC889" s="1" t="s">
        <v>74</v>
      </c>
      <c r="BD889" s="1" t="s">
        <v>8127</v>
      </c>
      <c r="BE889" s="1" t="s">
        <v>8128</v>
      </c>
      <c r="BF889" s="2" t="str">
        <f>HYPERLINK("http://dx.doi.org/10.1016/j.heliyon.2019.e02901","http://dx.doi.org/10.1016/j.heliyon.2019.e02901")</f>
        <v>http://dx.doi.org/10.1016/j.heliyon.2019.e02901</v>
      </c>
      <c r="BG889" s="1" t="s">
        <v>74</v>
      </c>
      <c r="BH889" s="1" t="s">
        <v>74</v>
      </c>
      <c r="BI889" s="1" t="s">
        <v>74</v>
      </c>
      <c r="BJ889" s="1" t="s">
        <v>74</v>
      </c>
      <c r="BK889" s="1" t="s">
        <v>74</v>
      </c>
      <c r="BL889" s="1" t="s">
        <v>74</v>
      </c>
      <c r="BM889" s="1" t="s">
        <v>74</v>
      </c>
      <c r="BN889" s="1">
        <v>3.1890936E7</v>
      </c>
      <c r="BO889" s="1" t="s">
        <v>74</v>
      </c>
      <c r="BP889" s="1" t="s">
        <v>74</v>
      </c>
      <c r="BQ889" s="1" t="s">
        <v>74</v>
      </c>
      <c r="BR889" s="1" t="s">
        <v>74</v>
      </c>
      <c r="BS889" s="1" t="s">
        <v>8129</v>
      </c>
      <c r="BT889" s="1" t="str">
        <f>HYPERLINK("https%3A%2F%2Fwww.webofscience.com%2Fwos%2Fwoscc%2Ffull-record%2FWOS:000504401100034","View Full Record in Web of Science")</f>
        <v>View Full Record in Web of Science</v>
      </c>
    </row>
    <row r="890" ht="12.75" customHeight="1">
      <c r="A890" s="1" t="s">
        <v>72</v>
      </c>
      <c r="B890" s="1" t="s">
        <v>8130</v>
      </c>
      <c r="C890" s="1" t="s">
        <v>74</v>
      </c>
      <c r="D890" s="1" t="s">
        <v>74</v>
      </c>
      <c r="E890" s="1" t="s">
        <v>74</v>
      </c>
      <c r="F890" s="1" t="s">
        <v>8131</v>
      </c>
      <c r="G890" s="1" t="s">
        <v>74</v>
      </c>
      <c r="H890" s="1" t="s">
        <v>74</v>
      </c>
      <c r="I890" s="1" t="s">
        <v>8132</v>
      </c>
      <c r="J890" s="1" t="s">
        <v>8133</v>
      </c>
      <c r="K890" s="1" t="s">
        <v>74</v>
      </c>
      <c r="L890" s="1" t="s">
        <v>74</v>
      </c>
      <c r="M890" s="1" t="s">
        <v>74</v>
      </c>
      <c r="N890" s="1" t="s">
        <v>74</v>
      </c>
      <c r="O890" s="1" t="s">
        <v>74</v>
      </c>
      <c r="P890" s="1" t="s">
        <v>74</v>
      </c>
      <c r="Q890" s="1" t="s">
        <v>74</v>
      </c>
      <c r="R890" s="1" t="s">
        <v>74</v>
      </c>
      <c r="S890" s="1" t="s">
        <v>74</v>
      </c>
      <c r="T890" s="1" t="s">
        <v>74</v>
      </c>
      <c r="U890" s="1" t="s">
        <v>74</v>
      </c>
      <c r="V890" s="1" t="s">
        <v>8134</v>
      </c>
      <c r="W890" s="1" t="s">
        <v>74</v>
      </c>
      <c r="X890" s="1" t="s">
        <v>74</v>
      </c>
      <c r="Y890" s="1" t="s">
        <v>74</v>
      </c>
      <c r="Z890" s="1" t="s">
        <v>74</v>
      </c>
      <c r="AA890" s="1" t="s">
        <v>8135</v>
      </c>
      <c r="AB890" s="1" t="s">
        <v>8136</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8137</v>
      </c>
      <c r="AP890" s="1" t="s">
        <v>8138</v>
      </c>
      <c r="AQ890" s="1" t="s">
        <v>74</v>
      </c>
      <c r="AR890" s="1" t="s">
        <v>74</v>
      </c>
      <c r="AS890" s="1" t="s">
        <v>74</v>
      </c>
      <c r="AT890" s="1" t="s">
        <v>8139</v>
      </c>
      <c r="AU890" s="1">
        <v>2020.0</v>
      </c>
      <c r="AV890" s="1">
        <v>71.0</v>
      </c>
      <c r="AW890" s="1">
        <v>4.0</v>
      </c>
      <c r="AX890" s="1" t="s">
        <v>74</v>
      </c>
      <c r="AY890" s="1" t="s">
        <v>74</v>
      </c>
      <c r="AZ890" s="1" t="s">
        <v>74</v>
      </c>
      <c r="BA890" s="1" t="s">
        <v>74</v>
      </c>
      <c r="BB890" s="1">
        <v>660.0</v>
      </c>
      <c r="BC890" s="1">
        <v>672.0</v>
      </c>
      <c r="BD890" s="1" t="s">
        <v>74</v>
      </c>
      <c r="BE890" s="1" t="s">
        <v>8140</v>
      </c>
      <c r="BF890" s="2" t="str">
        <f>HYPERLINK("http://dx.doi.org/10.1080/01605682.2019.1578629","http://dx.doi.org/10.1080/01605682.2019.1578629")</f>
        <v>http://dx.doi.org/10.1080/01605682.2019.1578629</v>
      </c>
      <c r="BG890" s="1" t="s">
        <v>74</v>
      </c>
      <c r="BH890" s="1" t="s">
        <v>8141</v>
      </c>
      <c r="BI890" s="1" t="s">
        <v>74</v>
      </c>
      <c r="BJ890" s="1" t="s">
        <v>74</v>
      </c>
      <c r="BK890" s="1" t="s">
        <v>74</v>
      </c>
      <c r="BL890" s="1" t="s">
        <v>74</v>
      </c>
      <c r="BM890" s="1" t="s">
        <v>74</v>
      </c>
      <c r="BN890" s="1" t="s">
        <v>74</v>
      </c>
      <c r="BO890" s="1" t="s">
        <v>74</v>
      </c>
      <c r="BP890" s="1" t="s">
        <v>74</v>
      </c>
      <c r="BQ890" s="1" t="s">
        <v>74</v>
      </c>
      <c r="BR890" s="1" t="s">
        <v>74</v>
      </c>
      <c r="BS890" s="1" t="s">
        <v>8142</v>
      </c>
      <c r="BT890" s="1" t="str">
        <f>HYPERLINK("https%3A%2F%2Fwww.webofscience.com%2Fwos%2Fwoscc%2Ffull-record%2FWOS:000465727800001","View Full Record in Web of Science")</f>
        <v>View Full Record in Web of Science</v>
      </c>
    </row>
    <row r="891" ht="12.75" customHeight="1">
      <c r="A891" s="1" t="s">
        <v>72</v>
      </c>
      <c r="B891" s="1" t="s">
        <v>8143</v>
      </c>
      <c r="C891" s="1" t="s">
        <v>74</v>
      </c>
      <c r="D891" s="1" t="s">
        <v>74</v>
      </c>
      <c r="E891" s="1" t="s">
        <v>74</v>
      </c>
      <c r="F891" s="1" t="s">
        <v>8144</v>
      </c>
      <c r="G891" s="1" t="s">
        <v>74</v>
      </c>
      <c r="H891" s="1" t="s">
        <v>74</v>
      </c>
      <c r="I891" s="1" t="s">
        <v>8145</v>
      </c>
      <c r="J891" s="1" t="s">
        <v>4798</v>
      </c>
      <c r="K891" s="1" t="s">
        <v>74</v>
      </c>
      <c r="L891" s="1" t="s">
        <v>74</v>
      </c>
      <c r="M891" s="1" t="s">
        <v>74</v>
      </c>
      <c r="N891" s="1" t="s">
        <v>74</v>
      </c>
      <c r="O891" s="1" t="s">
        <v>74</v>
      </c>
      <c r="P891" s="1" t="s">
        <v>74</v>
      </c>
      <c r="Q891" s="1" t="s">
        <v>74</v>
      </c>
      <c r="R891" s="1" t="s">
        <v>74</v>
      </c>
      <c r="S891" s="1" t="s">
        <v>74</v>
      </c>
      <c r="T891" s="1" t="s">
        <v>74</v>
      </c>
      <c r="U891" s="1" t="s">
        <v>74</v>
      </c>
      <c r="V891" s="1" t="s">
        <v>8146</v>
      </c>
      <c r="W891" s="1" t="s">
        <v>74</v>
      </c>
      <c r="X891" s="1" t="s">
        <v>74</v>
      </c>
      <c r="Y891" s="1" t="s">
        <v>74</v>
      </c>
      <c r="Z891" s="1" t="s">
        <v>74</v>
      </c>
      <c r="AA891" s="1" t="s">
        <v>8147</v>
      </c>
      <c r="AB891" s="1" t="s">
        <v>6391</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4801</v>
      </c>
      <c r="AP891" s="1" t="s">
        <v>4802</v>
      </c>
      <c r="AQ891" s="1" t="s">
        <v>74</v>
      </c>
      <c r="AR891" s="1" t="s">
        <v>74</v>
      </c>
      <c r="AS891" s="1" t="s">
        <v>74</v>
      </c>
      <c r="AT891" s="1" t="s">
        <v>501</v>
      </c>
      <c r="AU891" s="1">
        <v>2018.0</v>
      </c>
      <c r="AV891" s="1">
        <v>30.0</v>
      </c>
      <c r="AW891" s="1">
        <v>4.0</v>
      </c>
      <c r="AX891" s="1" t="s">
        <v>74</v>
      </c>
      <c r="AY891" s="1" t="s">
        <v>74</v>
      </c>
      <c r="AZ891" s="1" t="s">
        <v>74</v>
      </c>
      <c r="BA891" s="1" t="s">
        <v>74</v>
      </c>
      <c r="BB891" s="1">
        <v>434.0</v>
      </c>
      <c r="BC891" s="1">
        <v>441.0</v>
      </c>
      <c r="BD891" s="1" t="s">
        <v>74</v>
      </c>
      <c r="BE891" s="1" t="s">
        <v>8148</v>
      </c>
      <c r="BF891" s="2" t="str">
        <f>HYPERLINK("http://dx.doi.org/10.7334/psicothema2018.192","http://dx.doi.org/10.7334/psicothema2018.192")</f>
        <v>http://dx.doi.org/10.7334/psicothema2018.192</v>
      </c>
      <c r="BG891" s="1" t="s">
        <v>74</v>
      </c>
      <c r="BH891" s="1" t="s">
        <v>74</v>
      </c>
      <c r="BI891" s="1" t="s">
        <v>74</v>
      </c>
      <c r="BJ891" s="1" t="s">
        <v>74</v>
      </c>
      <c r="BK891" s="1" t="s">
        <v>74</v>
      </c>
      <c r="BL891" s="1" t="s">
        <v>74</v>
      </c>
      <c r="BM891" s="1" t="s">
        <v>74</v>
      </c>
      <c r="BN891" s="1">
        <v>3.0353846E7</v>
      </c>
      <c r="BO891" s="1" t="s">
        <v>74</v>
      </c>
      <c r="BP891" s="1" t="s">
        <v>74</v>
      </c>
      <c r="BQ891" s="1" t="s">
        <v>74</v>
      </c>
      <c r="BR891" s="1" t="s">
        <v>74</v>
      </c>
      <c r="BS891" s="1" t="s">
        <v>8149</v>
      </c>
      <c r="BT891" s="1" t="str">
        <f>HYPERLINK("https%3A%2F%2Fwww.webofscience.com%2Fwos%2Fwoscc%2Ffull-record%2FWOS:000447955000013","View Full Record in Web of Science")</f>
        <v>View Full Record in Web of Science</v>
      </c>
    </row>
    <row r="892" ht="12.75" customHeight="1">
      <c r="A892" s="1" t="s">
        <v>72</v>
      </c>
      <c r="B892" s="1" t="s">
        <v>8150</v>
      </c>
      <c r="C892" s="1" t="s">
        <v>74</v>
      </c>
      <c r="D892" s="1" t="s">
        <v>74</v>
      </c>
      <c r="E892" s="1" t="s">
        <v>74</v>
      </c>
      <c r="F892" s="1" t="s">
        <v>8151</v>
      </c>
      <c r="G892" s="1" t="s">
        <v>74</v>
      </c>
      <c r="H892" s="1" t="s">
        <v>74</v>
      </c>
      <c r="I892" s="1" t="s">
        <v>8152</v>
      </c>
      <c r="J892" s="1" t="s">
        <v>8153</v>
      </c>
      <c r="K892" s="1" t="s">
        <v>74</v>
      </c>
      <c r="L892" s="1" t="s">
        <v>74</v>
      </c>
      <c r="M892" s="1" t="s">
        <v>74</v>
      </c>
      <c r="N892" s="1" t="s">
        <v>74</v>
      </c>
      <c r="O892" s="1" t="s">
        <v>74</v>
      </c>
      <c r="P892" s="1" t="s">
        <v>74</v>
      </c>
      <c r="Q892" s="1" t="s">
        <v>74</v>
      </c>
      <c r="R892" s="1" t="s">
        <v>74</v>
      </c>
      <c r="S892" s="1" t="s">
        <v>74</v>
      </c>
      <c r="T892" s="1" t="s">
        <v>74</v>
      </c>
      <c r="U892" s="1" t="s">
        <v>74</v>
      </c>
      <c r="V892" s="1" t="s">
        <v>8154</v>
      </c>
      <c r="W892" s="1" t="s">
        <v>74</v>
      </c>
      <c r="X892" s="1" t="s">
        <v>74</v>
      </c>
      <c r="Y892" s="1" t="s">
        <v>74</v>
      </c>
      <c r="Z892" s="1" t="s">
        <v>74</v>
      </c>
      <c r="AA892" s="1" t="s">
        <v>5937</v>
      </c>
      <c r="AB892" s="1" t="s">
        <v>5938</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8155</v>
      </c>
      <c r="AP892" s="1" t="s">
        <v>74</v>
      </c>
      <c r="AQ892" s="1" t="s">
        <v>74</v>
      </c>
      <c r="AR892" s="1" t="s">
        <v>74</v>
      </c>
      <c r="AS892" s="1" t="s">
        <v>74</v>
      </c>
      <c r="AT892" s="1" t="s">
        <v>353</v>
      </c>
      <c r="AU892" s="1">
        <v>2017.0</v>
      </c>
      <c r="AV892" s="1">
        <v>68.0</v>
      </c>
      <c r="AW892" s="1" t="s">
        <v>74</v>
      </c>
      <c r="AX892" s="1" t="s">
        <v>74</v>
      </c>
      <c r="AY892" s="1" t="s">
        <v>74</v>
      </c>
      <c r="AZ892" s="1" t="s">
        <v>74</v>
      </c>
      <c r="BA892" s="1" t="s">
        <v>74</v>
      </c>
      <c r="BB892" s="1">
        <v>232.0</v>
      </c>
      <c r="BC892" s="1">
        <v>239.0</v>
      </c>
      <c r="BD892" s="1" t="s">
        <v>74</v>
      </c>
      <c r="BE892" s="1" t="s">
        <v>8156</v>
      </c>
      <c r="BF892" s="2" t="str">
        <f>HYPERLINK("http://dx.doi.org/10.1016/j.wasman.2017.07.005","http://dx.doi.org/10.1016/j.wasman.2017.07.005")</f>
        <v>http://dx.doi.org/10.1016/j.wasman.2017.07.005</v>
      </c>
      <c r="BG892" s="1" t="s">
        <v>74</v>
      </c>
      <c r="BH892" s="1" t="s">
        <v>74</v>
      </c>
      <c r="BI892" s="1" t="s">
        <v>74</v>
      </c>
      <c r="BJ892" s="1" t="s">
        <v>74</v>
      </c>
      <c r="BK892" s="1" t="s">
        <v>74</v>
      </c>
      <c r="BL892" s="1" t="s">
        <v>74</v>
      </c>
      <c r="BM892" s="1" t="s">
        <v>74</v>
      </c>
      <c r="BN892" s="1">
        <v>2.8697963E7</v>
      </c>
      <c r="BO892" s="1" t="s">
        <v>74</v>
      </c>
      <c r="BP892" s="1" t="s">
        <v>74</v>
      </c>
      <c r="BQ892" s="1" t="s">
        <v>74</v>
      </c>
      <c r="BR892" s="1" t="s">
        <v>74</v>
      </c>
      <c r="BS892" s="1" t="s">
        <v>8157</v>
      </c>
      <c r="BT892" s="1" t="str">
        <f>HYPERLINK("https%3A%2F%2Fwww.webofscience.com%2Fwos%2Fwoscc%2Ffull-record%2FWOS:000413126300025","View Full Record in Web of Science")</f>
        <v>View Full Record in Web of Science</v>
      </c>
    </row>
    <row r="893" ht="12.75" customHeight="1">
      <c r="A893" s="1" t="s">
        <v>72</v>
      </c>
      <c r="B893" s="1" t="s">
        <v>8158</v>
      </c>
      <c r="C893" s="1" t="s">
        <v>74</v>
      </c>
      <c r="D893" s="1" t="s">
        <v>74</v>
      </c>
      <c r="E893" s="1" t="s">
        <v>74</v>
      </c>
      <c r="F893" s="1" t="s">
        <v>8159</v>
      </c>
      <c r="G893" s="1" t="s">
        <v>74</v>
      </c>
      <c r="H893" s="1" t="s">
        <v>74</v>
      </c>
      <c r="I893" s="1" t="s">
        <v>8160</v>
      </c>
      <c r="J893" s="1" t="s">
        <v>736</v>
      </c>
      <c r="K893" s="1" t="s">
        <v>74</v>
      </c>
      <c r="L893" s="1" t="s">
        <v>74</v>
      </c>
      <c r="M893" s="1" t="s">
        <v>74</v>
      </c>
      <c r="N893" s="1" t="s">
        <v>74</v>
      </c>
      <c r="O893" s="1" t="s">
        <v>74</v>
      </c>
      <c r="P893" s="1" t="s">
        <v>74</v>
      </c>
      <c r="Q893" s="1" t="s">
        <v>74</v>
      </c>
      <c r="R893" s="1" t="s">
        <v>74</v>
      </c>
      <c r="S893" s="1" t="s">
        <v>74</v>
      </c>
      <c r="T893" s="1" t="s">
        <v>74</v>
      </c>
      <c r="U893" s="1" t="s">
        <v>74</v>
      </c>
      <c r="V893" s="1" t="s">
        <v>8161</v>
      </c>
      <c r="W893" s="1" t="s">
        <v>74</v>
      </c>
      <c r="X893" s="1" t="s">
        <v>74</v>
      </c>
      <c r="Y893" s="1" t="s">
        <v>74</v>
      </c>
      <c r="Z893" s="1" t="s">
        <v>74</v>
      </c>
      <c r="AA893" s="1" t="s">
        <v>8162</v>
      </c>
      <c r="AB893" s="1" t="s">
        <v>8163</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740</v>
      </c>
      <c r="AP893" s="1" t="s">
        <v>741</v>
      </c>
      <c r="AQ893" s="1" t="s">
        <v>74</v>
      </c>
      <c r="AR893" s="1" t="s">
        <v>74</v>
      </c>
      <c r="AS893" s="1" t="s">
        <v>74</v>
      </c>
      <c r="AT893" s="1" t="s">
        <v>183</v>
      </c>
      <c r="AU893" s="1">
        <v>2017.0</v>
      </c>
      <c r="AV893" s="1">
        <v>232.0</v>
      </c>
      <c r="AW893" s="1" t="s">
        <v>74</v>
      </c>
      <c r="AX893" s="1" t="s">
        <v>74</v>
      </c>
      <c r="AY893" s="1" t="s">
        <v>74</v>
      </c>
      <c r="AZ893" s="1" t="s">
        <v>74</v>
      </c>
      <c r="BA893" s="1" t="s">
        <v>74</v>
      </c>
      <c r="BB893" s="1">
        <v>53.0</v>
      </c>
      <c r="BC893" s="1">
        <v>63.0</v>
      </c>
      <c r="BD893" s="1" t="s">
        <v>74</v>
      </c>
      <c r="BE893" s="1" t="s">
        <v>8164</v>
      </c>
      <c r="BF893" s="2" t="str">
        <f>HYPERLINK("http://dx.doi.org/10.1016/j.biortech.2017.02.003","http://dx.doi.org/10.1016/j.biortech.2017.02.003")</f>
        <v>http://dx.doi.org/10.1016/j.biortech.2017.02.003</v>
      </c>
      <c r="BG893" s="1" t="s">
        <v>74</v>
      </c>
      <c r="BH893" s="1" t="s">
        <v>74</v>
      </c>
      <c r="BI893" s="1" t="s">
        <v>74</v>
      </c>
      <c r="BJ893" s="1" t="s">
        <v>74</v>
      </c>
      <c r="BK893" s="1" t="s">
        <v>74</v>
      </c>
      <c r="BL893" s="1" t="s">
        <v>74</v>
      </c>
      <c r="BM893" s="1" t="s">
        <v>74</v>
      </c>
      <c r="BN893" s="1">
        <v>2.8214445E7</v>
      </c>
      <c r="BO893" s="1" t="s">
        <v>74</v>
      </c>
      <c r="BP893" s="1" t="s">
        <v>74</v>
      </c>
      <c r="BQ893" s="1" t="s">
        <v>74</v>
      </c>
      <c r="BR893" s="1" t="s">
        <v>74</v>
      </c>
      <c r="BS893" s="1" t="s">
        <v>8165</v>
      </c>
      <c r="BT893" s="1" t="str">
        <f>HYPERLINK("https%3A%2F%2Fwww.webofscience.com%2Fwos%2Fwoscc%2Ffull-record%2FWOS:000400867100007","View Full Record in Web of Science")</f>
        <v>View Full Record in Web of Science</v>
      </c>
    </row>
    <row r="894" ht="12.75" customHeight="1">
      <c r="A894" s="1" t="s">
        <v>72</v>
      </c>
      <c r="B894" s="1" t="s">
        <v>8166</v>
      </c>
      <c r="C894" s="1" t="s">
        <v>74</v>
      </c>
      <c r="D894" s="1" t="s">
        <v>74</v>
      </c>
      <c r="E894" s="1" t="s">
        <v>74</v>
      </c>
      <c r="F894" s="1" t="s">
        <v>8167</v>
      </c>
      <c r="G894" s="1" t="s">
        <v>74</v>
      </c>
      <c r="H894" s="1" t="s">
        <v>74</v>
      </c>
      <c r="I894" s="1" t="s">
        <v>8168</v>
      </c>
      <c r="J894" s="1" t="s">
        <v>8169</v>
      </c>
      <c r="K894" s="1" t="s">
        <v>74</v>
      </c>
      <c r="L894" s="1" t="s">
        <v>74</v>
      </c>
      <c r="M894" s="1" t="s">
        <v>74</v>
      </c>
      <c r="N894" s="1" t="s">
        <v>74</v>
      </c>
      <c r="O894" s="1" t="s">
        <v>74</v>
      </c>
      <c r="P894" s="1" t="s">
        <v>74</v>
      </c>
      <c r="Q894" s="1" t="s">
        <v>74</v>
      </c>
      <c r="R894" s="1" t="s">
        <v>74</v>
      </c>
      <c r="S894" s="1" t="s">
        <v>74</v>
      </c>
      <c r="T894" s="1" t="s">
        <v>74</v>
      </c>
      <c r="U894" s="1" t="s">
        <v>74</v>
      </c>
      <c r="V894" s="1" t="s">
        <v>8170</v>
      </c>
      <c r="W894" s="1" t="s">
        <v>74</v>
      </c>
      <c r="X894" s="1" t="s">
        <v>74</v>
      </c>
      <c r="Y894" s="1" t="s">
        <v>74</v>
      </c>
      <c r="Z894" s="1" t="s">
        <v>74</v>
      </c>
      <c r="AA894" s="1" t="s">
        <v>8171</v>
      </c>
      <c r="AB894" s="1" t="s">
        <v>8172</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8173</v>
      </c>
      <c r="AP894" s="1" t="s">
        <v>8174</v>
      </c>
      <c r="AQ894" s="1" t="s">
        <v>74</v>
      </c>
      <c r="AR894" s="1" t="s">
        <v>74</v>
      </c>
      <c r="AS894" s="1" t="s">
        <v>74</v>
      </c>
      <c r="AT894" s="1" t="s">
        <v>174</v>
      </c>
      <c r="AU894" s="1">
        <v>2017.0</v>
      </c>
      <c r="AV894" s="1">
        <v>135.0</v>
      </c>
      <c r="AW894" s="1" t="s">
        <v>74</v>
      </c>
      <c r="AX894" s="1" t="s">
        <v>74</v>
      </c>
      <c r="AY894" s="1" t="s">
        <v>74</v>
      </c>
      <c r="AZ894" s="1" t="s">
        <v>74</v>
      </c>
      <c r="BA894" s="1" t="s">
        <v>74</v>
      </c>
      <c r="BB894" s="1">
        <v>20.0</v>
      </c>
      <c r="BC894" s="1">
        <v>25.0</v>
      </c>
      <c r="BD894" s="1" t="s">
        <v>74</v>
      </c>
      <c r="BE894" s="1" t="s">
        <v>8175</v>
      </c>
      <c r="BF894" s="2" t="str">
        <f>HYPERLINK("http://dx.doi.org/10.1016/j.mimet.2017.01.020","http://dx.doi.org/10.1016/j.mimet.2017.01.020")</f>
        <v>http://dx.doi.org/10.1016/j.mimet.2017.01.020</v>
      </c>
      <c r="BG894" s="1" t="s">
        <v>74</v>
      </c>
      <c r="BH894" s="1" t="s">
        <v>74</v>
      </c>
      <c r="BI894" s="1" t="s">
        <v>74</v>
      </c>
      <c r="BJ894" s="1" t="s">
        <v>74</v>
      </c>
      <c r="BK894" s="1" t="s">
        <v>74</v>
      </c>
      <c r="BL894" s="1" t="s">
        <v>74</v>
      </c>
      <c r="BM894" s="1" t="s">
        <v>74</v>
      </c>
      <c r="BN894" s="1">
        <v>2.8161588E7</v>
      </c>
      <c r="BO894" s="1" t="s">
        <v>74</v>
      </c>
      <c r="BP894" s="1" t="s">
        <v>74</v>
      </c>
      <c r="BQ894" s="1" t="s">
        <v>74</v>
      </c>
      <c r="BR894" s="1" t="s">
        <v>74</v>
      </c>
      <c r="BS894" s="1" t="s">
        <v>8176</v>
      </c>
      <c r="BT894" s="1" t="str">
        <f>HYPERLINK("https%3A%2F%2Fwww.webofscience.com%2Fwos%2Fwoscc%2Ffull-record%2FWOS:000397547600005","View Full Record in Web of Science")</f>
        <v>View Full Record in Web of Science</v>
      </c>
    </row>
    <row r="895" ht="12.75" customHeight="1">
      <c r="A895" s="1" t="s">
        <v>241</v>
      </c>
      <c r="B895" s="1" t="s">
        <v>8177</v>
      </c>
      <c r="C895" s="1" t="s">
        <v>74</v>
      </c>
      <c r="D895" s="1" t="s">
        <v>8178</v>
      </c>
      <c r="E895" s="1" t="s">
        <v>74</v>
      </c>
      <c r="F895" s="1" t="s">
        <v>8179</v>
      </c>
      <c r="G895" s="1" t="s">
        <v>74</v>
      </c>
      <c r="H895" s="1" t="s">
        <v>74</v>
      </c>
      <c r="I895" s="1" t="s">
        <v>8180</v>
      </c>
      <c r="J895" s="1" t="s">
        <v>8181</v>
      </c>
      <c r="K895" s="1" t="s">
        <v>74</v>
      </c>
      <c r="L895" s="1" t="s">
        <v>74</v>
      </c>
      <c r="M895" s="1" t="s">
        <v>74</v>
      </c>
      <c r="N895" s="1" t="s">
        <v>74</v>
      </c>
      <c r="O895" s="1" t="s">
        <v>8182</v>
      </c>
      <c r="P895" s="1" t="s">
        <v>8183</v>
      </c>
      <c r="Q895" s="1" t="s">
        <v>8184</v>
      </c>
      <c r="R895" s="1" t="s">
        <v>74</v>
      </c>
      <c r="S895" s="1" t="s">
        <v>74</v>
      </c>
      <c r="T895" s="1" t="s">
        <v>74</v>
      </c>
      <c r="U895" s="1" t="s">
        <v>74</v>
      </c>
      <c r="V895" s="1" t="s">
        <v>8185</v>
      </c>
      <c r="W895" s="1" t="s">
        <v>74</v>
      </c>
      <c r="X895" s="1" t="s">
        <v>74</v>
      </c>
      <c r="Y895" s="1" t="s">
        <v>74</v>
      </c>
      <c r="Z895" s="1" t="s">
        <v>74</v>
      </c>
      <c r="AA895" s="1" t="s">
        <v>8186</v>
      </c>
      <c r="AB895" s="1" t="s">
        <v>8187</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74</v>
      </c>
      <c r="AP895" s="1" t="s">
        <v>74</v>
      </c>
      <c r="AQ895" s="1" t="s">
        <v>8188</v>
      </c>
      <c r="AR895" s="1" t="s">
        <v>74</v>
      </c>
      <c r="AS895" s="1" t="s">
        <v>74</v>
      </c>
      <c r="AT895" s="1" t="s">
        <v>74</v>
      </c>
      <c r="AU895" s="1">
        <v>2017.0</v>
      </c>
      <c r="AV895" s="1" t="s">
        <v>74</v>
      </c>
      <c r="AW895" s="1" t="s">
        <v>74</v>
      </c>
      <c r="AX895" s="1" t="s">
        <v>74</v>
      </c>
      <c r="AY895" s="1" t="s">
        <v>74</v>
      </c>
      <c r="AZ895" s="1" t="s">
        <v>74</v>
      </c>
      <c r="BA895" s="1" t="s">
        <v>74</v>
      </c>
      <c r="BB895" s="1">
        <v>440.0</v>
      </c>
      <c r="BC895" s="1">
        <v>446.0</v>
      </c>
      <c r="BD895" s="1" t="s">
        <v>74</v>
      </c>
      <c r="BE895" s="1" t="s">
        <v>8189</v>
      </c>
      <c r="BF895" s="2" t="str">
        <f>HYPERLINK("http://dx.doi.org/10.5220/0006241304400446","http://dx.doi.org/10.5220/0006241304400446")</f>
        <v>http://dx.doi.org/10.5220/0006241304400446</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8190</v>
      </c>
      <c r="BT895" s="1" t="str">
        <f>HYPERLINK("https%3A%2F%2Fwww.webofscience.com%2Fwos%2Fwoscc%2Ffull-record%2FWOS:000413254200049","View Full Record in Web of Science")</f>
        <v>View Full Record in Web of Science</v>
      </c>
    </row>
    <row r="896" ht="12.75" customHeight="1">
      <c r="A896" s="1" t="s">
        <v>241</v>
      </c>
      <c r="B896" s="1" t="s">
        <v>8191</v>
      </c>
      <c r="C896" s="1" t="s">
        <v>74</v>
      </c>
      <c r="D896" s="1" t="s">
        <v>74</v>
      </c>
      <c r="E896" s="1" t="s">
        <v>427</v>
      </c>
      <c r="F896" s="1" t="s">
        <v>8192</v>
      </c>
      <c r="G896" s="1" t="s">
        <v>74</v>
      </c>
      <c r="H896" s="1" t="s">
        <v>74</v>
      </c>
      <c r="I896" s="1" t="s">
        <v>8193</v>
      </c>
      <c r="J896" s="1" t="s">
        <v>8194</v>
      </c>
      <c r="K896" s="1" t="s">
        <v>74</v>
      </c>
      <c r="L896" s="1" t="s">
        <v>74</v>
      </c>
      <c r="M896" s="1" t="s">
        <v>74</v>
      </c>
      <c r="N896" s="1" t="s">
        <v>74</v>
      </c>
      <c r="O896" s="1" t="s">
        <v>8195</v>
      </c>
      <c r="P896" s="1" t="s">
        <v>8196</v>
      </c>
      <c r="Q896" s="1" t="s">
        <v>1265</v>
      </c>
      <c r="R896" s="1" t="s">
        <v>8197</v>
      </c>
      <c r="S896" s="1" t="s">
        <v>74</v>
      </c>
      <c r="T896" s="1" t="s">
        <v>74</v>
      </c>
      <c r="U896" s="1" t="s">
        <v>74</v>
      </c>
      <c r="V896" s="1" t="s">
        <v>8198</v>
      </c>
      <c r="W896" s="1" t="s">
        <v>74</v>
      </c>
      <c r="X896" s="1" t="s">
        <v>74</v>
      </c>
      <c r="Y896" s="1" t="s">
        <v>74</v>
      </c>
      <c r="Z896" s="1" t="s">
        <v>74</v>
      </c>
      <c r="AA896" s="1" t="s">
        <v>8199</v>
      </c>
      <c r="AB896" s="1" t="s">
        <v>74</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74</v>
      </c>
      <c r="AP896" s="1" t="s">
        <v>74</v>
      </c>
      <c r="AQ896" s="1" t="s">
        <v>8200</v>
      </c>
      <c r="AR896" s="1" t="s">
        <v>74</v>
      </c>
      <c r="AS896" s="1" t="s">
        <v>74</v>
      </c>
      <c r="AT896" s="1" t="s">
        <v>74</v>
      </c>
      <c r="AU896" s="1">
        <v>2017.0</v>
      </c>
      <c r="AV896" s="1" t="s">
        <v>74</v>
      </c>
      <c r="AW896" s="1" t="s">
        <v>74</v>
      </c>
      <c r="AX896" s="1" t="s">
        <v>74</v>
      </c>
      <c r="AY896" s="1" t="s">
        <v>74</v>
      </c>
      <c r="AZ896" s="1" t="s">
        <v>74</v>
      </c>
      <c r="BA896" s="1" t="s">
        <v>74</v>
      </c>
      <c r="BB896" s="1">
        <v>65.0</v>
      </c>
      <c r="BC896" s="1">
        <v>69.0</v>
      </c>
      <c r="BD896" s="1" t="s">
        <v>74</v>
      </c>
      <c r="BE896" s="1" t="s">
        <v>74</v>
      </c>
      <c r="BF896" s="1" t="s">
        <v>74</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8201</v>
      </c>
      <c r="BT896" s="1" t="str">
        <f>HYPERLINK("https%3A%2F%2Fwww.webofscience.com%2Fwos%2Fwoscc%2Ffull-record%2FWOS:000428142700004","View Full Record in Web of Science")</f>
        <v>View Full Record in Web of Science</v>
      </c>
    </row>
    <row r="897" ht="12.75" customHeight="1">
      <c r="A897" s="1" t="s">
        <v>72</v>
      </c>
      <c r="B897" s="1" t="s">
        <v>3414</v>
      </c>
      <c r="C897" s="1" t="s">
        <v>74</v>
      </c>
      <c r="D897" s="1" t="s">
        <v>74</v>
      </c>
      <c r="E897" s="1" t="s">
        <v>74</v>
      </c>
      <c r="F897" s="1" t="s">
        <v>3415</v>
      </c>
      <c r="G897" s="1" t="s">
        <v>74</v>
      </c>
      <c r="H897" s="1" t="s">
        <v>74</v>
      </c>
      <c r="I897" s="1" t="s">
        <v>8202</v>
      </c>
      <c r="J897" s="1" t="s">
        <v>8203</v>
      </c>
      <c r="K897" s="1" t="s">
        <v>74</v>
      </c>
      <c r="L897" s="1" t="s">
        <v>74</v>
      </c>
      <c r="M897" s="1" t="s">
        <v>74</v>
      </c>
      <c r="N897" s="1" t="s">
        <v>74</v>
      </c>
      <c r="O897" s="1" t="s">
        <v>74</v>
      </c>
      <c r="P897" s="1" t="s">
        <v>74</v>
      </c>
      <c r="Q897" s="1" t="s">
        <v>74</v>
      </c>
      <c r="R897" s="1" t="s">
        <v>74</v>
      </c>
      <c r="S897" s="1" t="s">
        <v>74</v>
      </c>
      <c r="T897" s="1" t="s">
        <v>74</v>
      </c>
      <c r="U897" s="1" t="s">
        <v>74</v>
      </c>
      <c r="V897" s="1" t="s">
        <v>8204</v>
      </c>
      <c r="W897" s="1" t="s">
        <v>74</v>
      </c>
      <c r="X897" s="1" t="s">
        <v>74</v>
      </c>
      <c r="Y897" s="1" t="s">
        <v>74</v>
      </c>
      <c r="Z897" s="1" t="s">
        <v>74</v>
      </c>
      <c r="AA897" s="1" t="s">
        <v>5490</v>
      </c>
      <c r="AB897" s="1" t="s">
        <v>6439</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8205</v>
      </c>
      <c r="AP897" s="1" t="s">
        <v>8206</v>
      </c>
      <c r="AQ897" s="1" t="s">
        <v>74</v>
      </c>
      <c r="AR897" s="1" t="s">
        <v>74</v>
      </c>
      <c r="AS897" s="1" t="s">
        <v>74</v>
      </c>
      <c r="AT897" s="1" t="s">
        <v>1558</v>
      </c>
      <c r="AU897" s="1">
        <v>2016.0</v>
      </c>
      <c r="AV897" s="1">
        <v>301.0</v>
      </c>
      <c r="AW897" s="1" t="s">
        <v>74</v>
      </c>
      <c r="AX897" s="1" t="s">
        <v>74</v>
      </c>
      <c r="AY897" s="1" t="s">
        <v>74</v>
      </c>
      <c r="AZ897" s="1" t="s">
        <v>74</v>
      </c>
      <c r="BA897" s="1" t="s">
        <v>74</v>
      </c>
      <c r="BB897" s="1">
        <v>230.0</v>
      </c>
      <c r="BC897" s="1">
        <v>240.0</v>
      </c>
      <c r="BD897" s="1" t="s">
        <v>74</v>
      </c>
      <c r="BE897" s="1" t="s">
        <v>8207</v>
      </c>
      <c r="BF897" s="2" t="str">
        <f>HYPERLINK("http://dx.doi.org/10.1016/j.cam.2016.01.048","http://dx.doi.org/10.1016/j.cam.2016.01.048")</f>
        <v>http://dx.doi.org/10.1016/j.cam.2016.01.048</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8208</v>
      </c>
      <c r="BT897" s="1" t="str">
        <f>HYPERLINK("https%3A%2F%2Fwww.webofscience.com%2Fwos%2Fwoscc%2Ffull-record%2FWOS:000372687400018","View Full Record in Web of Science")</f>
        <v>View Full Record in Web of Science</v>
      </c>
    </row>
    <row r="898" ht="12.75" customHeight="1">
      <c r="A898" s="1" t="s">
        <v>72</v>
      </c>
      <c r="B898" s="1" t="s">
        <v>8209</v>
      </c>
      <c r="C898" s="1" t="s">
        <v>74</v>
      </c>
      <c r="D898" s="1" t="s">
        <v>74</v>
      </c>
      <c r="E898" s="1" t="s">
        <v>74</v>
      </c>
      <c r="F898" s="1" t="s">
        <v>8210</v>
      </c>
      <c r="G898" s="1" t="s">
        <v>74</v>
      </c>
      <c r="H898" s="1" t="s">
        <v>74</v>
      </c>
      <c r="I898" s="1" t="s">
        <v>8211</v>
      </c>
      <c r="J898" s="1" t="s">
        <v>8212</v>
      </c>
      <c r="K898" s="1" t="s">
        <v>74</v>
      </c>
      <c r="L898" s="1" t="s">
        <v>74</v>
      </c>
      <c r="M898" s="1" t="s">
        <v>74</v>
      </c>
      <c r="N898" s="1" t="s">
        <v>74</v>
      </c>
      <c r="O898" s="1" t="s">
        <v>74</v>
      </c>
      <c r="P898" s="1" t="s">
        <v>74</v>
      </c>
      <c r="Q898" s="1" t="s">
        <v>74</v>
      </c>
      <c r="R898" s="1" t="s">
        <v>74</v>
      </c>
      <c r="S898" s="1" t="s">
        <v>74</v>
      </c>
      <c r="T898" s="1" t="s">
        <v>74</v>
      </c>
      <c r="U898" s="1" t="s">
        <v>74</v>
      </c>
      <c r="V898" s="1" t="s">
        <v>8213</v>
      </c>
      <c r="W898" s="1" t="s">
        <v>74</v>
      </c>
      <c r="X898" s="1" t="s">
        <v>74</v>
      </c>
      <c r="Y898" s="1" t="s">
        <v>74</v>
      </c>
      <c r="Z898" s="1" t="s">
        <v>74</v>
      </c>
      <c r="AA898" s="1" t="s">
        <v>7833</v>
      </c>
      <c r="AB898" s="1" t="s">
        <v>8214</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8215</v>
      </c>
      <c r="AP898" s="1" t="s">
        <v>8216</v>
      </c>
      <c r="AQ898" s="1" t="s">
        <v>74</v>
      </c>
      <c r="AR898" s="1" t="s">
        <v>74</v>
      </c>
      <c r="AS898" s="1" t="s">
        <v>74</v>
      </c>
      <c r="AT898" s="1" t="s">
        <v>343</v>
      </c>
      <c r="AU898" s="1">
        <v>2016.0</v>
      </c>
      <c r="AV898" s="1">
        <v>17.0</v>
      </c>
      <c r="AW898" s="1">
        <v>8.0</v>
      </c>
      <c r="AX898" s="1" t="s">
        <v>74</v>
      </c>
      <c r="AY898" s="1" t="s">
        <v>74</v>
      </c>
      <c r="AZ898" s="1" t="s">
        <v>74</v>
      </c>
      <c r="BA898" s="1" t="s">
        <v>74</v>
      </c>
      <c r="BB898" s="1">
        <v>2049.0</v>
      </c>
      <c r="BC898" s="1">
        <v>2074.0</v>
      </c>
      <c r="BD898" s="1" t="s">
        <v>74</v>
      </c>
      <c r="BE898" s="1" t="s">
        <v>8217</v>
      </c>
      <c r="BF898" s="2" t="str">
        <f>HYPERLINK("http://dx.doi.org/10.1007/s00023-015-0447-4","http://dx.doi.org/10.1007/s00023-015-0447-4")</f>
        <v>http://dx.doi.org/10.1007/s00023-015-0447-4</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8218</v>
      </c>
      <c r="BT898" s="1" t="str">
        <f>HYPERLINK("https%3A%2F%2Fwww.webofscience.com%2Fwos%2Fwoscc%2Ffull-record%2FWOS:000379847700004","View Full Record in Web of Science")</f>
        <v>View Full Record in Web of Science</v>
      </c>
    </row>
    <row r="899" ht="12.75" customHeight="1">
      <c r="A899" s="1" t="s">
        <v>72</v>
      </c>
      <c r="B899" s="1" t="s">
        <v>4686</v>
      </c>
      <c r="C899" s="1" t="s">
        <v>74</v>
      </c>
      <c r="D899" s="1" t="s">
        <v>74</v>
      </c>
      <c r="E899" s="1" t="s">
        <v>74</v>
      </c>
      <c r="F899" s="1" t="s">
        <v>4687</v>
      </c>
      <c r="G899" s="1" t="s">
        <v>74</v>
      </c>
      <c r="H899" s="1" t="s">
        <v>74</v>
      </c>
      <c r="I899" s="1" t="s">
        <v>8219</v>
      </c>
      <c r="J899" s="1" t="s">
        <v>4689</v>
      </c>
      <c r="K899" s="1" t="s">
        <v>74</v>
      </c>
      <c r="L899" s="1" t="s">
        <v>74</v>
      </c>
      <c r="M899" s="1" t="s">
        <v>74</v>
      </c>
      <c r="N899" s="1" t="s">
        <v>74</v>
      </c>
      <c r="O899" s="1" t="s">
        <v>8220</v>
      </c>
      <c r="P899" s="1" t="s">
        <v>8221</v>
      </c>
      <c r="Q899" s="1" t="s">
        <v>8222</v>
      </c>
      <c r="R899" s="1" t="s">
        <v>74</v>
      </c>
      <c r="S899" s="1" t="s">
        <v>74</v>
      </c>
      <c r="T899" s="1" t="s">
        <v>74</v>
      </c>
      <c r="U899" s="1" t="s">
        <v>74</v>
      </c>
      <c r="V899" s="1" t="s">
        <v>8223</v>
      </c>
      <c r="W899" s="1" t="s">
        <v>74</v>
      </c>
      <c r="X899" s="1" t="s">
        <v>74</v>
      </c>
      <c r="Y899" s="1" t="s">
        <v>74</v>
      </c>
      <c r="Z899" s="1" t="s">
        <v>74</v>
      </c>
      <c r="AA899" s="1" t="s">
        <v>4691</v>
      </c>
      <c r="AB899" s="1" t="s">
        <v>4692</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4693</v>
      </c>
      <c r="AP899" s="1" t="s">
        <v>4694</v>
      </c>
      <c r="AQ899" s="1" t="s">
        <v>74</v>
      </c>
      <c r="AR899" s="1" t="s">
        <v>74</v>
      </c>
      <c r="AS899" s="1" t="s">
        <v>74</v>
      </c>
      <c r="AT899" s="1" t="s">
        <v>82</v>
      </c>
      <c r="AU899" s="1">
        <v>2016.0</v>
      </c>
      <c r="AV899" s="1">
        <v>19.0</v>
      </c>
      <c r="AW899" s="1">
        <v>3.0</v>
      </c>
      <c r="AX899" s="1" t="s">
        <v>74</v>
      </c>
      <c r="AY899" s="1" t="s">
        <v>74</v>
      </c>
      <c r="AZ899" s="1" t="s">
        <v>2319</v>
      </c>
      <c r="BA899" s="1" t="s">
        <v>74</v>
      </c>
      <c r="BB899" s="1">
        <v>349.0</v>
      </c>
      <c r="BC899" s="1">
        <v>366.0</v>
      </c>
      <c r="BD899" s="1" t="s">
        <v>74</v>
      </c>
      <c r="BE899" s="1" t="s">
        <v>8224</v>
      </c>
      <c r="BF899" s="2" t="str">
        <f>HYPERLINK("http://dx.doi.org/10.1007/s10951-015-0442-0","http://dx.doi.org/10.1007/s10951-015-0442-0")</f>
        <v>http://dx.doi.org/10.1007/s10951-015-0442-0</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8225</v>
      </c>
      <c r="BT899" s="1" t="str">
        <f>HYPERLINK("https%3A%2F%2Fwww.webofscience.com%2Fwos%2Fwoscc%2Ffull-record%2FWOS:000377606100011","View Full Record in Web of Science")</f>
        <v>View Full Record in Web of Science</v>
      </c>
    </row>
    <row r="900" ht="12.75" customHeight="1">
      <c r="A900" s="1" t="s">
        <v>241</v>
      </c>
      <c r="B900" s="1" t="s">
        <v>8226</v>
      </c>
      <c r="C900" s="1" t="s">
        <v>74</v>
      </c>
      <c r="D900" s="1" t="s">
        <v>8227</v>
      </c>
      <c r="E900" s="1" t="s">
        <v>74</v>
      </c>
      <c r="F900" s="1" t="s">
        <v>8228</v>
      </c>
      <c r="G900" s="1" t="s">
        <v>74</v>
      </c>
      <c r="H900" s="1" t="s">
        <v>74</v>
      </c>
      <c r="I900" s="1" t="s">
        <v>8229</v>
      </c>
      <c r="J900" s="1" t="s">
        <v>8230</v>
      </c>
      <c r="K900" s="1" t="s">
        <v>74</v>
      </c>
      <c r="L900" s="1" t="s">
        <v>74</v>
      </c>
      <c r="M900" s="1" t="s">
        <v>74</v>
      </c>
      <c r="N900" s="1" t="s">
        <v>74</v>
      </c>
      <c r="O900" s="1" t="s">
        <v>8231</v>
      </c>
      <c r="P900" s="1" t="s">
        <v>8232</v>
      </c>
      <c r="Q900" s="1" t="s">
        <v>1265</v>
      </c>
      <c r="R900" s="1" t="s">
        <v>8233</v>
      </c>
      <c r="S900" s="1" t="s">
        <v>74</v>
      </c>
      <c r="T900" s="1" t="s">
        <v>74</v>
      </c>
      <c r="U900" s="1" t="s">
        <v>74</v>
      </c>
      <c r="V900" s="1" t="s">
        <v>74</v>
      </c>
      <c r="W900" s="1" t="s">
        <v>74</v>
      </c>
      <c r="X900" s="1" t="s">
        <v>74</v>
      </c>
      <c r="Y900" s="1" t="s">
        <v>74</v>
      </c>
      <c r="Z900" s="1" t="s">
        <v>74</v>
      </c>
      <c r="AA900" s="1" t="s">
        <v>74</v>
      </c>
      <c r="AB900" s="1" t="s">
        <v>74</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74</v>
      </c>
      <c r="AP900" s="1" t="s">
        <v>74</v>
      </c>
      <c r="AQ900" s="1" t="s">
        <v>8234</v>
      </c>
      <c r="AR900" s="1" t="s">
        <v>74</v>
      </c>
      <c r="AS900" s="1" t="s">
        <v>74</v>
      </c>
      <c r="AT900" s="1" t="s">
        <v>74</v>
      </c>
      <c r="AU900" s="1">
        <v>2016.0</v>
      </c>
      <c r="AV900" s="1" t="s">
        <v>74</v>
      </c>
      <c r="AW900" s="1" t="s">
        <v>74</v>
      </c>
      <c r="AX900" s="1" t="s">
        <v>74</v>
      </c>
      <c r="AY900" s="1" t="s">
        <v>74</v>
      </c>
      <c r="AZ900" s="1" t="s">
        <v>74</v>
      </c>
      <c r="BA900" s="1" t="s">
        <v>74</v>
      </c>
      <c r="BB900" s="1">
        <v>139.0</v>
      </c>
      <c r="BC900" s="1">
        <v>150.0</v>
      </c>
      <c r="BD900" s="1" t="s">
        <v>74</v>
      </c>
      <c r="BE900" s="1" t="s">
        <v>74</v>
      </c>
      <c r="BF900" s="1" t="s">
        <v>74</v>
      </c>
      <c r="BG900" s="1" t="s">
        <v>74</v>
      </c>
      <c r="BH900" s="1" t="s">
        <v>74</v>
      </c>
      <c r="BI900" s="1" t="s">
        <v>74</v>
      </c>
      <c r="BJ900" s="1" t="s">
        <v>74</v>
      </c>
      <c r="BK900" s="1" t="s">
        <v>74</v>
      </c>
      <c r="BL900" s="1" t="s">
        <v>74</v>
      </c>
      <c r="BM900" s="1" t="s">
        <v>74</v>
      </c>
      <c r="BN900" s="1" t="s">
        <v>74</v>
      </c>
      <c r="BO900" s="1" t="s">
        <v>74</v>
      </c>
      <c r="BP900" s="1" t="s">
        <v>74</v>
      </c>
      <c r="BQ900" s="1" t="s">
        <v>74</v>
      </c>
      <c r="BR900" s="1" t="s">
        <v>74</v>
      </c>
      <c r="BS900" s="1" t="s">
        <v>8235</v>
      </c>
      <c r="BT900" s="1" t="str">
        <f>HYPERLINK("https%3A%2F%2Fwww.webofscience.com%2Fwos%2Fwoscc%2Ffull-record%2FWOS:000382300000007","View Full Record in Web of Science")</f>
        <v>View Full Record in Web of Science</v>
      </c>
    </row>
    <row r="901" ht="12.75" customHeight="1">
      <c r="A901" s="1" t="s">
        <v>72</v>
      </c>
      <c r="B901" s="1" t="s">
        <v>8236</v>
      </c>
      <c r="C901" s="1" t="s">
        <v>74</v>
      </c>
      <c r="D901" s="1" t="s">
        <v>74</v>
      </c>
      <c r="E901" s="1" t="s">
        <v>74</v>
      </c>
      <c r="F901" s="1" t="s">
        <v>8237</v>
      </c>
      <c r="G901" s="1" t="s">
        <v>74</v>
      </c>
      <c r="H901" s="1" t="s">
        <v>74</v>
      </c>
      <c r="I901" s="1" t="s">
        <v>8238</v>
      </c>
      <c r="J901" s="1" t="s">
        <v>2214</v>
      </c>
      <c r="K901" s="1" t="s">
        <v>74</v>
      </c>
      <c r="L901" s="1" t="s">
        <v>74</v>
      </c>
      <c r="M901" s="1" t="s">
        <v>74</v>
      </c>
      <c r="N901" s="1" t="s">
        <v>74</v>
      </c>
      <c r="O901" s="1" t="s">
        <v>74</v>
      </c>
      <c r="P901" s="1" t="s">
        <v>74</v>
      </c>
      <c r="Q901" s="1" t="s">
        <v>74</v>
      </c>
      <c r="R901" s="1" t="s">
        <v>74</v>
      </c>
      <c r="S901" s="1" t="s">
        <v>74</v>
      </c>
      <c r="T901" s="1" t="s">
        <v>74</v>
      </c>
      <c r="U901" s="1" t="s">
        <v>74</v>
      </c>
      <c r="V901" s="1" t="s">
        <v>8239</v>
      </c>
      <c r="W901" s="1" t="s">
        <v>74</v>
      </c>
      <c r="X901" s="1" t="s">
        <v>74</v>
      </c>
      <c r="Y901" s="1" t="s">
        <v>74</v>
      </c>
      <c r="Z901" s="1" t="s">
        <v>74</v>
      </c>
      <c r="AA901" s="1" t="s">
        <v>74</v>
      </c>
      <c r="AB901" s="1" t="s">
        <v>74</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2217</v>
      </c>
      <c r="AP901" s="1" t="s">
        <v>74</v>
      </c>
      <c r="AQ901" s="1" t="s">
        <v>74</v>
      </c>
      <c r="AR901" s="1" t="s">
        <v>74</v>
      </c>
      <c r="AS901" s="1" t="s">
        <v>74</v>
      </c>
      <c r="AT901" s="1" t="s">
        <v>74</v>
      </c>
      <c r="AU901" s="1">
        <v>2016.0</v>
      </c>
      <c r="AV901" s="1" t="s">
        <v>74</v>
      </c>
      <c r="AW901" s="1">
        <v>513.0</v>
      </c>
      <c r="AX901" s="1" t="s">
        <v>74</v>
      </c>
      <c r="AY901" s="1" t="s">
        <v>74</v>
      </c>
      <c r="AZ901" s="1" t="s">
        <v>74</v>
      </c>
      <c r="BA901" s="1" t="s">
        <v>74</v>
      </c>
      <c r="BB901" s="1">
        <v>155.0</v>
      </c>
      <c r="BC901" s="1">
        <v>168.0</v>
      </c>
      <c r="BD901" s="1" t="s">
        <v>74</v>
      </c>
      <c r="BE901" s="1" t="s">
        <v>74</v>
      </c>
      <c r="BF901" s="1" t="s">
        <v>74</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8240</v>
      </c>
      <c r="BT901" s="1" t="str">
        <f>HYPERLINK("https%3A%2F%2Fwww.webofscience.com%2Fwos%2Fwoscc%2Ffull-record%2FWOS:000382272300010","View Full Record in Web of Science")</f>
        <v>View Full Record in Web of Science</v>
      </c>
    </row>
    <row r="902" ht="12.75" customHeight="1">
      <c r="A902" s="1" t="s">
        <v>72</v>
      </c>
      <c r="B902" s="1" t="s">
        <v>8241</v>
      </c>
      <c r="C902" s="1" t="s">
        <v>74</v>
      </c>
      <c r="D902" s="1" t="s">
        <v>74</v>
      </c>
      <c r="E902" s="1" t="s">
        <v>74</v>
      </c>
      <c r="F902" s="1" t="s">
        <v>8242</v>
      </c>
      <c r="G902" s="1" t="s">
        <v>74</v>
      </c>
      <c r="H902" s="1" t="s">
        <v>74</v>
      </c>
      <c r="I902" s="1" t="s">
        <v>8243</v>
      </c>
      <c r="J902" s="1" t="s">
        <v>8244</v>
      </c>
      <c r="K902" s="1" t="s">
        <v>74</v>
      </c>
      <c r="L902" s="1" t="s">
        <v>74</v>
      </c>
      <c r="M902" s="1" t="s">
        <v>74</v>
      </c>
      <c r="N902" s="1" t="s">
        <v>74</v>
      </c>
      <c r="O902" s="1" t="s">
        <v>74</v>
      </c>
      <c r="P902" s="1" t="s">
        <v>74</v>
      </c>
      <c r="Q902" s="1" t="s">
        <v>74</v>
      </c>
      <c r="R902" s="1" t="s">
        <v>74</v>
      </c>
      <c r="S902" s="1" t="s">
        <v>74</v>
      </c>
      <c r="T902" s="1" t="s">
        <v>74</v>
      </c>
      <c r="U902" s="1" t="s">
        <v>74</v>
      </c>
      <c r="V902" s="1" t="s">
        <v>8245</v>
      </c>
      <c r="W902" s="1" t="s">
        <v>74</v>
      </c>
      <c r="X902" s="1" t="s">
        <v>74</v>
      </c>
      <c r="Y902" s="1" t="s">
        <v>74</v>
      </c>
      <c r="Z902" s="1" t="s">
        <v>74</v>
      </c>
      <c r="AA902" s="1" t="s">
        <v>8246</v>
      </c>
      <c r="AB902" s="1" t="s">
        <v>8247</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8248</v>
      </c>
      <c r="AP902" s="1" t="s">
        <v>8249</v>
      </c>
      <c r="AQ902" s="1" t="s">
        <v>74</v>
      </c>
      <c r="AR902" s="1" t="s">
        <v>74</v>
      </c>
      <c r="AS902" s="1" t="s">
        <v>74</v>
      </c>
      <c r="AT902" s="1" t="s">
        <v>1209</v>
      </c>
      <c r="AU902" s="1">
        <v>2015.0</v>
      </c>
      <c r="AV902" s="1">
        <v>22.0</v>
      </c>
      <c r="AW902" s="1">
        <v>4.0</v>
      </c>
      <c r="AX902" s="1" t="s">
        <v>74</v>
      </c>
      <c r="AY902" s="1" t="s">
        <v>74</v>
      </c>
      <c r="AZ902" s="1" t="s">
        <v>74</v>
      </c>
      <c r="BA902" s="1" t="s">
        <v>74</v>
      </c>
      <c r="BB902" s="1">
        <v>589.0</v>
      </c>
      <c r="BC902" s="1">
        <v>602.0</v>
      </c>
      <c r="BD902" s="1" t="s">
        <v>74</v>
      </c>
      <c r="BE902" s="1" t="s">
        <v>8250</v>
      </c>
      <c r="BF902" s="2" t="str">
        <f>HYPERLINK("http://dx.doi.org/10.36045/bbms/1447856061","http://dx.doi.org/10.36045/bbms/1447856061")</f>
        <v>http://dx.doi.org/10.36045/bbms/1447856061</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8251</v>
      </c>
      <c r="BT902" s="1" t="str">
        <f>HYPERLINK("https%3A%2F%2Fwww.webofscience.com%2Fwos%2Fwoscc%2Ffull-record%2FWOS:000367703100005","View Full Record in Web of Science")</f>
        <v>View Full Record in Web of Science</v>
      </c>
    </row>
    <row r="903" ht="12.75" customHeight="1">
      <c r="A903" s="1" t="s">
        <v>72</v>
      </c>
      <c r="B903" s="1" t="s">
        <v>8252</v>
      </c>
      <c r="C903" s="1" t="s">
        <v>74</v>
      </c>
      <c r="D903" s="1" t="s">
        <v>74</v>
      </c>
      <c r="E903" s="1" t="s">
        <v>74</v>
      </c>
      <c r="F903" s="1" t="s">
        <v>8253</v>
      </c>
      <c r="G903" s="1" t="s">
        <v>74</v>
      </c>
      <c r="H903" s="1" t="s">
        <v>74</v>
      </c>
      <c r="I903" s="1" t="s">
        <v>8254</v>
      </c>
      <c r="J903" s="1" t="s">
        <v>8255</v>
      </c>
      <c r="K903" s="1" t="s">
        <v>74</v>
      </c>
      <c r="L903" s="1" t="s">
        <v>74</v>
      </c>
      <c r="M903" s="1" t="s">
        <v>74</v>
      </c>
      <c r="N903" s="1" t="s">
        <v>74</v>
      </c>
      <c r="O903" s="1" t="s">
        <v>8256</v>
      </c>
      <c r="P903" s="1" t="s">
        <v>8257</v>
      </c>
      <c r="Q903" s="1" t="s">
        <v>8258</v>
      </c>
      <c r="R903" s="1" t="s">
        <v>74</v>
      </c>
      <c r="S903" s="1" t="s">
        <v>74</v>
      </c>
      <c r="T903" s="1" t="s">
        <v>74</v>
      </c>
      <c r="U903" s="1" t="s">
        <v>74</v>
      </c>
      <c r="V903" s="1" t="s">
        <v>74</v>
      </c>
      <c r="W903" s="1" t="s">
        <v>74</v>
      </c>
      <c r="X903" s="1" t="s">
        <v>74</v>
      </c>
      <c r="Y903" s="1" t="s">
        <v>74</v>
      </c>
      <c r="Z903" s="1" t="s">
        <v>74</v>
      </c>
      <c r="AA903" s="1" t="s">
        <v>8259</v>
      </c>
      <c r="AB903" s="1" t="s">
        <v>74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8260</v>
      </c>
      <c r="AP903" s="1" t="s">
        <v>8261</v>
      </c>
      <c r="AQ903" s="1" t="s">
        <v>74</v>
      </c>
      <c r="AR903" s="1" t="s">
        <v>74</v>
      </c>
      <c r="AS903" s="1" t="s">
        <v>74</v>
      </c>
      <c r="AT903" s="1" t="s">
        <v>343</v>
      </c>
      <c r="AU903" s="1">
        <v>2015.0</v>
      </c>
      <c r="AV903" s="1">
        <v>63.0</v>
      </c>
      <c r="AW903" s="1" t="s">
        <v>74</v>
      </c>
      <c r="AX903" s="1" t="s">
        <v>74</v>
      </c>
      <c r="AY903" s="1">
        <v>1.0</v>
      </c>
      <c r="AZ903" s="1" t="s">
        <v>74</v>
      </c>
      <c r="BA903" s="1" t="s">
        <v>8262</v>
      </c>
      <c r="BB903" s="1" t="s">
        <v>8263</v>
      </c>
      <c r="BC903" s="1" t="s">
        <v>8264</v>
      </c>
      <c r="BD903" s="1" t="s">
        <v>74</v>
      </c>
      <c r="BE903" s="1" t="s">
        <v>74</v>
      </c>
      <c r="BF903" s="1" t="s">
        <v>74</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8265</v>
      </c>
      <c r="BT903" s="1" t="str">
        <f>HYPERLINK("https%3A%2F%2Fwww.webofscience.com%2Fwos%2Fwoscc%2Ffull-record%2FWOS:000356386700352","View Full Record in Web of Science")</f>
        <v>View Full Record in Web of Science</v>
      </c>
    </row>
    <row r="904" ht="12.75" customHeight="1">
      <c r="A904" s="1" t="s">
        <v>72</v>
      </c>
      <c r="B904" s="1" t="s">
        <v>8266</v>
      </c>
      <c r="C904" s="1" t="s">
        <v>74</v>
      </c>
      <c r="D904" s="1" t="s">
        <v>74</v>
      </c>
      <c r="E904" s="1" t="s">
        <v>74</v>
      </c>
      <c r="F904" s="1" t="s">
        <v>8267</v>
      </c>
      <c r="G904" s="1" t="s">
        <v>74</v>
      </c>
      <c r="H904" s="1" t="s">
        <v>74</v>
      </c>
      <c r="I904" s="1" t="s">
        <v>8268</v>
      </c>
      <c r="J904" s="1" t="s">
        <v>8269</v>
      </c>
      <c r="K904" s="1" t="s">
        <v>74</v>
      </c>
      <c r="L904" s="1" t="s">
        <v>74</v>
      </c>
      <c r="M904" s="1" t="s">
        <v>74</v>
      </c>
      <c r="N904" s="1" t="s">
        <v>74</v>
      </c>
      <c r="O904" s="1" t="s">
        <v>74</v>
      </c>
      <c r="P904" s="1" t="s">
        <v>74</v>
      </c>
      <c r="Q904" s="1" t="s">
        <v>74</v>
      </c>
      <c r="R904" s="1" t="s">
        <v>74</v>
      </c>
      <c r="S904" s="1" t="s">
        <v>74</v>
      </c>
      <c r="T904" s="1" t="s">
        <v>74</v>
      </c>
      <c r="U904" s="1" t="s">
        <v>74</v>
      </c>
      <c r="V904" s="1" t="s">
        <v>8270</v>
      </c>
      <c r="W904" s="1" t="s">
        <v>74</v>
      </c>
      <c r="X904" s="1" t="s">
        <v>74</v>
      </c>
      <c r="Y904" s="1" t="s">
        <v>74</v>
      </c>
      <c r="Z904" s="1" t="s">
        <v>74</v>
      </c>
      <c r="AA904" s="1" t="s">
        <v>8271</v>
      </c>
      <c r="AB904" s="1" t="s">
        <v>8272</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8273</v>
      </c>
      <c r="AP904" s="1" t="s">
        <v>8274</v>
      </c>
      <c r="AQ904" s="1" t="s">
        <v>74</v>
      </c>
      <c r="AR904" s="1" t="s">
        <v>74</v>
      </c>
      <c r="AS904" s="1" t="s">
        <v>74</v>
      </c>
      <c r="AT904" s="1" t="s">
        <v>353</v>
      </c>
      <c r="AU904" s="1">
        <v>2014.0</v>
      </c>
      <c r="AV904" s="1">
        <v>26.0</v>
      </c>
      <c r="AW904" s="1">
        <v>5.0</v>
      </c>
      <c r="AX904" s="1" t="s">
        <v>74</v>
      </c>
      <c r="AY904" s="1" t="s">
        <v>74</v>
      </c>
      <c r="AZ904" s="1" t="s">
        <v>74</v>
      </c>
      <c r="BA904" s="1" t="s">
        <v>74</v>
      </c>
      <c r="BB904" s="1">
        <v>2011.0</v>
      </c>
      <c r="BC904" s="1">
        <v>2019.0</v>
      </c>
      <c r="BD904" s="1" t="s">
        <v>74</v>
      </c>
      <c r="BE904" s="1" t="s">
        <v>8275</v>
      </c>
      <c r="BF904" s="2" t="str">
        <f>HYPERLINK("http://dx.doi.org/10.1007/s10811-014-0297-3","http://dx.doi.org/10.1007/s10811-014-0297-3")</f>
        <v>http://dx.doi.org/10.1007/s10811-014-0297-3</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8276</v>
      </c>
      <c r="BT904" s="1" t="str">
        <f>HYPERLINK("https%3A%2F%2Fwww.webofscience.com%2Fwos%2Fwoscc%2Ffull-record%2FWOS:000343998400009","View Full Record in Web of Science")</f>
        <v>View Full Record in Web of Science</v>
      </c>
    </row>
    <row r="905" ht="12.75" customHeight="1">
      <c r="A905" s="1" t="s">
        <v>442</v>
      </c>
      <c r="B905" s="1" t="s">
        <v>8277</v>
      </c>
      <c r="C905" s="1" t="s">
        <v>74</v>
      </c>
      <c r="D905" s="1" t="s">
        <v>8278</v>
      </c>
      <c r="E905" s="1" t="s">
        <v>74</v>
      </c>
      <c r="F905" s="1" t="s">
        <v>8279</v>
      </c>
      <c r="G905" s="1" t="s">
        <v>74</v>
      </c>
      <c r="H905" s="1" t="s">
        <v>74</v>
      </c>
      <c r="I905" s="1" t="s">
        <v>8280</v>
      </c>
      <c r="J905" s="1" t="s">
        <v>8281</v>
      </c>
      <c r="K905" s="1" t="s">
        <v>8282</v>
      </c>
      <c r="L905" s="1" t="s">
        <v>74</v>
      </c>
      <c r="M905" s="1" t="s">
        <v>74</v>
      </c>
      <c r="N905" s="1" t="s">
        <v>74</v>
      </c>
      <c r="O905" s="1" t="s">
        <v>74</v>
      </c>
      <c r="P905" s="1" t="s">
        <v>74</v>
      </c>
      <c r="Q905" s="1" t="s">
        <v>74</v>
      </c>
      <c r="R905" s="1" t="s">
        <v>74</v>
      </c>
      <c r="S905" s="1" t="s">
        <v>74</v>
      </c>
      <c r="T905" s="1" t="s">
        <v>74</v>
      </c>
      <c r="U905" s="1" t="s">
        <v>74</v>
      </c>
      <c r="V905" s="1" t="s">
        <v>74</v>
      </c>
      <c r="W905" s="1" t="s">
        <v>74</v>
      </c>
      <c r="X905" s="1" t="s">
        <v>74</v>
      </c>
      <c r="Y905" s="1" t="s">
        <v>74</v>
      </c>
      <c r="Z905" s="1" t="s">
        <v>74</v>
      </c>
      <c r="AA905" s="1" t="s">
        <v>74</v>
      </c>
      <c r="AB905" s="1" t="s">
        <v>74</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74</v>
      </c>
      <c r="AP905" s="1" t="s">
        <v>74</v>
      </c>
      <c r="AQ905" s="1" t="s">
        <v>8283</v>
      </c>
      <c r="AR905" s="1" t="s">
        <v>74</v>
      </c>
      <c r="AS905" s="1" t="s">
        <v>74</v>
      </c>
      <c r="AT905" s="1" t="s">
        <v>74</v>
      </c>
      <c r="AU905" s="1">
        <v>2014.0</v>
      </c>
      <c r="AV905" s="1" t="s">
        <v>74</v>
      </c>
      <c r="AW905" s="1" t="s">
        <v>74</v>
      </c>
      <c r="AX905" s="1" t="s">
        <v>74</v>
      </c>
      <c r="AY905" s="1" t="s">
        <v>74</v>
      </c>
      <c r="AZ905" s="1" t="s">
        <v>74</v>
      </c>
      <c r="BA905" s="1" t="s">
        <v>74</v>
      </c>
      <c r="BB905" s="1">
        <v>254.0</v>
      </c>
      <c r="BC905" s="1">
        <v>271.0</v>
      </c>
      <c r="BD905" s="1" t="s">
        <v>74</v>
      </c>
      <c r="BE905" s="1" t="s">
        <v>74</v>
      </c>
      <c r="BF905" s="1" t="s">
        <v>74</v>
      </c>
      <c r="BG905" s="1" t="s">
        <v>8284</v>
      </c>
      <c r="BH905" s="1" t="s">
        <v>74</v>
      </c>
      <c r="BI905" s="1" t="s">
        <v>74</v>
      </c>
      <c r="BJ905" s="1" t="s">
        <v>74</v>
      </c>
      <c r="BK905" s="1" t="s">
        <v>74</v>
      </c>
      <c r="BL905" s="1" t="s">
        <v>74</v>
      </c>
      <c r="BM905" s="1" t="s">
        <v>74</v>
      </c>
      <c r="BN905" s="1" t="s">
        <v>74</v>
      </c>
      <c r="BO905" s="1" t="s">
        <v>74</v>
      </c>
      <c r="BP905" s="1" t="s">
        <v>74</v>
      </c>
      <c r="BQ905" s="1" t="s">
        <v>74</v>
      </c>
      <c r="BR905" s="1" t="s">
        <v>74</v>
      </c>
      <c r="BS905" s="1" t="s">
        <v>8285</v>
      </c>
      <c r="BT905" s="1" t="str">
        <f>HYPERLINK("https%3A%2F%2Fwww.webofscience.com%2Fwos%2Fwoscc%2Ffull-record%2FWOS:000346496300016","View Full Record in Web of Science")</f>
        <v>View Full Record in Web of Science</v>
      </c>
    </row>
    <row r="906" ht="12.75" customHeight="1">
      <c r="A906" s="1" t="s">
        <v>72</v>
      </c>
      <c r="B906" s="1" t="s">
        <v>8286</v>
      </c>
      <c r="C906" s="1" t="s">
        <v>74</v>
      </c>
      <c r="D906" s="1" t="s">
        <v>74</v>
      </c>
      <c r="E906" s="1" t="s">
        <v>74</v>
      </c>
      <c r="F906" s="1" t="s">
        <v>8287</v>
      </c>
      <c r="G906" s="1" t="s">
        <v>74</v>
      </c>
      <c r="H906" s="1" t="s">
        <v>74</v>
      </c>
      <c r="I906" s="1" t="s">
        <v>8288</v>
      </c>
      <c r="J906" s="1" t="s">
        <v>8289</v>
      </c>
      <c r="K906" s="1" t="s">
        <v>74</v>
      </c>
      <c r="L906" s="1" t="s">
        <v>74</v>
      </c>
      <c r="M906" s="1" t="s">
        <v>74</v>
      </c>
      <c r="N906" s="1" t="s">
        <v>74</v>
      </c>
      <c r="O906" s="1" t="s">
        <v>74</v>
      </c>
      <c r="P906" s="1" t="s">
        <v>74</v>
      </c>
      <c r="Q906" s="1" t="s">
        <v>74</v>
      </c>
      <c r="R906" s="1" t="s">
        <v>74</v>
      </c>
      <c r="S906" s="1" t="s">
        <v>74</v>
      </c>
      <c r="T906" s="1" t="s">
        <v>74</v>
      </c>
      <c r="U906" s="1" t="s">
        <v>74</v>
      </c>
      <c r="V906" s="1" t="s">
        <v>8290</v>
      </c>
      <c r="W906" s="1" t="s">
        <v>74</v>
      </c>
      <c r="X906" s="1" t="s">
        <v>74</v>
      </c>
      <c r="Y906" s="1" t="s">
        <v>74</v>
      </c>
      <c r="Z906" s="1" t="s">
        <v>74</v>
      </c>
      <c r="AA906" s="1" t="s">
        <v>8291</v>
      </c>
      <c r="AB906" s="1" t="s">
        <v>8292</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8293</v>
      </c>
      <c r="AP906" s="1" t="s">
        <v>74</v>
      </c>
      <c r="AQ906" s="1" t="s">
        <v>74</v>
      </c>
      <c r="AR906" s="1" t="s">
        <v>74</v>
      </c>
      <c r="AS906" s="1" t="s">
        <v>74</v>
      </c>
      <c r="AT906" s="1" t="s">
        <v>343</v>
      </c>
      <c r="AU906" s="1">
        <v>2013.0</v>
      </c>
      <c r="AV906" s="1">
        <v>26.0</v>
      </c>
      <c r="AW906" s="1">
        <v>5.0</v>
      </c>
      <c r="AX906" s="1" t="s">
        <v>74</v>
      </c>
      <c r="AY906" s="1" t="s">
        <v>74</v>
      </c>
      <c r="AZ906" s="1" t="s">
        <v>74</v>
      </c>
      <c r="BA906" s="1" t="s">
        <v>74</v>
      </c>
      <c r="BB906" s="1">
        <v>249.0</v>
      </c>
      <c r="BC906" s="1">
        <v>265.0</v>
      </c>
      <c r="BD906" s="1" t="s">
        <v>74</v>
      </c>
      <c r="BE906" s="1" t="s">
        <v>8294</v>
      </c>
      <c r="BF906" s="2" t="str">
        <f>HYPERLINK("http://dx.doi.org/10.1002/pts.1981","http://dx.doi.org/10.1002/pts.1981")</f>
        <v>http://dx.doi.org/10.1002/pts.1981</v>
      </c>
      <c r="BG906" s="1" t="s">
        <v>74</v>
      </c>
      <c r="BH906" s="1" t="s">
        <v>74</v>
      </c>
      <c r="BI906" s="1" t="s">
        <v>74</v>
      </c>
      <c r="BJ906" s="1" t="s">
        <v>74</v>
      </c>
      <c r="BK906" s="1" t="s">
        <v>74</v>
      </c>
      <c r="BL906" s="1" t="s">
        <v>74</v>
      </c>
      <c r="BM906" s="1" t="s">
        <v>74</v>
      </c>
      <c r="BN906" s="1" t="s">
        <v>74</v>
      </c>
      <c r="BO906" s="1" t="s">
        <v>74</v>
      </c>
      <c r="BP906" s="1" t="s">
        <v>74</v>
      </c>
      <c r="BQ906" s="1" t="s">
        <v>74</v>
      </c>
      <c r="BR906" s="1" t="s">
        <v>74</v>
      </c>
      <c r="BS906" s="1" t="s">
        <v>8295</v>
      </c>
      <c r="BT906" s="1" t="str">
        <f>HYPERLINK("https%3A%2F%2Fwww.webofscience.com%2Fwos%2Fwoscc%2Ffull-record%2FWOS:000323539400001","View Full Record in Web of Science")</f>
        <v>View Full Record in Web of Science</v>
      </c>
    </row>
    <row r="907" ht="12.75" customHeight="1">
      <c r="A907" s="1" t="s">
        <v>72</v>
      </c>
      <c r="B907" s="1" t="s">
        <v>8296</v>
      </c>
      <c r="C907" s="1" t="s">
        <v>74</v>
      </c>
      <c r="D907" s="1" t="s">
        <v>74</v>
      </c>
      <c r="E907" s="1" t="s">
        <v>74</v>
      </c>
      <c r="F907" s="1" t="s">
        <v>8297</v>
      </c>
      <c r="G907" s="1" t="s">
        <v>74</v>
      </c>
      <c r="H907" s="1" t="s">
        <v>74</v>
      </c>
      <c r="I907" s="1" t="s">
        <v>8298</v>
      </c>
      <c r="J907" s="1" t="s">
        <v>8299</v>
      </c>
      <c r="K907" s="1" t="s">
        <v>74</v>
      </c>
      <c r="L907" s="1" t="s">
        <v>74</v>
      </c>
      <c r="M907" s="1" t="s">
        <v>74</v>
      </c>
      <c r="N907" s="1" t="s">
        <v>74</v>
      </c>
      <c r="O907" s="1" t="s">
        <v>74</v>
      </c>
      <c r="P907" s="1" t="s">
        <v>74</v>
      </c>
      <c r="Q907" s="1" t="s">
        <v>74</v>
      </c>
      <c r="R907" s="1" t="s">
        <v>74</v>
      </c>
      <c r="S907" s="1" t="s">
        <v>74</v>
      </c>
      <c r="T907" s="1" t="s">
        <v>74</v>
      </c>
      <c r="U907" s="1" t="s">
        <v>74</v>
      </c>
      <c r="V907" s="1" t="s">
        <v>8300</v>
      </c>
      <c r="W907" s="1" t="s">
        <v>74</v>
      </c>
      <c r="X907" s="1" t="s">
        <v>74</v>
      </c>
      <c r="Y907" s="1" t="s">
        <v>74</v>
      </c>
      <c r="Z907" s="1" t="s">
        <v>74</v>
      </c>
      <c r="AA907" s="1" t="s">
        <v>8301</v>
      </c>
      <c r="AB907" s="1" t="s">
        <v>8302</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8303</v>
      </c>
      <c r="AP907" s="1" t="s">
        <v>74</v>
      </c>
      <c r="AQ907" s="1" t="s">
        <v>74</v>
      </c>
      <c r="AR907" s="1" t="s">
        <v>74</v>
      </c>
      <c r="AS907" s="1" t="s">
        <v>74</v>
      </c>
      <c r="AT907" s="1" t="s">
        <v>183</v>
      </c>
      <c r="AU907" s="1">
        <v>2013.0</v>
      </c>
      <c r="AV907" s="1" t="s">
        <v>74</v>
      </c>
      <c r="AW907" s="1">
        <v>5.0</v>
      </c>
      <c r="AX907" s="1" t="s">
        <v>74</v>
      </c>
      <c r="AY907" s="1" t="s">
        <v>74</v>
      </c>
      <c r="AZ907" s="1" t="s">
        <v>74</v>
      </c>
      <c r="BA907" s="1" t="s">
        <v>74</v>
      </c>
      <c r="BB907" s="1" t="s">
        <v>74</v>
      </c>
      <c r="BC907" s="1" t="s">
        <v>74</v>
      </c>
      <c r="BD907" s="1">
        <v>34.0</v>
      </c>
      <c r="BE907" s="1" t="s">
        <v>8304</v>
      </c>
      <c r="BF907" s="2" t="str">
        <f>HYPERLINK("http://dx.doi.org/10.1088/1475-7516/2013/05/034","http://dx.doi.org/10.1088/1475-7516/2013/05/034")</f>
        <v>http://dx.doi.org/10.1088/1475-7516/2013/05/034</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8305</v>
      </c>
      <c r="BT907" s="1" t="str">
        <f>HYPERLINK("https%3A%2F%2Fwww.webofscience.com%2Fwos%2Fwoscc%2Ffull-record%2FWOS:000320161400036","View Full Record in Web of Science")</f>
        <v>View Full Record in Web of Science</v>
      </c>
    </row>
    <row r="908" ht="12.75" customHeight="1">
      <c r="A908" s="1" t="s">
        <v>72</v>
      </c>
      <c r="B908" s="1" t="s">
        <v>8306</v>
      </c>
      <c r="C908" s="1" t="s">
        <v>74</v>
      </c>
      <c r="D908" s="1" t="s">
        <v>74</v>
      </c>
      <c r="E908" s="1" t="s">
        <v>74</v>
      </c>
      <c r="F908" s="1" t="s">
        <v>8307</v>
      </c>
      <c r="G908" s="1" t="s">
        <v>74</v>
      </c>
      <c r="H908" s="1" t="s">
        <v>74</v>
      </c>
      <c r="I908" s="1" t="s">
        <v>8308</v>
      </c>
      <c r="J908" s="1" t="s">
        <v>8309</v>
      </c>
      <c r="K908" s="1" t="s">
        <v>74</v>
      </c>
      <c r="L908" s="1" t="s">
        <v>74</v>
      </c>
      <c r="M908" s="1" t="s">
        <v>74</v>
      </c>
      <c r="N908" s="1" t="s">
        <v>74</v>
      </c>
      <c r="O908" s="1" t="s">
        <v>74</v>
      </c>
      <c r="P908" s="1" t="s">
        <v>74</v>
      </c>
      <c r="Q908" s="1" t="s">
        <v>74</v>
      </c>
      <c r="R908" s="1" t="s">
        <v>74</v>
      </c>
      <c r="S908" s="1" t="s">
        <v>74</v>
      </c>
      <c r="T908" s="1" t="s">
        <v>74</v>
      </c>
      <c r="U908" s="1" t="s">
        <v>74</v>
      </c>
      <c r="V908" s="1" t="s">
        <v>8310</v>
      </c>
      <c r="W908" s="1" t="s">
        <v>74</v>
      </c>
      <c r="X908" s="1" t="s">
        <v>74</v>
      </c>
      <c r="Y908" s="1" t="s">
        <v>74</v>
      </c>
      <c r="Z908" s="1" t="s">
        <v>74</v>
      </c>
      <c r="AA908" s="1" t="s">
        <v>8311</v>
      </c>
      <c r="AB908" s="1" t="s">
        <v>2980</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8312</v>
      </c>
      <c r="AP908" s="1" t="s">
        <v>74</v>
      </c>
      <c r="AQ908" s="1" t="s">
        <v>74</v>
      </c>
      <c r="AR908" s="1" t="s">
        <v>74</v>
      </c>
      <c r="AS908" s="1" t="s">
        <v>74</v>
      </c>
      <c r="AT908" s="1" t="s">
        <v>74</v>
      </c>
      <c r="AU908" s="1">
        <v>2013.0</v>
      </c>
      <c r="AV908" s="1">
        <v>77.0</v>
      </c>
      <c r="AW908" s="1">
        <v>1.0</v>
      </c>
      <c r="AX908" s="1" t="s">
        <v>74</v>
      </c>
      <c r="AY908" s="1" t="s">
        <v>74</v>
      </c>
      <c r="AZ908" s="1" t="s">
        <v>74</v>
      </c>
      <c r="BA908" s="1" t="s">
        <v>74</v>
      </c>
      <c r="BB908" s="1">
        <v>1.0</v>
      </c>
      <c r="BC908" s="1">
        <v>9.0</v>
      </c>
      <c r="BD908" s="1" t="s">
        <v>74</v>
      </c>
      <c r="BE908" s="1" t="s">
        <v>8313</v>
      </c>
      <c r="BF908" s="2" t="str">
        <f>HYPERLINK("http://dx.doi.org/10.4067/S0717-65382013000100001","http://dx.doi.org/10.4067/S0717-65382013000100001")</f>
        <v>http://dx.doi.org/10.4067/S0717-65382013000100001</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8314</v>
      </c>
      <c r="BT908" s="1" t="str">
        <f>HYPERLINK("https%3A%2F%2Fwww.webofscience.com%2Fwos%2Fwoscc%2Ffull-record%2FWOS:000326002500001","View Full Record in Web of Science")</f>
        <v>View Full Record in Web of Science</v>
      </c>
    </row>
    <row r="909" ht="12.75" customHeight="1">
      <c r="A909" s="1" t="s">
        <v>241</v>
      </c>
      <c r="B909" s="1" t="s">
        <v>8315</v>
      </c>
      <c r="C909" s="1" t="s">
        <v>74</v>
      </c>
      <c r="D909" s="1" t="s">
        <v>4616</v>
      </c>
      <c r="E909" s="1" t="s">
        <v>74</v>
      </c>
      <c r="F909" s="1" t="s">
        <v>8316</v>
      </c>
      <c r="G909" s="1" t="s">
        <v>74</v>
      </c>
      <c r="H909" s="1" t="s">
        <v>74</v>
      </c>
      <c r="I909" s="1" t="s">
        <v>8317</v>
      </c>
      <c r="J909" s="1" t="s">
        <v>8318</v>
      </c>
      <c r="K909" s="1" t="s">
        <v>8319</v>
      </c>
      <c r="L909" s="1" t="s">
        <v>74</v>
      </c>
      <c r="M909" s="1" t="s">
        <v>74</v>
      </c>
      <c r="N909" s="1" t="s">
        <v>74</v>
      </c>
      <c r="O909" s="1" t="s">
        <v>8320</v>
      </c>
      <c r="P909" s="1" t="s">
        <v>8321</v>
      </c>
      <c r="Q909" s="1" t="s">
        <v>5460</v>
      </c>
      <c r="R909" s="1" t="s">
        <v>74</v>
      </c>
      <c r="S909" s="1" t="s">
        <v>74</v>
      </c>
      <c r="T909" s="1" t="s">
        <v>74</v>
      </c>
      <c r="U909" s="1" t="s">
        <v>74</v>
      </c>
      <c r="V909" s="1" t="s">
        <v>8322</v>
      </c>
      <c r="W909" s="1" t="s">
        <v>74</v>
      </c>
      <c r="X909" s="1" t="s">
        <v>74</v>
      </c>
      <c r="Y909" s="1" t="s">
        <v>74</v>
      </c>
      <c r="Z909" s="1" t="s">
        <v>74</v>
      </c>
      <c r="AA909" s="1" t="s">
        <v>74</v>
      </c>
      <c r="AB909" s="1" t="s">
        <v>74</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8323</v>
      </c>
      <c r="AP909" s="1" t="s">
        <v>74</v>
      </c>
      <c r="AQ909" s="1" t="s">
        <v>8324</v>
      </c>
      <c r="AR909" s="1" t="s">
        <v>74</v>
      </c>
      <c r="AS909" s="1" t="s">
        <v>74</v>
      </c>
      <c r="AT909" s="1" t="s">
        <v>74</v>
      </c>
      <c r="AU909" s="1">
        <v>2013.0</v>
      </c>
      <c r="AV909" s="1" t="s">
        <v>74</v>
      </c>
      <c r="AW909" s="1" t="s">
        <v>74</v>
      </c>
      <c r="AX909" s="1" t="s">
        <v>74</v>
      </c>
      <c r="AY909" s="1" t="s">
        <v>74</v>
      </c>
      <c r="AZ909" s="1" t="s">
        <v>74</v>
      </c>
      <c r="BA909" s="1" t="s">
        <v>74</v>
      </c>
      <c r="BB909" s="1">
        <v>1064.0</v>
      </c>
      <c r="BC909" s="1">
        <v>1068.0</v>
      </c>
      <c r="BD909" s="1" t="s">
        <v>74</v>
      </c>
      <c r="BE909" s="1" t="s">
        <v>74</v>
      </c>
      <c r="BF909" s="1" t="s">
        <v>74</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8325</v>
      </c>
      <c r="BT909" s="1" t="str">
        <f>HYPERLINK("https%3A%2F%2Fwww.webofscience.com%2Fwos%2Fwoscc%2Ffull-record%2FWOS:000346798301014","View Full Record in Web of Science")</f>
        <v>View Full Record in Web of Science</v>
      </c>
    </row>
    <row r="910" ht="12.75" customHeight="1">
      <c r="A910" s="1" t="s">
        <v>72</v>
      </c>
      <c r="B910" s="1" t="s">
        <v>8326</v>
      </c>
      <c r="C910" s="1" t="s">
        <v>74</v>
      </c>
      <c r="D910" s="1" t="s">
        <v>74</v>
      </c>
      <c r="E910" s="1" t="s">
        <v>74</v>
      </c>
      <c r="F910" s="1" t="s">
        <v>8327</v>
      </c>
      <c r="G910" s="1" t="s">
        <v>74</v>
      </c>
      <c r="H910" s="1" t="s">
        <v>74</v>
      </c>
      <c r="I910" s="1" t="s">
        <v>8328</v>
      </c>
      <c r="J910" s="1" t="s">
        <v>8329</v>
      </c>
      <c r="K910" s="1" t="s">
        <v>74</v>
      </c>
      <c r="L910" s="1" t="s">
        <v>74</v>
      </c>
      <c r="M910" s="1" t="s">
        <v>74</v>
      </c>
      <c r="N910" s="1" t="s">
        <v>74</v>
      </c>
      <c r="O910" s="1" t="s">
        <v>74</v>
      </c>
      <c r="P910" s="1" t="s">
        <v>74</v>
      </c>
      <c r="Q910" s="1" t="s">
        <v>74</v>
      </c>
      <c r="R910" s="1" t="s">
        <v>74</v>
      </c>
      <c r="S910" s="1" t="s">
        <v>74</v>
      </c>
      <c r="T910" s="1" t="s">
        <v>74</v>
      </c>
      <c r="U910" s="1" t="s">
        <v>74</v>
      </c>
      <c r="V910" s="1" t="s">
        <v>8330</v>
      </c>
      <c r="W910" s="1" t="s">
        <v>74</v>
      </c>
      <c r="X910" s="1" t="s">
        <v>74</v>
      </c>
      <c r="Y910" s="1" t="s">
        <v>74</v>
      </c>
      <c r="Z910" s="1" t="s">
        <v>74</v>
      </c>
      <c r="AA910" s="1" t="s">
        <v>8331</v>
      </c>
      <c r="AB910" s="1" t="s">
        <v>8332</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8333</v>
      </c>
      <c r="AP910" s="1" t="s">
        <v>74</v>
      </c>
      <c r="AQ910" s="1" t="s">
        <v>74</v>
      </c>
      <c r="AR910" s="1" t="s">
        <v>74</v>
      </c>
      <c r="AS910" s="1" t="s">
        <v>74</v>
      </c>
      <c r="AT910" s="1" t="s">
        <v>7245</v>
      </c>
      <c r="AU910" s="1">
        <v>2011.0</v>
      </c>
      <c r="AV910" s="1">
        <v>30.0</v>
      </c>
      <c r="AW910" s="1">
        <v>4.0</v>
      </c>
      <c r="AX910" s="1" t="s">
        <v>74</v>
      </c>
      <c r="AY910" s="1" t="s">
        <v>74</v>
      </c>
      <c r="AZ910" s="1" t="s">
        <v>74</v>
      </c>
      <c r="BA910" s="1" t="s">
        <v>74</v>
      </c>
      <c r="BB910" s="1">
        <v>684.0</v>
      </c>
      <c r="BC910" s="1">
        <v>688.0</v>
      </c>
      <c r="BD910" s="1" t="s">
        <v>74</v>
      </c>
      <c r="BE910" s="1" t="s">
        <v>8334</v>
      </c>
      <c r="BF910" s="2" t="str">
        <f>HYPERLINK("http://dx.doi.org/10.1021/om100960t","http://dx.doi.org/10.1021/om100960t")</f>
        <v>http://dx.doi.org/10.1021/om100960t</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8335</v>
      </c>
      <c r="BT910" s="1" t="str">
        <f>HYPERLINK("https%3A%2F%2Fwww.webofscience.com%2Fwos%2Fwoscc%2Ffull-record%2FWOS:000287546600006","View Full Record in Web of Science")</f>
        <v>View Full Record in Web of Science</v>
      </c>
    </row>
    <row r="911" ht="12.75" customHeight="1">
      <c r="A911" s="1" t="s">
        <v>72</v>
      </c>
      <c r="B911" s="1" t="s">
        <v>8336</v>
      </c>
      <c r="C911" s="1" t="s">
        <v>74</v>
      </c>
      <c r="D911" s="1" t="s">
        <v>74</v>
      </c>
      <c r="E911" s="1" t="s">
        <v>74</v>
      </c>
      <c r="F911" s="1" t="s">
        <v>8337</v>
      </c>
      <c r="G911" s="1" t="s">
        <v>74</v>
      </c>
      <c r="H911" s="1" t="s">
        <v>74</v>
      </c>
      <c r="I911" s="1" t="s">
        <v>8338</v>
      </c>
      <c r="J911" s="1" t="s">
        <v>8339</v>
      </c>
      <c r="K911" s="1" t="s">
        <v>74</v>
      </c>
      <c r="L911" s="1" t="s">
        <v>74</v>
      </c>
      <c r="M911" s="1" t="s">
        <v>74</v>
      </c>
      <c r="N911" s="1" t="s">
        <v>74</v>
      </c>
      <c r="O911" s="1" t="s">
        <v>74</v>
      </c>
      <c r="P911" s="1" t="s">
        <v>74</v>
      </c>
      <c r="Q911" s="1" t="s">
        <v>74</v>
      </c>
      <c r="R911" s="1" t="s">
        <v>74</v>
      </c>
      <c r="S911" s="1" t="s">
        <v>74</v>
      </c>
      <c r="T911" s="1" t="s">
        <v>74</v>
      </c>
      <c r="U911" s="1" t="s">
        <v>74</v>
      </c>
      <c r="V911" s="1" t="s">
        <v>8340</v>
      </c>
      <c r="W911" s="1" t="s">
        <v>74</v>
      </c>
      <c r="X911" s="1" t="s">
        <v>74</v>
      </c>
      <c r="Y911" s="1" t="s">
        <v>74</v>
      </c>
      <c r="Z911" s="1" t="s">
        <v>74</v>
      </c>
      <c r="AA911" s="1" t="s">
        <v>8341</v>
      </c>
      <c r="AB911" s="1" t="s">
        <v>74</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8342</v>
      </c>
      <c r="AP911" s="1" t="s">
        <v>8343</v>
      </c>
      <c r="AQ911" s="1" t="s">
        <v>74</v>
      </c>
      <c r="AR911" s="1" t="s">
        <v>74</v>
      </c>
      <c r="AS911" s="1" t="s">
        <v>74</v>
      </c>
      <c r="AT911" s="1" t="s">
        <v>239</v>
      </c>
      <c r="AU911" s="1">
        <v>2011.0</v>
      </c>
      <c r="AV911" s="1">
        <v>26.0</v>
      </c>
      <c r="AW911" s="1">
        <v>1.0</v>
      </c>
      <c r="AX911" s="1" t="s">
        <v>74</v>
      </c>
      <c r="AY911" s="1" t="s">
        <v>74</v>
      </c>
      <c r="AZ911" s="1" t="s">
        <v>74</v>
      </c>
      <c r="BA911" s="1" t="s">
        <v>74</v>
      </c>
      <c r="BB911" s="1">
        <v>45.0</v>
      </c>
      <c r="BC911" s="1">
        <v>52.0</v>
      </c>
      <c r="BD911" s="1" t="s">
        <v>74</v>
      </c>
      <c r="BE911" s="1" t="s">
        <v>8344</v>
      </c>
      <c r="BF911" s="2" t="str">
        <f>HYPERLINK("http://dx.doi.org/10.1016/j.nrl.2010.09.019","http://dx.doi.org/10.1016/j.nrl.2010.09.019")</f>
        <v>http://dx.doi.org/10.1016/j.nrl.2010.09.019</v>
      </c>
      <c r="BG911" s="1" t="s">
        <v>74</v>
      </c>
      <c r="BH911" s="1" t="s">
        <v>74</v>
      </c>
      <c r="BI911" s="1" t="s">
        <v>74</v>
      </c>
      <c r="BJ911" s="1" t="s">
        <v>74</v>
      </c>
      <c r="BK911" s="1" t="s">
        <v>74</v>
      </c>
      <c r="BL911" s="1" t="s">
        <v>74</v>
      </c>
      <c r="BM911" s="1" t="s">
        <v>74</v>
      </c>
      <c r="BN911" s="1">
        <v>2.1163218E7</v>
      </c>
      <c r="BO911" s="1" t="s">
        <v>74</v>
      </c>
      <c r="BP911" s="1" t="s">
        <v>74</v>
      </c>
      <c r="BQ911" s="1" t="s">
        <v>74</v>
      </c>
      <c r="BR911" s="1" t="s">
        <v>74</v>
      </c>
      <c r="BS911" s="1" t="s">
        <v>8345</v>
      </c>
      <c r="BT911" s="1" t="str">
        <f>HYPERLINK("https%3A%2F%2Fwww.webofscience.com%2Fwos%2Fwoscc%2Ffull-record%2FWOS:000288842900008","View Full Record in Web of Science")</f>
        <v>View Full Record in Web of Science</v>
      </c>
    </row>
    <row r="912" ht="12.75" customHeight="1">
      <c r="A912" s="1" t="s">
        <v>72</v>
      </c>
      <c r="B912" s="1" t="s">
        <v>1386</v>
      </c>
      <c r="C912" s="1" t="s">
        <v>74</v>
      </c>
      <c r="D912" s="1" t="s">
        <v>74</v>
      </c>
      <c r="E912" s="1" t="s">
        <v>74</v>
      </c>
      <c r="F912" s="1" t="s">
        <v>1387</v>
      </c>
      <c r="G912" s="1" t="s">
        <v>74</v>
      </c>
      <c r="H912" s="1" t="s">
        <v>74</v>
      </c>
      <c r="I912" s="1" t="s">
        <v>8346</v>
      </c>
      <c r="J912" s="1" t="s">
        <v>2214</v>
      </c>
      <c r="K912" s="1" t="s">
        <v>74</v>
      </c>
      <c r="L912" s="1" t="s">
        <v>74</v>
      </c>
      <c r="M912" s="1" t="s">
        <v>74</v>
      </c>
      <c r="N912" s="1" t="s">
        <v>74</v>
      </c>
      <c r="O912" s="1" t="s">
        <v>74</v>
      </c>
      <c r="P912" s="1" t="s">
        <v>74</v>
      </c>
      <c r="Q912" s="1" t="s">
        <v>74</v>
      </c>
      <c r="R912" s="1" t="s">
        <v>74</v>
      </c>
      <c r="S912" s="1" t="s">
        <v>74</v>
      </c>
      <c r="T912" s="1" t="s">
        <v>74</v>
      </c>
      <c r="U912" s="1" t="s">
        <v>74</v>
      </c>
      <c r="V912" s="1" t="s">
        <v>8347</v>
      </c>
      <c r="W912" s="1" t="s">
        <v>74</v>
      </c>
      <c r="X912" s="1" t="s">
        <v>74</v>
      </c>
      <c r="Y912" s="1" t="s">
        <v>74</v>
      </c>
      <c r="Z912" s="1" t="s">
        <v>74</v>
      </c>
      <c r="AA912" s="1" t="s">
        <v>74</v>
      </c>
      <c r="AB912" s="1" t="s">
        <v>74</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2217</v>
      </c>
      <c r="AP912" s="1" t="s">
        <v>74</v>
      </c>
      <c r="AQ912" s="1" t="s">
        <v>74</v>
      </c>
      <c r="AR912" s="1" t="s">
        <v>74</v>
      </c>
      <c r="AS912" s="1" t="s">
        <v>74</v>
      </c>
      <c r="AT912" s="1" t="s">
        <v>74</v>
      </c>
      <c r="AU912" s="1">
        <v>2011.0</v>
      </c>
      <c r="AV912" s="1" t="s">
        <v>74</v>
      </c>
      <c r="AW912" s="1">
        <v>503.0</v>
      </c>
      <c r="AX912" s="1" t="s">
        <v>74</v>
      </c>
      <c r="AY912" s="1" t="s">
        <v>74</v>
      </c>
      <c r="AZ912" s="1" t="s">
        <v>74</v>
      </c>
      <c r="BA912" s="1" t="s">
        <v>74</v>
      </c>
      <c r="BB912" s="1">
        <v>165.0</v>
      </c>
      <c r="BC912" s="1">
        <v>186.0</v>
      </c>
      <c r="BD912" s="1" t="s">
        <v>74</v>
      </c>
      <c r="BE912" s="1" t="s">
        <v>74</v>
      </c>
      <c r="BF912" s="1" t="s">
        <v>74</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8348</v>
      </c>
      <c r="BT912" s="1" t="str">
        <f>HYPERLINK("https%3A%2F%2Fwww.webofscience.com%2Fwos%2Fwoscc%2Ffull-record%2FWOS:000295347000009","View Full Record in Web of Science")</f>
        <v>View Full Record in Web of Science</v>
      </c>
    </row>
    <row r="913" ht="12.75" customHeight="1">
      <c r="A913" s="1" t="s">
        <v>72</v>
      </c>
      <c r="B913" s="1" t="s">
        <v>8349</v>
      </c>
      <c r="C913" s="1" t="s">
        <v>74</v>
      </c>
      <c r="D913" s="1" t="s">
        <v>74</v>
      </c>
      <c r="E913" s="1" t="s">
        <v>74</v>
      </c>
      <c r="F913" s="1" t="s">
        <v>8350</v>
      </c>
      <c r="G913" s="1" t="s">
        <v>74</v>
      </c>
      <c r="H913" s="1" t="s">
        <v>74</v>
      </c>
      <c r="I913" s="1" t="s">
        <v>8351</v>
      </c>
      <c r="J913" s="1" t="s">
        <v>8352</v>
      </c>
      <c r="K913" s="1" t="s">
        <v>74</v>
      </c>
      <c r="L913" s="1" t="s">
        <v>74</v>
      </c>
      <c r="M913" s="1" t="s">
        <v>74</v>
      </c>
      <c r="N913" s="1" t="s">
        <v>74</v>
      </c>
      <c r="O913" s="1" t="s">
        <v>74</v>
      </c>
      <c r="P913" s="1" t="s">
        <v>74</v>
      </c>
      <c r="Q913" s="1" t="s">
        <v>74</v>
      </c>
      <c r="R913" s="1" t="s">
        <v>74</v>
      </c>
      <c r="S913" s="1" t="s">
        <v>74</v>
      </c>
      <c r="T913" s="1" t="s">
        <v>74</v>
      </c>
      <c r="U913" s="1" t="s">
        <v>74</v>
      </c>
      <c r="V913" s="1" t="s">
        <v>8353</v>
      </c>
      <c r="W913" s="1" t="s">
        <v>74</v>
      </c>
      <c r="X913" s="1" t="s">
        <v>74</v>
      </c>
      <c r="Y913" s="1" t="s">
        <v>74</v>
      </c>
      <c r="Z913" s="1" t="s">
        <v>74</v>
      </c>
      <c r="AA913" s="1" t="s">
        <v>8354</v>
      </c>
      <c r="AB913" s="1" t="s">
        <v>2516</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8355</v>
      </c>
      <c r="AP913" s="1" t="s">
        <v>74</v>
      </c>
      <c r="AQ913" s="1" t="s">
        <v>74</v>
      </c>
      <c r="AR913" s="1" t="s">
        <v>74</v>
      </c>
      <c r="AS913" s="1" t="s">
        <v>74</v>
      </c>
      <c r="AT913" s="1" t="s">
        <v>160</v>
      </c>
      <c r="AU913" s="1">
        <v>2010.0</v>
      </c>
      <c r="AV913" s="1">
        <v>5.0</v>
      </c>
      <c r="AW913" s="1">
        <v>5.0</v>
      </c>
      <c r="AX913" s="1" t="s">
        <v>74</v>
      </c>
      <c r="AY913" s="1" t="s">
        <v>74</v>
      </c>
      <c r="AZ913" s="1" t="s">
        <v>74</v>
      </c>
      <c r="BA913" s="1" t="s">
        <v>74</v>
      </c>
      <c r="BB913" s="1">
        <v>664.0</v>
      </c>
      <c r="BC913" s="1">
        <v>674.0</v>
      </c>
      <c r="BD913" s="1" t="s">
        <v>74</v>
      </c>
      <c r="BE913" s="1" t="s">
        <v>8356</v>
      </c>
      <c r="BF913" s="2" t="str">
        <f>HYPERLINK("http://dx.doi.org/10.15837/ijccc.2010.5.2222","http://dx.doi.org/10.15837/ijccc.2010.5.2222")</f>
        <v>http://dx.doi.org/10.15837/ijccc.2010.5.2222</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8357</v>
      </c>
      <c r="BT913" s="1" t="str">
        <f>HYPERLINK("https%3A%2F%2Fwww.webofscience.com%2Fwos%2Fwoscc%2Ffull-record%2FWOS:000283908700007","View Full Record in Web of Science")</f>
        <v>View Full Record in Web of Science</v>
      </c>
    </row>
    <row r="914" ht="12.75" customHeight="1">
      <c r="A914" s="1" t="s">
        <v>72</v>
      </c>
      <c r="B914" s="1" t="s">
        <v>8358</v>
      </c>
      <c r="C914" s="1" t="s">
        <v>74</v>
      </c>
      <c r="D914" s="1" t="s">
        <v>74</v>
      </c>
      <c r="E914" s="1" t="s">
        <v>74</v>
      </c>
      <c r="F914" s="1" t="s">
        <v>8359</v>
      </c>
      <c r="G914" s="1" t="s">
        <v>74</v>
      </c>
      <c r="H914" s="1" t="s">
        <v>74</v>
      </c>
      <c r="I914" s="1" t="s">
        <v>8360</v>
      </c>
      <c r="J914" s="1" t="s">
        <v>8361</v>
      </c>
      <c r="K914" s="1" t="s">
        <v>74</v>
      </c>
      <c r="L914" s="1" t="s">
        <v>74</v>
      </c>
      <c r="M914" s="1" t="s">
        <v>74</v>
      </c>
      <c r="N914" s="1" t="s">
        <v>74</v>
      </c>
      <c r="O914" s="1" t="s">
        <v>74</v>
      </c>
      <c r="P914" s="1" t="s">
        <v>74</v>
      </c>
      <c r="Q914" s="1" t="s">
        <v>74</v>
      </c>
      <c r="R914" s="1" t="s">
        <v>74</v>
      </c>
      <c r="S914" s="1" t="s">
        <v>74</v>
      </c>
      <c r="T914" s="1" t="s">
        <v>74</v>
      </c>
      <c r="U914" s="1" t="s">
        <v>74</v>
      </c>
      <c r="V914" s="1" t="s">
        <v>8362</v>
      </c>
      <c r="W914" s="1" t="s">
        <v>74</v>
      </c>
      <c r="X914" s="1" t="s">
        <v>74</v>
      </c>
      <c r="Y914" s="1" t="s">
        <v>74</v>
      </c>
      <c r="Z914" s="1" t="s">
        <v>74</v>
      </c>
      <c r="AA914" s="1" t="s">
        <v>8147</v>
      </c>
      <c r="AB914" s="1" t="s">
        <v>8363</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8364</v>
      </c>
      <c r="AP914" s="1" t="s">
        <v>8365</v>
      </c>
      <c r="AQ914" s="1" t="s">
        <v>74</v>
      </c>
      <c r="AR914" s="1" t="s">
        <v>74</v>
      </c>
      <c r="AS914" s="1" t="s">
        <v>74</v>
      </c>
      <c r="AT914" s="1" t="s">
        <v>116</v>
      </c>
      <c r="AU914" s="1">
        <v>2010.0</v>
      </c>
      <c r="AV914" s="1">
        <v>26.0</v>
      </c>
      <c r="AW914" s="1">
        <v>2.0</v>
      </c>
      <c r="AX914" s="1" t="s">
        <v>74</v>
      </c>
      <c r="AY914" s="1" t="s">
        <v>74</v>
      </c>
      <c r="AZ914" s="1" t="s">
        <v>74</v>
      </c>
      <c r="BA914" s="1" t="s">
        <v>74</v>
      </c>
      <c r="BB914" s="1">
        <v>400.0</v>
      </c>
      <c r="BC914" s="1">
        <v>409.0</v>
      </c>
      <c r="BD914" s="1" t="s">
        <v>74</v>
      </c>
      <c r="BE914" s="1" t="s">
        <v>74</v>
      </c>
      <c r="BF914" s="1" t="s">
        <v>74</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8366</v>
      </c>
      <c r="BT914" s="1" t="str">
        <f>HYPERLINK("https%3A%2F%2Fwww.webofscience.com%2Fwos%2Fwoscc%2Ffull-record%2FWOS:000279157700025","View Full Record in Web of Science")</f>
        <v>View Full Record in Web of Science</v>
      </c>
    </row>
    <row r="915" ht="12.75" customHeight="1">
      <c r="A915" s="1" t="s">
        <v>72</v>
      </c>
      <c r="B915" s="1" t="s">
        <v>8367</v>
      </c>
      <c r="C915" s="1" t="s">
        <v>74</v>
      </c>
      <c r="D915" s="1" t="s">
        <v>74</v>
      </c>
      <c r="E915" s="1" t="s">
        <v>74</v>
      </c>
      <c r="F915" s="1" t="s">
        <v>8368</v>
      </c>
      <c r="G915" s="1" t="s">
        <v>74</v>
      </c>
      <c r="H915" s="1" t="s">
        <v>74</v>
      </c>
      <c r="I915" s="1" t="s">
        <v>8369</v>
      </c>
      <c r="J915" s="1" t="s">
        <v>6631</v>
      </c>
      <c r="K915" s="1" t="s">
        <v>74</v>
      </c>
      <c r="L915" s="1" t="s">
        <v>74</v>
      </c>
      <c r="M915" s="1" t="s">
        <v>74</v>
      </c>
      <c r="N915" s="1" t="s">
        <v>74</v>
      </c>
      <c r="O915" s="1" t="s">
        <v>74</v>
      </c>
      <c r="P915" s="1" t="s">
        <v>74</v>
      </c>
      <c r="Q915" s="1" t="s">
        <v>74</v>
      </c>
      <c r="R915" s="1" t="s">
        <v>74</v>
      </c>
      <c r="S915" s="1" t="s">
        <v>74</v>
      </c>
      <c r="T915" s="1" t="s">
        <v>74</v>
      </c>
      <c r="U915" s="1" t="s">
        <v>74</v>
      </c>
      <c r="V915" s="1" t="s">
        <v>8370</v>
      </c>
      <c r="W915" s="1" t="s">
        <v>74</v>
      </c>
      <c r="X915" s="1" t="s">
        <v>74</v>
      </c>
      <c r="Y915" s="1" t="s">
        <v>74</v>
      </c>
      <c r="Z915" s="1" t="s">
        <v>74</v>
      </c>
      <c r="AA915" s="1" t="s">
        <v>8371</v>
      </c>
      <c r="AB915" s="1" t="s">
        <v>2402</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6635</v>
      </c>
      <c r="AP915" s="1" t="s">
        <v>6636</v>
      </c>
      <c r="AQ915" s="1" t="s">
        <v>74</v>
      </c>
      <c r="AR915" s="1" t="s">
        <v>74</v>
      </c>
      <c r="AS915" s="1" t="s">
        <v>74</v>
      </c>
      <c r="AT915" s="1" t="s">
        <v>74</v>
      </c>
      <c r="AU915" s="1">
        <v>2009.0</v>
      </c>
      <c r="AV915" s="1">
        <v>19.0</v>
      </c>
      <c r="AW915" s="1">
        <v>1.0</v>
      </c>
      <c r="AX915" s="1" t="s">
        <v>74</v>
      </c>
      <c r="AY915" s="1" t="s">
        <v>74</v>
      </c>
      <c r="AZ915" s="1" t="s">
        <v>74</v>
      </c>
      <c r="BA915" s="1" t="s">
        <v>74</v>
      </c>
      <c r="BB915" s="1">
        <v>35.0</v>
      </c>
      <c r="BC915" s="1">
        <v>42.0</v>
      </c>
      <c r="BD915" s="1" t="s">
        <v>74</v>
      </c>
      <c r="BE915" s="1" t="s">
        <v>74</v>
      </c>
      <c r="BF915" s="1" t="s">
        <v>74</v>
      </c>
      <c r="BG915" s="1" t="s">
        <v>74</v>
      </c>
      <c r="BH915" s="1" t="s">
        <v>74</v>
      </c>
      <c r="BI915" s="1" t="s">
        <v>74</v>
      </c>
      <c r="BJ915" s="1" t="s">
        <v>74</v>
      </c>
      <c r="BK915" s="1" t="s">
        <v>74</v>
      </c>
      <c r="BL915" s="1" t="s">
        <v>74</v>
      </c>
      <c r="BM915" s="1" t="s">
        <v>74</v>
      </c>
      <c r="BN915" s="1">
        <v>1.9274927E7</v>
      </c>
      <c r="BO915" s="1" t="s">
        <v>74</v>
      </c>
      <c r="BP915" s="1" t="s">
        <v>74</v>
      </c>
      <c r="BQ915" s="1" t="s">
        <v>74</v>
      </c>
      <c r="BR915" s="1" t="s">
        <v>74</v>
      </c>
      <c r="BS915" s="1" t="s">
        <v>8372</v>
      </c>
      <c r="BT915" s="1" t="str">
        <f>HYPERLINK("https%3A%2F%2Fwww.webofscience.com%2Fwos%2Fwoscc%2Ffull-record%2FWOS:000263743200006","View Full Record in Web of Science")</f>
        <v>View Full Record in Web of Science</v>
      </c>
    </row>
    <row r="916" ht="12.75" customHeight="1">
      <c r="A916" s="1" t="s">
        <v>72</v>
      </c>
      <c r="B916" s="1" t="s">
        <v>8373</v>
      </c>
      <c r="C916" s="1" t="s">
        <v>74</v>
      </c>
      <c r="D916" s="1" t="s">
        <v>74</v>
      </c>
      <c r="E916" s="1" t="s">
        <v>74</v>
      </c>
      <c r="F916" s="1" t="s">
        <v>8374</v>
      </c>
      <c r="G916" s="1" t="s">
        <v>74</v>
      </c>
      <c r="H916" s="1" t="s">
        <v>74</v>
      </c>
      <c r="I916" s="1" t="s">
        <v>8375</v>
      </c>
      <c r="J916" s="1" t="s">
        <v>1297</v>
      </c>
      <c r="K916" s="1" t="s">
        <v>74</v>
      </c>
      <c r="L916" s="1" t="s">
        <v>74</v>
      </c>
      <c r="M916" s="1" t="s">
        <v>74</v>
      </c>
      <c r="N916" s="1" t="s">
        <v>74</v>
      </c>
      <c r="O916" s="1" t="s">
        <v>8376</v>
      </c>
      <c r="P916" s="1" t="s">
        <v>8377</v>
      </c>
      <c r="Q916" s="1" t="s">
        <v>8378</v>
      </c>
      <c r="R916" s="1" t="s">
        <v>74</v>
      </c>
      <c r="S916" s="1" t="s">
        <v>74</v>
      </c>
      <c r="T916" s="1" t="s">
        <v>74</v>
      </c>
      <c r="U916" s="1" t="s">
        <v>74</v>
      </c>
      <c r="V916" s="1" t="s">
        <v>8379</v>
      </c>
      <c r="W916" s="1" t="s">
        <v>74</v>
      </c>
      <c r="X916" s="1" t="s">
        <v>74</v>
      </c>
      <c r="Y916" s="1" t="s">
        <v>74</v>
      </c>
      <c r="Z916" s="1" t="s">
        <v>74</v>
      </c>
      <c r="AA916" s="1" t="s">
        <v>8380</v>
      </c>
      <c r="AB916" s="1" t="s">
        <v>8381</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1299</v>
      </c>
      <c r="AP916" s="1" t="s">
        <v>4733</v>
      </c>
      <c r="AQ916" s="1" t="s">
        <v>74</v>
      </c>
      <c r="AR916" s="1" t="s">
        <v>74</v>
      </c>
      <c r="AS916" s="1" t="s">
        <v>74</v>
      </c>
      <c r="AT916" s="1" t="s">
        <v>74</v>
      </c>
      <c r="AU916" s="1">
        <v>2008.0</v>
      </c>
      <c r="AV916" s="1">
        <v>19.0</v>
      </c>
      <c r="AW916" s="1">
        <v>4.0</v>
      </c>
      <c r="AX916" s="1" t="s">
        <v>74</v>
      </c>
      <c r="AY916" s="1" t="s">
        <v>74</v>
      </c>
      <c r="AZ916" s="1" t="s">
        <v>74</v>
      </c>
      <c r="BA916" s="1" t="s">
        <v>74</v>
      </c>
      <c r="BB916" s="1">
        <v>720.0</v>
      </c>
      <c r="BC916" s="1">
        <v>726.0</v>
      </c>
      <c r="BD916" s="1" t="s">
        <v>74</v>
      </c>
      <c r="BE916" s="1" t="s">
        <v>8382</v>
      </c>
      <c r="BF916" s="2" t="str">
        <f>HYPERLINK("http://dx.doi.org/10.1590/S0103-50532008000400016","http://dx.doi.org/10.1590/S0103-50532008000400016")</f>
        <v>http://dx.doi.org/10.1590/S0103-50532008000400016</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8383</v>
      </c>
      <c r="BT916" s="1" t="str">
        <f>HYPERLINK("https%3A%2F%2Fwww.webofscience.com%2Fwos%2Fwoscc%2Ffull-record%2FWOS:000256957100015","View Full Record in Web of Science")</f>
        <v>View Full Record in Web of Science</v>
      </c>
    </row>
    <row r="917" ht="12.75" customHeight="1">
      <c r="A917" s="1" t="s">
        <v>72</v>
      </c>
      <c r="B917" s="1" t="s">
        <v>8384</v>
      </c>
      <c r="C917" s="1" t="s">
        <v>74</v>
      </c>
      <c r="D917" s="1" t="s">
        <v>74</v>
      </c>
      <c r="E917" s="1" t="s">
        <v>74</v>
      </c>
      <c r="F917" s="1" t="s">
        <v>6598</v>
      </c>
      <c r="G917" s="1" t="s">
        <v>74</v>
      </c>
      <c r="H917" s="1" t="s">
        <v>74</v>
      </c>
      <c r="I917" s="1" t="s">
        <v>8385</v>
      </c>
      <c r="J917" s="1" t="s">
        <v>2677</v>
      </c>
      <c r="K917" s="1" t="s">
        <v>74</v>
      </c>
      <c r="L917" s="1" t="s">
        <v>74</v>
      </c>
      <c r="M917" s="1" t="s">
        <v>74</v>
      </c>
      <c r="N917" s="1" t="s">
        <v>74</v>
      </c>
      <c r="O917" s="1" t="s">
        <v>74</v>
      </c>
      <c r="P917" s="1" t="s">
        <v>74</v>
      </c>
      <c r="Q917" s="1" t="s">
        <v>74</v>
      </c>
      <c r="R917" s="1" t="s">
        <v>74</v>
      </c>
      <c r="S917" s="1" t="s">
        <v>74</v>
      </c>
      <c r="T917" s="1" t="s">
        <v>74</v>
      </c>
      <c r="U917" s="1" t="s">
        <v>74</v>
      </c>
      <c r="V917" s="1" t="s">
        <v>8386</v>
      </c>
      <c r="W917" s="1" t="s">
        <v>74</v>
      </c>
      <c r="X917" s="1" t="s">
        <v>74</v>
      </c>
      <c r="Y917" s="1" t="s">
        <v>74</v>
      </c>
      <c r="Z917" s="1" t="s">
        <v>74</v>
      </c>
      <c r="AA917" s="1" t="s">
        <v>74</v>
      </c>
      <c r="AB917" s="1" t="s">
        <v>6659</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3243</v>
      </c>
      <c r="AP917" s="1" t="s">
        <v>3244</v>
      </c>
      <c r="AQ917" s="1" t="s">
        <v>74</v>
      </c>
      <c r="AR917" s="1" t="s">
        <v>74</v>
      </c>
      <c r="AS917" s="1" t="s">
        <v>74</v>
      </c>
      <c r="AT917" s="1" t="s">
        <v>94</v>
      </c>
      <c r="AU917" s="1">
        <v>2008.0</v>
      </c>
      <c r="AV917" s="1">
        <v>77.0</v>
      </c>
      <c r="AW917" s="1">
        <v>2.0</v>
      </c>
      <c r="AX917" s="1" t="s">
        <v>74</v>
      </c>
      <c r="AY917" s="1" t="s">
        <v>74</v>
      </c>
      <c r="AZ917" s="1" t="s">
        <v>74</v>
      </c>
      <c r="BA917" s="1" t="s">
        <v>74</v>
      </c>
      <c r="BB917" s="1" t="s">
        <v>74</v>
      </c>
      <c r="BC917" s="1" t="s">
        <v>74</v>
      </c>
      <c r="BD917" s="1">
        <v>25017.0</v>
      </c>
      <c r="BE917" s="1" t="s">
        <v>8387</v>
      </c>
      <c r="BF917" s="2" t="str">
        <f>HYPERLINK("http://dx.doi.org/10.1103/PhysRevD.77.025017","http://dx.doi.org/10.1103/PhysRevD.77.025017")</f>
        <v>http://dx.doi.org/10.1103/PhysRevD.77.025017</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8388</v>
      </c>
      <c r="BT917" s="1" t="str">
        <f>HYPERLINK("https%3A%2F%2Fwww.webofscience.com%2Fwos%2Fwoscc%2Ffull-record%2FWOS:000252864000117","View Full Record in Web of Science")</f>
        <v>View Full Record in Web of Science</v>
      </c>
    </row>
    <row r="918" ht="12.75" customHeight="1">
      <c r="A918" s="1" t="s">
        <v>241</v>
      </c>
      <c r="B918" s="1" t="s">
        <v>8389</v>
      </c>
      <c r="C918" s="1" t="s">
        <v>74</v>
      </c>
      <c r="D918" s="1" t="s">
        <v>8390</v>
      </c>
      <c r="E918" s="1" t="s">
        <v>74</v>
      </c>
      <c r="F918" s="1" t="s">
        <v>8391</v>
      </c>
      <c r="G918" s="1" t="s">
        <v>74</v>
      </c>
      <c r="H918" s="1" t="s">
        <v>74</v>
      </c>
      <c r="I918" s="1" t="s">
        <v>8392</v>
      </c>
      <c r="J918" s="1" t="s">
        <v>8393</v>
      </c>
      <c r="K918" s="1" t="s">
        <v>2225</v>
      </c>
      <c r="L918" s="1" t="s">
        <v>74</v>
      </c>
      <c r="M918" s="1" t="s">
        <v>74</v>
      </c>
      <c r="N918" s="1" t="s">
        <v>74</v>
      </c>
      <c r="O918" s="1" t="s">
        <v>8394</v>
      </c>
      <c r="P918" s="1" t="s">
        <v>8395</v>
      </c>
      <c r="Q918" s="1" t="s">
        <v>6330</v>
      </c>
      <c r="R918" s="1" t="s">
        <v>2229</v>
      </c>
      <c r="S918" s="1" t="s">
        <v>74</v>
      </c>
      <c r="T918" s="1" t="s">
        <v>74</v>
      </c>
      <c r="U918" s="1" t="s">
        <v>74</v>
      </c>
      <c r="V918" s="1" t="s">
        <v>8396</v>
      </c>
      <c r="W918" s="1" t="s">
        <v>74</v>
      </c>
      <c r="X918" s="1" t="s">
        <v>74</v>
      </c>
      <c r="Y918" s="1" t="s">
        <v>74</v>
      </c>
      <c r="Z918" s="1" t="s">
        <v>74</v>
      </c>
      <c r="AA918" s="1" t="s">
        <v>8397</v>
      </c>
      <c r="AB918" s="1" t="s">
        <v>8398</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2232</v>
      </c>
      <c r="AP918" s="1" t="s">
        <v>74</v>
      </c>
      <c r="AQ918" s="1" t="s">
        <v>8399</v>
      </c>
      <c r="AR918" s="1" t="s">
        <v>74</v>
      </c>
      <c r="AS918" s="1" t="s">
        <v>74</v>
      </c>
      <c r="AT918" s="1" t="s">
        <v>74</v>
      </c>
      <c r="AU918" s="1">
        <v>2008.0</v>
      </c>
      <c r="AV918" s="1">
        <v>7063.0</v>
      </c>
      <c r="AW918" s="1" t="s">
        <v>74</v>
      </c>
      <c r="AX918" s="1" t="s">
        <v>74</v>
      </c>
      <c r="AY918" s="1" t="s">
        <v>74</v>
      </c>
      <c r="AZ918" s="1" t="s">
        <v>74</v>
      </c>
      <c r="BA918" s="1" t="s">
        <v>74</v>
      </c>
      <c r="BB918" s="1" t="s">
        <v>74</v>
      </c>
      <c r="BC918" s="1" t="s">
        <v>74</v>
      </c>
      <c r="BD918" s="1" t="s">
        <v>8400</v>
      </c>
      <c r="BE918" s="1" t="s">
        <v>8401</v>
      </c>
      <c r="BF918" s="2" t="str">
        <f>HYPERLINK("http://dx.doi.org/10.1117/12.798278","http://dx.doi.org/10.1117/12.798278")</f>
        <v>http://dx.doi.org/10.1117/12.798278</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8402</v>
      </c>
      <c r="BT918" s="1" t="str">
        <f>HYPERLINK("https%3A%2F%2Fwww.webofscience.com%2Fwos%2Fwoscc%2Ffull-record%2FWOS:000262082100049","View Full Record in Web of Science")</f>
        <v>View Full Record in Web of Science</v>
      </c>
    </row>
    <row r="919" ht="12.75" customHeight="1">
      <c r="A919" s="1" t="s">
        <v>72</v>
      </c>
      <c r="B919" s="1" t="s">
        <v>8403</v>
      </c>
      <c r="C919" s="1" t="s">
        <v>74</v>
      </c>
      <c r="D919" s="1" t="s">
        <v>74</v>
      </c>
      <c r="E919" s="1" t="s">
        <v>74</v>
      </c>
      <c r="F919" s="1" t="s">
        <v>8404</v>
      </c>
      <c r="G919" s="1" t="s">
        <v>74</v>
      </c>
      <c r="H919" s="1" t="s">
        <v>74</v>
      </c>
      <c r="I919" s="1" t="s">
        <v>8405</v>
      </c>
      <c r="J919" s="1" t="s">
        <v>8406</v>
      </c>
      <c r="K919" s="1" t="s">
        <v>74</v>
      </c>
      <c r="L919" s="1" t="s">
        <v>74</v>
      </c>
      <c r="M919" s="1" t="s">
        <v>74</v>
      </c>
      <c r="N919" s="1" t="s">
        <v>74</v>
      </c>
      <c r="O919" s="1" t="s">
        <v>74</v>
      </c>
      <c r="P919" s="1" t="s">
        <v>74</v>
      </c>
      <c r="Q919" s="1" t="s">
        <v>74</v>
      </c>
      <c r="R919" s="1" t="s">
        <v>74</v>
      </c>
      <c r="S919" s="1" t="s">
        <v>74</v>
      </c>
      <c r="T919" s="1" t="s">
        <v>74</v>
      </c>
      <c r="U919" s="1" t="s">
        <v>74</v>
      </c>
      <c r="V919" s="1" t="s">
        <v>8407</v>
      </c>
      <c r="W919" s="1" t="s">
        <v>74</v>
      </c>
      <c r="X919" s="1" t="s">
        <v>74</v>
      </c>
      <c r="Y919" s="1" t="s">
        <v>74</v>
      </c>
      <c r="Z919" s="1" t="s">
        <v>74</v>
      </c>
      <c r="AA919" s="1" t="s">
        <v>4781</v>
      </c>
      <c r="AB919" s="1" t="s">
        <v>8408</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8409</v>
      </c>
      <c r="AP919" s="1" t="s">
        <v>8410</v>
      </c>
      <c r="AQ919" s="1" t="s">
        <v>74</v>
      </c>
      <c r="AR919" s="1" t="s">
        <v>74</v>
      </c>
      <c r="AS919" s="1" t="s">
        <v>74</v>
      </c>
      <c r="AT919" s="1" t="s">
        <v>94</v>
      </c>
      <c r="AU919" s="1">
        <v>2007.0</v>
      </c>
      <c r="AV919" s="1">
        <v>7.0</v>
      </c>
      <c r="AW919" s="1">
        <v>1.0</v>
      </c>
      <c r="AX919" s="1" t="s">
        <v>74</v>
      </c>
      <c r="AY919" s="1" t="s">
        <v>74</v>
      </c>
      <c r="AZ919" s="1" t="s">
        <v>74</v>
      </c>
      <c r="BA919" s="1" t="s">
        <v>74</v>
      </c>
      <c r="BB919" s="1">
        <v>153.0</v>
      </c>
      <c r="BC919" s="1">
        <v>175.0</v>
      </c>
      <c r="BD919" s="1" t="s">
        <v>74</v>
      </c>
      <c r="BE919" s="1" t="s">
        <v>74</v>
      </c>
      <c r="BF919" s="1" t="s">
        <v>74</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8411</v>
      </c>
      <c r="BT919" s="1" t="str">
        <f>HYPERLINK("https%3A%2F%2Fwww.webofscience.com%2Fwos%2Fwoscc%2Ffull-record%2FWOS:000243484100011","View Full Record in Web of Science")</f>
        <v>View Full Record in Web of Science</v>
      </c>
    </row>
    <row r="920" ht="12.75" customHeight="1">
      <c r="A920" s="1" t="s">
        <v>72</v>
      </c>
      <c r="B920" s="1" t="s">
        <v>3260</v>
      </c>
      <c r="C920" s="1" t="s">
        <v>74</v>
      </c>
      <c r="D920" s="1" t="s">
        <v>74</v>
      </c>
      <c r="E920" s="1" t="s">
        <v>74</v>
      </c>
      <c r="F920" s="1" t="s">
        <v>3261</v>
      </c>
      <c r="G920" s="1" t="s">
        <v>74</v>
      </c>
      <c r="H920" s="1" t="s">
        <v>74</v>
      </c>
      <c r="I920" s="1" t="s">
        <v>8412</v>
      </c>
      <c r="J920" s="1" t="s">
        <v>1884</v>
      </c>
      <c r="K920" s="1" t="s">
        <v>74</v>
      </c>
      <c r="L920" s="1" t="s">
        <v>74</v>
      </c>
      <c r="M920" s="1" t="s">
        <v>74</v>
      </c>
      <c r="N920" s="1" t="s">
        <v>74</v>
      </c>
      <c r="O920" s="1" t="s">
        <v>74</v>
      </c>
      <c r="P920" s="1" t="s">
        <v>74</v>
      </c>
      <c r="Q920" s="1" t="s">
        <v>74</v>
      </c>
      <c r="R920" s="1" t="s">
        <v>74</v>
      </c>
      <c r="S920" s="1" t="s">
        <v>74</v>
      </c>
      <c r="T920" s="1" t="s">
        <v>74</v>
      </c>
      <c r="U920" s="1" t="s">
        <v>74</v>
      </c>
      <c r="V920" s="1" t="s">
        <v>8413</v>
      </c>
      <c r="W920" s="1" t="s">
        <v>74</v>
      </c>
      <c r="X920" s="1" t="s">
        <v>74</v>
      </c>
      <c r="Y920" s="1" t="s">
        <v>74</v>
      </c>
      <c r="Z920" s="1" t="s">
        <v>74</v>
      </c>
      <c r="AA920" s="1" t="s">
        <v>2079</v>
      </c>
      <c r="AB920" s="1" t="s">
        <v>1876</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1887</v>
      </c>
      <c r="AP920" s="1" t="s">
        <v>74</v>
      </c>
      <c r="AQ920" s="1" t="s">
        <v>74</v>
      </c>
      <c r="AR920" s="1" t="s">
        <v>74</v>
      </c>
      <c r="AS920" s="1" t="s">
        <v>74</v>
      </c>
      <c r="AT920" s="1" t="s">
        <v>94</v>
      </c>
      <c r="AU920" s="1">
        <v>2007.0</v>
      </c>
      <c r="AV920" s="1">
        <v>44.0</v>
      </c>
      <c r="AW920" s="1">
        <v>1.0</v>
      </c>
      <c r="AX920" s="1" t="s">
        <v>74</v>
      </c>
      <c r="AY920" s="1" t="s">
        <v>74</v>
      </c>
      <c r="AZ920" s="1" t="s">
        <v>74</v>
      </c>
      <c r="BA920" s="1" t="s">
        <v>74</v>
      </c>
      <c r="BB920" s="1">
        <v>77.0</v>
      </c>
      <c r="BC920" s="1">
        <v>86.0</v>
      </c>
      <c r="BD920" s="1" t="s">
        <v>74</v>
      </c>
      <c r="BE920" s="1" t="s">
        <v>8414</v>
      </c>
      <c r="BF920" s="2" t="str">
        <f>HYPERLINK("http://dx.doi.org/10.1016/j.ijrmms.2006.04.010","http://dx.doi.org/10.1016/j.ijrmms.2006.04.010")</f>
        <v>http://dx.doi.org/10.1016/j.ijrmms.2006.04.010</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8415</v>
      </c>
      <c r="BT920" s="1" t="str">
        <f>HYPERLINK("https%3A%2F%2Fwww.webofscience.com%2Fwos%2Fwoscc%2Ffull-record%2FWOS:000242318400005","View Full Record in Web of Science")</f>
        <v>View Full Record in Web of Science</v>
      </c>
    </row>
    <row r="921" ht="12.75" customHeight="1">
      <c r="A921" s="1" t="s">
        <v>72</v>
      </c>
      <c r="B921" s="1" t="s">
        <v>8416</v>
      </c>
      <c r="C921" s="1" t="s">
        <v>74</v>
      </c>
      <c r="D921" s="1" t="s">
        <v>74</v>
      </c>
      <c r="E921" s="1" t="s">
        <v>74</v>
      </c>
      <c r="F921" s="1" t="s">
        <v>8417</v>
      </c>
      <c r="G921" s="1" t="s">
        <v>74</v>
      </c>
      <c r="H921" s="1" t="s">
        <v>74</v>
      </c>
      <c r="I921" s="1" t="s">
        <v>8418</v>
      </c>
      <c r="J921" s="1" t="s">
        <v>8419</v>
      </c>
      <c r="K921" s="1" t="s">
        <v>74</v>
      </c>
      <c r="L921" s="1" t="s">
        <v>74</v>
      </c>
      <c r="M921" s="1" t="s">
        <v>74</v>
      </c>
      <c r="N921" s="1" t="s">
        <v>74</v>
      </c>
      <c r="O921" s="1" t="s">
        <v>74</v>
      </c>
      <c r="P921" s="1" t="s">
        <v>74</v>
      </c>
      <c r="Q921" s="1" t="s">
        <v>74</v>
      </c>
      <c r="R921" s="1" t="s">
        <v>74</v>
      </c>
      <c r="S921" s="1" t="s">
        <v>74</v>
      </c>
      <c r="T921" s="1" t="s">
        <v>74</v>
      </c>
      <c r="U921" s="1" t="s">
        <v>74</v>
      </c>
      <c r="V921" s="1" t="s">
        <v>8420</v>
      </c>
      <c r="W921" s="1" t="s">
        <v>74</v>
      </c>
      <c r="X921" s="1" t="s">
        <v>74</v>
      </c>
      <c r="Y921" s="1" t="s">
        <v>74</v>
      </c>
      <c r="Z921" s="1" t="s">
        <v>74</v>
      </c>
      <c r="AA921" s="1" t="s">
        <v>74</v>
      </c>
      <c r="AB921" s="1" t="s">
        <v>74</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8421</v>
      </c>
      <c r="AP921" s="1" t="s">
        <v>74</v>
      </c>
      <c r="AQ921" s="1" t="s">
        <v>74</v>
      </c>
      <c r="AR921" s="1" t="s">
        <v>74</v>
      </c>
      <c r="AS921" s="1" t="s">
        <v>74</v>
      </c>
      <c r="AT921" s="1" t="s">
        <v>74</v>
      </c>
      <c r="AU921" s="1">
        <v>2006.0</v>
      </c>
      <c r="AV921" s="1">
        <v>23.0</v>
      </c>
      <c r="AW921" s="1">
        <v>5.0</v>
      </c>
      <c r="AX921" s="1" t="s">
        <v>74</v>
      </c>
      <c r="AY921" s="1" t="s">
        <v>74</v>
      </c>
      <c r="AZ921" s="1" t="s">
        <v>74</v>
      </c>
      <c r="BA921" s="1" t="s">
        <v>74</v>
      </c>
      <c r="BB921" s="1">
        <v>683.0</v>
      </c>
      <c r="BC921" s="1">
        <v>694.0</v>
      </c>
      <c r="BD921" s="1" t="s">
        <v>74</v>
      </c>
      <c r="BE921" s="1" t="s">
        <v>8422</v>
      </c>
      <c r="BF921" s="2" t="str">
        <f>HYPERLINK("http://dx.doi.org/10.1016/j.anihpc.2005.09.001","http://dx.doi.org/10.1016/j.anihpc.2005.09.001")</f>
        <v>http://dx.doi.org/10.1016/j.anihpc.2005.09.001</v>
      </c>
      <c r="BG921" s="1" t="s">
        <v>74</v>
      </c>
      <c r="BH921" s="1" t="s">
        <v>74</v>
      </c>
      <c r="BI921" s="1" t="s">
        <v>74</v>
      </c>
      <c r="BJ921" s="1" t="s">
        <v>74</v>
      </c>
      <c r="BK921" s="1" t="s">
        <v>74</v>
      </c>
      <c r="BL921" s="1" t="s">
        <v>74</v>
      </c>
      <c r="BM921" s="1" t="s">
        <v>74</v>
      </c>
      <c r="BN921" s="1" t="s">
        <v>74</v>
      </c>
      <c r="BO921" s="1" t="s">
        <v>74</v>
      </c>
      <c r="BP921" s="1" t="s">
        <v>74</v>
      </c>
      <c r="BQ921" s="1" t="s">
        <v>74</v>
      </c>
      <c r="BR921" s="1" t="s">
        <v>74</v>
      </c>
      <c r="BS921" s="1" t="s">
        <v>8423</v>
      </c>
      <c r="BT921" s="1" t="str">
        <f>HYPERLINK("https%3A%2F%2Fwww.webofscience.com%2Fwos%2Fwoscc%2Ffull-record%2FWOS:000241131100005","View Full Record in Web of Science")</f>
        <v>View Full Record in Web of Science</v>
      </c>
    </row>
    <row r="922" ht="12.75" customHeight="1">
      <c r="A922" s="1" t="s">
        <v>72</v>
      </c>
      <c r="B922" s="1" t="s">
        <v>8424</v>
      </c>
      <c r="C922" s="1" t="s">
        <v>74</v>
      </c>
      <c r="D922" s="1" t="s">
        <v>74</v>
      </c>
      <c r="E922" s="1" t="s">
        <v>74</v>
      </c>
      <c r="F922" s="1" t="s">
        <v>8425</v>
      </c>
      <c r="G922" s="1" t="s">
        <v>74</v>
      </c>
      <c r="H922" s="1" t="s">
        <v>74</v>
      </c>
      <c r="I922" s="1" t="s">
        <v>8426</v>
      </c>
      <c r="J922" s="1" t="s">
        <v>8427</v>
      </c>
      <c r="K922" s="1" t="s">
        <v>74</v>
      </c>
      <c r="L922" s="1" t="s">
        <v>74</v>
      </c>
      <c r="M922" s="1" t="s">
        <v>74</v>
      </c>
      <c r="N922" s="1" t="s">
        <v>74</v>
      </c>
      <c r="O922" s="1" t="s">
        <v>74</v>
      </c>
      <c r="P922" s="1" t="s">
        <v>74</v>
      </c>
      <c r="Q922" s="1" t="s">
        <v>74</v>
      </c>
      <c r="R922" s="1" t="s">
        <v>74</v>
      </c>
      <c r="S922" s="1" t="s">
        <v>74</v>
      </c>
      <c r="T922" s="1" t="s">
        <v>74</v>
      </c>
      <c r="U922" s="1" t="s">
        <v>74</v>
      </c>
      <c r="V922" s="1" t="s">
        <v>8428</v>
      </c>
      <c r="W922" s="1" t="s">
        <v>74</v>
      </c>
      <c r="X922" s="1" t="s">
        <v>74</v>
      </c>
      <c r="Y922" s="1" t="s">
        <v>74</v>
      </c>
      <c r="Z922" s="1" t="s">
        <v>74</v>
      </c>
      <c r="AA922" s="1" t="s">
        <v>74</v>
      </c>
      <c r="AB922" s="1" t="s">
        <v>8429</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8430</v>
      </c>
      <c r="AP922" s="1" t="s">
        <v>74</v>
      </c>
      <c r="AQ922" s="1" t="s">
        <v>74</v>
      </c>
      <c r="AR922" s="1" t="s">
        <v>74</v>
      </c>
      <c r="AS922" s="1" t="s">
        <v>74</v>
      </c>
      <c r="AT922" s="1" t="s">
        <v>74</v>
      </c>
      <c r="AU922" s="1">
        <v>2006.0</v>
      </c>
      <c r="AV922" s="1">
        <v>39.0</v>
      </c>
      <c r="AW922" s="1">
        <v>3.0</v>
      </c>
      <c r="AX922" s="1" t="s">
        <v>74</v>
      </c>
      <c r="AY922" s="1" t="s">
        <v>74</v>
      </c>
      <c r="AZ922" s="1" t="s">
        <v>74</v>
      </c>
      <c r="BA922" s="1" t="s">
        <v>74</v>
      </c>
      <c r="BB922" s="1">
        <v>93.0</v>
      </c>
      <c r="BC922" s="1">
        <v>97.0</v>
      </c>
      <c r="BD922" s="1" t="s">
        <v>74</v>
      </c>
      <c r="BE922" s="1" t="s">
        <v>8431</v>
      </c>
      <c r="BF922" s="2" t="str">
        <f>HYPERLINK("http://dx.doi.org/10.1007/BF03215535","http://dx.doi.org/10.1007/BF03215535")</f>
        <v>http://dx.doi.org/10.1007/BF03215535</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8432</v>
      </c>
      <c r="BT922" s="1" t="str">
        <f>HYPERLINK("https%3A%2F%2Fwww.webofscience.com%2Fwos%2Fwoscc%2Ffull-record%2FWOS:000241086600002","View Full Record in Web of Science")</f>
        <v>View Full Record in Web of Science</v>
      </c>
    </row>
    <row r="923" ht="12.75" customHeight="1">
      <c r="A923" s="1" t="s">
        <v>72</v>
      </c>
      <c r="B923" s="1" t="s">
        <v>8433</v>
      </c>
      <c r="C923" s="1" t="s">
        <v>74</v>
      </c>
      <c r="D923" s="1" t="s">
        <v>74</v>
      </c>
      <c r="E923" s="1" t="s">
        <v>74</v>
      </c>
      <c r="F923" s="1" t="s">
        <v>8433</v>
      </c>
      <c r="G923" s="1" t="s">
        <v>74</v>
      </c>
      <c r="H923" s="1" t="s">
        <v>74</v>
      </c>
      <c r="I923" s="1" t="s">
        <v>8434</v>
      </c>
      <c r="J923" s="1" t="s">
        <v>6674</v>
      </c>
      <c r="K923" s="1" t="s">
        <v>74</v>
      </c>
      <c r="L923" s="1" t="s">
        <v>74</v>
      </c>
      <c r="M923" s="1" t="s">
        <v>74</v>
      </c>
      <c r="N923" s="1" t="s">
        <v>74</v>
      </c>
      <c r="O923" s="1" t="s">
        <v>6675</v>
      </c>
      <c r="P923" s="1" t="s">
        <v>6676</v>
      </c>
      <c r="Q923" s="1" t="s">
        <v>1265</v>
      </c>
      <c r="R923" s="1" t="s">
        <v>6677</v>
      </c>
      <c r="S923" s="1" t="s">
        <v>74</v>
      </c>
      <c r="T923" s="1" t="s">
        <v>74</v>
      </c>
      <c r="U923" s="1" t="s">
        <v>74</v>
      </c>
      <c r="V923" s="1" t="s">
        <v>74</v>
      </c>
      <c r="W923" s="1" t="s">
        <v>74</v>
      </c>
      <c r="X923" s="1" t="s">
        <v>74</v>
      </c>
      <c r="Y923" s="1" t="s">
        <v>74</v>
      </c>
      <c r="Z923" s="1" t="s">
        <v>74</v>
      </c>
      <c r="AA923" s="1" t="s">
        <v>8435</v>
      </c>
      <c r="AB923" s="1" t="s">
        <v>74</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6678</v>
      </c>
      <c r="AP923" s="1" t="s">
        <v>74</v>
      </c>
      <c r="AQ923" s="1" t="s">
        <v>74</v>
      </c>
      <c r="AR923" s="1" t="s">
        <v>74</v>
      </c>
      <c r="AS923" s="1" t="s">
        <v>74</v>
      </c>
      <c r="AT923" s="1" t="s">
        <v>94</v>
      </c>
      <c r="AU923" s="1">
        <v>2006.0</v>
      </c>
      <c r="AV923" s="1">
        <v>27.0</v>
      </c>
      <c r="AW923" s="1">
        <v>1.0</v>
      </c>
      <c r="AX923" s="1" t="s">
        <v>74</v>
      </c>
      <c r="AY923" s="1" t="s">
        <v>74</v>
      </c>
      <c r="AZ923" s="1" t="s">
        <v>74</v>
      </c>
      <c r="BA923" s="1" t="s">
        <v>74</v>
      </c>
      <c r="BB923" s="1" t="s">
        <v>8436</v>
      </c>
      <c r="BC923" s="1" t="s">
        <v>8436</v>
      </c>
      <c r="BD923" s="1" t="s">
        <v>74</v>
      </c>
      <c r="BE923" s="1" t="s">
        <v>74</v>
      </c>
      <c r="BF923" s="1" t="s">
        <v>74</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8437</v>
      </c>
      <c r="BT923" s="1" t="str">
        <f>HYPERLINK("https%3A%2F%2Fwww.webofscience.com%2Fwos%2Fwoscc%2Ffull-record%2FWOS:000233996200106","View Full Record in Web of Science")</f>
        <v>View Full Record in Web of Science</v>
      </c>
    </row>
    <row r="924" ht="12.75" customHeight="1">
      <c r="A924" s="1" t="s">
        <v>72</v>
      </c>
      <c r="B924" s="1" t="s">
        <v>8438</v>
      </c>
      <c r="C924" s="1" t="s">
        <v>74</v>
      </c>
      <c r="D924" s="1" t="s">
        <v>74</v>
      </c>
      <c r="E924" s="1" t="s">
        <v>74</v>
      </c>
      <c r="F924" s="1" t="s">
        <v>8438</v>
      </c>
      <c r="G924" s="1" t="s">
        <v>74</v>
      </c>
      <c r="H924" s="1" t="s">
        <v>74</v>
      </c>
      <c r="I924" s="1" t="s">
        <v>8439</v>
      </c>
      <c r="J924" s="1" t="s">
        <v>8440</v>
      </c>
      <c r="K924" s="1" t="s">
        <v>74</v>
      </c>
      <c r="L924" s="1" t="s">
        <v>74</v>
      </c>
      <c r="M924" s="1" t="s">
        <v>74</v>
      </c>
      <c r="N924" s="1" t="s">
        <v>74</v>
      </c>
      <c r="O924" s="1" t="s">
        <v>74</v>
      </c>
      <c r="P924" s="1" t="s">
        <v>74</v>
      </c>
      <c r="Q924" s="1" t="s">
        <v>74</v>
      </c>
      <c r="R924" s="1" t="s">
        <v>74</v>
      </c>
      <c r="S924" s="1" t="s">
        <v>74</v>
      </c>
      <c r="T924" s="1" t="s">
        <v>74</v>
      </c>
      <c r="U924" s="1" t="s">
        <v>74</v>
      </c>
      <c r="V924" s="1" t="s">
        <v>8441</v>
      </c>
      <c r="W924" s="1" t="s">
        <v>74</v>
      </c>
      <c r="X924" s="1" t="s">
        <v>74</v>
      </c>
      <c r="Y924" s="1" t="s">
        <v>74</v>
      </c>
      <c r="Z924" s="1" t="s">
        <v>74</v>
      </c>
      <c r="AA924" s="1" t="s">
        <v>8442</v>
      </c>
      <c r="AB924" s="1" t="s">
        <v>6035</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8443</v>
      </c>
      <c r="AP924" s="1" t="s">
        <v>74</v>
      </c>
      <c r="AQ924" s="1" t="s">
        <v>74</v>
      </c>
      <c r="AR924" s="1" t="s">
        <v>74</v>
      </c>
      <c r="AS924" s="1" t="s">
        <v>74</v>
      </c>
      <c r="AT924" s="1" t="s">
        <v>607</v>
      </c>
      <c r="AU924" s="1">
        <v>2005.0</v>
      </c>
      <c r="AV924" s="1">
        <v>63.0</v>
      </c>
      <c r="AW924" s="1">
        <v>2.0</v>
      </c>
      <c r="AX924" s="1" t="s">
        <v>74</v>
      </c>
      <c r="AY924" s="1" t="s">
        <v>74</v>
      </c>
      <c r="AZ924" s="1" t="s">
        <v>74</v>
      </c>
      <c r="BA924" s="1" t="s">
        <v>74</v>
      </c>
      <c r="BB924" s="1">
        <v>148.0</v>
      </c>
      <c r="BC924" s="1">
        <v>153.0</v>
      </c>
      <c r="BD924" s="1" t="s">
        <v>74</v>
      </c>
      <c r="BE924" s="1" t="s">
        <v>74</v>
      </c>
      <c r="BF924" s="1" t="s">
        <v>74</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8444</v>
      </c>
      <c r="BT924" s="1" t="str">
        <f>HYPERLINK("https%3A%2F%2Fwww.webofscience.com%2Fwos%2Fwoscc%2Ffull-record%2FWOS:000226762100005","View Full Record in Web of Science")</f>
        <v>View Full Record in Web of Science</v>
      </c>
    </row>
    <row r="925" ht="12.75" customHeight="1">
      <c r="A925" s="1" t="s">
        <v>72</v>
      </c>
      <c r="B925" s="1" t="s">
        <v>8445</v>
      </c>
      <c r="C925" s="1" t="s">
        <v>74</v>
      </c>
      <c r="D925" s="1" t="s">
        <v>74</v>
      </c>
      <c r="E925" s="1" t="s">
        <v>74</v>
      </c>
      <c r="F925" s="1" t="s">
        <v>8445</v>
      </c>
      <c r="G925" s="1" t="s">
        <v>74</v>
      </c>
      <c r="H925" s="1" t="s">
        <v>74</v>
      </c>
      <c r="I925" s="1" t="s">
        <v>8446</v>
      </c>
      <c r="J925" s="1" t="s">
        <v>8447</v>
      </c>
      <c r="K925" s="1" t="s">
        <v>74</v>
      </c>
      <c r="L925" s="1" t="s">
        <v>74</v>
      </c>
      <c r="M925" s="1" t="s">
        <v>74</v>
      </c>
      <c r="N925" s="1" t="s">
        <v>74</v>
      </c>
      <c r="O925" s="1" t="s">
        <v>74</v>
      </c>
      <c r="P925" s="1" t="s">
        <v>74</v>
      </c>
      <c r="Q925" s="1" t="s">
        <v>74</v>
      </c>
      <c r="R925" s="1" t="s">
        <v>74</v>
      </c>
      <c r="S925" s="1" t="s">
        <v>74</v>
      </c>
      <c r="T925" s="1" t="s">
        <v>74</v>
      </c>
      <c r="U925" s="1" t="s">
        <v>74</v>
      </c>
      <c r="V925" s="1" t="s">
        <v>8448</v>
      </c>
      <c r="W925" s="1" t="s">
        <v>74</v>
      </c>
      <c r="X925" s="1" t="s">
        <v>74</v>
      </c>
      <c r="Y925" s="1" t="s">
        <v>74</v>
      </c>
      <c r="Z925" s="1" t="s">
        <v>74</v>
      </c>
      <c r="AA925" s="1" t="s">
        <v>8449</v>
      </c>
      <c r="AB925" s="1" t="s">
        <v>8450</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8451</v>
      </c>
      <c r="AP925" s="1" t="s">
        <v>74</v>
      </c>
      <c r="AQ925" s="1" t="s">
        <v>74</v>
      </c>
      <c r="AR925" s="1" t="s">
        <v>74</v>
      </c>
      <c r="AS925" s="1" t="s">
        <v>74</v>
      </c>
      <c r="AT925" s="1" t="s">
        <v>116</v>
      </c>
      <c r="AU925" s="1">
        <v>2002.0</v>
      </c>
      <c r="AV925" s="1">
        <v>18.0</v>
      </c>
      <c r="AW925" s="1">
        <v>7.0</v>
      </c>
      <c r="AX925" s="1" t="s">
        <v>74</v>
      </c>
      <c r="AY925" s="1" t="s">
        <v>74</v>
      </c>
      <c r="AZ925" s="1" t="s">
        <v>74</v>
      </c>
      <c r="BA925" s="1" t="s">
        <v>74</v>
      </c>
      <c r="BB925" s="1">
        <v>483.0</v>
      </c>
      <c r="BC925" s="1">
        <v>493.0</v>
      </c>
      <c r="BD925" s="1" t="s">
        <v>74</v>
      </c>
      <c r="BE925" s="1" t="s">
        <v>8452</v>
      </c>
      <c r="BF925" s="2" t="str">
        <f>HYPERLINK("http://dx.doi.org/10.1002/cnm.506","http://dx.doi.org/10.1002/cnm.506")</f>
        <v>http://dx.doi.org/10.1002/cnm.506</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8453</v>
      </c>
      <c r="BT925" s="1" t="str">
        <f>HYPERLINK("https%3A%2F%2Fwww.webofscience.com%2Fwos%2Fwoscc%2Ffull-record%2FWOS:000177032800003","View Full Record in Web of Science")</f>
        <v>View Full Record in Web of Science</v>
      </c>
    </row>
    <row r="926" ht="12.75" customHeight="1">
      <c r="A926" s="1" t="s">
        <v>72</v>
      </c>
      <c r="B926" s="1" t="s">
        <v>8454</v>
      </c>
      <c r="C926" s="1" t="s">
        <v>74</v>
      </c>
      <c r="D926" s="1" t="s">
        <v>74</v>
      </c>
      <c r="E926" s="1" t="s">
        <v>74</v>
      </c>
      <c r="F926" s="1" t="s">
        <v>8454</v>
      </c>
      <c r="G926" s="1" t="s">
        <v>74</v>
      </c>
      <c r="H926" s="1" t="s">
        <v>74</v>
      </c>
      <c r="I926" s="1" t="s">
        <v>8455</v>
      </c>
      <c r="J926" s="1" t="s">
        <v>8456</v>
      </c>
      <c r="K926" s="1" t="s">
        <v>74</v>
      </c>
      <c r="L926" s="1" t="s">
        <v>74</v>
      </c>
      <c r="M926" s="1" t="s">
        <v>74</v>
      </c>
      <c r="N926" s="1" t="s">
        <v>74</v>
      </c>
      <c r="O926" s="1" t="s">
        <v>74</v>
      </c>
      <c r="P926" s="1" t="s">
        <v>74</v>
      </c>
      <c r="Q926" s="1" t="s">
        <v>74</v>
      </c>
      <c r="R926" s="1" t="s">
        <v>74</v>
      </c>
      <c r="S926" s="1" t="s">
        <v>74</v>
      </c>
      <c r="T926" s="1" t="s">
        <v>74</v>
      </c>
      <c r="U926" s="1" t="s">
        <v>74</v>
      </c>
      <c r="V926" s="1" t="s">
        <v>8457</v>
      </c>
      <c r="W926" s="1" t="s">
        <v>74</v>
      </c>
      <c r="X926" s="1" t="s">
        <v>74</v>
      </c>
      <c r="Y926" s="1" t="s">
        <v>74</v>
      </c>
      <c r="Z926" s="1" t="s">
        <v>74</v>
      </c>
      <c r="AA926" s="1" t="s">
        <v>74</v>
      </c>
      <c r="AB926" s="1" t="s">
        <v>8458</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8459</v>
      </c>
      <c r="AP926" s="1" t="s">
        <v>74</v>
      </c>
      <c r="AQ926" s="1" t="s">
        <v>74</v>
      </c>
      <c r="AR926" s="1" t="s">
        <v>74</v>
      </c>
      <c r="AS926" s="1" t="s">
        <v>74</v>
      </c>
      <c r="AT926" s="1" t="s">
        <v>319</v>
      </c>
      <c r="AU926" s="1">
        <v>2002.0</v>
      </c>
      <c r="AV926" s="1">
        <v>36.0</v>
      </c>
      <c r="AW926" s="1">
        <v>3.0</v>
      </c>
      <c r="AX926" s="1" t="s">
        <v>74</v>
      </c>
      <c r="AY926" s="1" t="s">
        <v>74</v>
      </c>
      <c r="AZ926" s="1" t="s">
        <v>74</v>
      </c>
      <c r="BA926" s="1" t="s">
        <v>74</v>
      </c>
      <c r="BB926" s="1">
        <v>277.0</v>
      </c>
      <c r="BC926" s="1">
        <v>284.0</v>
      </c>
      <c r="BD926" s="1" t="s">
        <v>74</v>
      </c>
      <c r="BE926" s="1" t="s">
        <v>8460</v>
      </c>
      <c r="BF926" s="2" t="str">
        <f>HYPERLINK("http://dx.doi.org/10.1080/10715760290019291","http://dx.doi.org/10.1080/10715760290019291")</f>
        <v>http://dx.doi.org/10.1080/10715760290019291</v>
      </c>
      <c r="BG926" s="1" t="s">
        <v>74</v>
      </c>
      <c r="BH926" s="1" t="s">
        <v>74</v>
      </c>
      <c r="BI926" s="1" t="s">
        <v>74</v>
      </c>
      <c r="BJ926" s="1" t="s">
        <v>74</v>
      </c>
      <c r="BK926" s="1" t="s">
        <v>74</v>
      </c>
      <c r="BL926" s="1" t="s">
        <v>74</v>
      </c>
      <c r="BM926" s="1" t="s">
        <v>74</v>
      </c>
      <c r="BN926" s="1">
        <v>1.2071346E7</v>
      </c>
      <c r="BO926" s="1" t="s">
        <v>74</v>
      </c>
      <c r="BP926" s="1" t="s">
        <v>74</v>
      </c>
      <c r="BQ926" s="1" t="s">
        <v>74</v>
      </c>
      <c r="BR926" s="1" t="s">
        <v>74</v>
      </c>
      <c r="BS926" s="1" t="s">
        <v>8461</v>
      </c>
      <c r="BT926" s="1" t="str">
        <f>HYPERLINK("https%3A%2F%2Fwww.webofscience.com%2Fwos%2Fwoscc%2Ffull-record%2FWOS:000174725300006","View Full Record in Web of Science")</f>
        <v>View Full Record in Web of Science</v>
      </c>
    </row>
    <row r="927" ht="12.75" customHeight="1">
      <c r="A927" s="1" t="s">
        <v>72</v>
      </c>
      <c r="B927" s="1" t="s">
        <v>8462</v>
      </c>
      <c r="C927" s="1" t="s">
        <v>74</v>
      </c>
      <c r="D927" s="1" t="s">
        <v>74</v>
      </c>
      <c r="E927" s="1" t="s">
        <v>74</v>
      </c>
      <c r="F927" s="1" t="s">
        <v>8462</v>
      </c>
      <c r="G927" s="1" t="s">
        <v>74</v>
      </c>
      <c r="H927" s="1" t="s">
        <v>74</v>
      </c>
      <c r="I927" s="1" t="s">
        <v>8463</v>
      </c>
      <c r="J927" s="1" t="s">
        <v>8464</v>
      </c>
      <c r="K927" s="1" t="s">
        <v>74</v>
      </c>
      <c r="L927" s="1" t="s">
        <v>74</v>
      </c>
      <c r="M927" s="1" t="s">
        <v>74</v>
      </c>
      <c r="N927" s="1" t="s">
        <v>74</v>
      </c>
      <c r="O927" s="1" t="s">
        <v>74</v>
      </c>
      <c r="P927" s="1" t="s">
        <v>74</v>
      </c>
      <c r="Q927" s="1" t="s">
        <v>74</v>
      </c>
      <c r="R927" s="1" t="s">
        <v>74</v>
      </c>
      <c r="S927" s="1" t="s">
        <v>74</v>
      </c>
      <c r="T927" s="1" t="s">
        <v>74</v>
      </c>
      <c r="U927" s="1" t="s">
        <v>74</v>
      </c>
      <c r="V927" s="1" t="s">
        <v>74</v>
      </c>
      <c r="W927" s="1" t="s">
        <v>74</v>
      </c>
      <c r="X927" s="1" t="s">
        <v>74</v>
      </c>
      <c r="Y927" s="1" t="s">
        <v>74</v>
      </c>
      <c r="Z927" s="1" t="s">
        <v>74</v>
      </c>
      <c r="AA927" s="1" t="s">
        <v>74</v>
      </c>
      <c r="AB927" s="1" t="s">
        <v>74</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8465</v>
      </c>
      <c r="AP927" s="1" t="s">
        <v>74</v>
      </c>
      <c r="AQ927" s="1" t="s">
        <v>74</v>
      </c>
      <c r="AR927" s="1" t="s">
        <v>74</v>
      </c>
      <c r="AS927" s="1" t="s">
        <v>74</v>
      </c>
      <c r="AT927" s="1" t="s">
        <v>94</v>
      </c>
      <c r="AU927" s="1">
        <v>2002.0</v>
      </c>
      <c r="AV927" s="1">
        <v>82.0</v>
      </c>
      <c r="AW927" s="1">
        <v>1.0</v>
      </c>
      <c r="AX927" s="1">
        <v>2.0</v>
      </c>
      <c r="AY927" s="1" t="s">
        <v>74</v>
      </c>
      <c r="AZ927" s="1" t="s">
        <v>74</v>
      </c>
      <c r="BA927" s="1">
        <v>1078.0</v>
      </c>
      <c r="BB927" s="1" t="s">
        <v>8466</v>
      </c>
      <c r="BC927" s="1" t="s">
        <v>8467</v>
      </c>
      <c r="BD927" s="1" t="s">
        <v>74</v>
      </c>
      <c r="BE927" s="1" t="s">
        <v>74</v>
      </c>
      <c r="BF927" s="1" t="s">
        <v>74</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8468</v>
      </c>
      <c r="BT927" s="1" t="str">
        <f>HYPERLINK("https%3A%2F%2Fwww.webofscience.com%2Fwos%2Fwoscc%2Ffull-record%2FWOS:000173252701089","View Full Record in Web of Science")</f>
        <v>View Full Record in Web of Science</v>
      </c>
    </row>
    <row r="928" ht="12.75" customHeight="1">
      <c r="A928" s="1" t="s">
        <v>72</v>
      </c>
      <c r="B928" s="1" t="s">
        <v>8469</v>
      </c>
      <c r="C928" s="1" t="s">
        <v>74</v>
      </c>
      <c r="D928" s="1" t="s">
        <v>74</v>
      </c>
      <c r="E928" s="1" t="s">
        <v>74</v>
      </c>
      <c r="F928" s="1" t="s">
        <v>8469</v>
      </c>
      <c r="G928" s="1" t="s">
        <v>74</v>
      </c>
      <c r="H928" s="1" t="s">
        <v>74</v>
      </c>
      <c r="I928" s="1" t="s">
        <v>8470</v>
      </c>
      <c r="J928" s="1" t="s">
        <v>8471</v>
      </c>
      <c r="K928" s="1" t="s">
        <v>74</v>
      </c>
      <c r="L928" s="1" t="s">
        <v>74</v>
      </c>
      <c r="M928" s="1" t="s">
        <v>74</v>
      </c>
      <c r="N928" s="1" t="s">
        <v>74</v>
      </c>
      <c r="O928" s="1" t="s">
        <v>74</v>
      </c>
      <c r="P928" s="1" t="s">
        <v>74</v>
      </c>
      <c r="Q928" s="1" t="s">
        <v>74</v>
      </c>
      <c r="R928" s="1" t="s">
        <v>74</v>
      </c>
      <c r="S928" s="1" t="s">
        <v>74</v>
      </c>
      <c r="T928" s="1" t="s">
        <v>74</v>
      </c>
      <c r="U928" s="1" t="s">
        <v>74</v>
      </c>
      <c r="V928" s="1" t="s">
        <v>8472</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8473</v>
      </c>
      <c r="AP928" s="1" t="s">
        <v>74</v>
      </c>
      <c r="AQ928" s="1" t="s">
        <v>74</v>
      </c>
      <c r="AR928" s="1" t="s">
        <v>74</v>
      </c>
      <c r="AS928" s="1" t="s">
        <v>74</v>
      </c>
      <c r="AT928" s="1" t="s">
        <v>116</v>
      </c>
      <c r="AU928" s="1">
        <v>2000.0</v>
      </c>
      <c r="AV928" s="1">
        <v>32.0</v>
      </c>
      <c r="AW928" s="1">
        <v>3.0</v>
      </c>
      <c r="AX928" s="1" t="s">
        <v>74</v>
      </c>
      <c r="AY928" s="1" t="s">
        <v>74</v>
      </c>
      <c r="AZ928" s="1" t="s">
        <v>74</v>
      </c>
      <c r="BA928" s="1" t="s">
        <v>74</v>
      </c>
      <c r="BB928" s="1">
        <v>278.0</v>
      </c>
      <c r="BC928" s="1">
        <v>286.0</v>
      </c>
      <c r="BD928" s="1" t="s">
        <v>74</v>
      </c>
      <c r="BE928" s="1" t="s">
        <v>74</v>
      </c>
      <c r="BF928" s="1" t="s">
        <v>74</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8474</v>
      </c>
      <c r="BT928" s="1" t="str">
        <f>HYPERLINK("https%3A%2F%2Fwww.webofscience.com%2Fwos%2Fwoscc%2Ffull-record%2FWOS:000088163900003","View Full Record in Web of Science")</f>
        <v>View Full Record in Web of Science</v>
      </c>
    </row>
    <row r="929" ht="12.75" customHeight="1">
      <c r="A929" s="1" t="s">
        <v>72</v>
      </c>
      <c r="B929" s="1" t="s">
        <v>8475</v>
      </c>
      <c r="C929" s="1" t="s">
        <v>74</v>
      </c>
      <c r="D929" s="1" t="s">
        <v>74</v>
      </c>
      <c r="E929" s="1" t="s">
        <v>74</v>
      </c>
      <c r="F929" s="1" t="s">
        <v>8475</v>
      </c>
      <c r="G929" s="1" t="s">
        <v>74</v>
      </c>
      <c r="H929" s="1" t="s">
        <v>74</v>
      </c>
      <c r="I929" s="1" t="s">
        <v>8476</v>
      </c>
      <c r="J929" s="1" t="s">
        <v>8477</v>
      </c>
      <c r="K929" s="1" t="s">
        <v>74</v>
      </c>
      <c r="L929" s="1" t="s">
        <v>74</v>
      </c>
      <c r="M929" s="1" t="s">
        <v>74</v>
      </c>
      <c r="N929" s="1" t="s">
        <v>74</v>
      </c>
      <c r="O929" s="1" t="s">
        <v>74</v>
      </c>
      <c r="P929" s="1" t="s">
        <v>74</v>
      </c>
      <c r="Q929" s="1" t="s">
        <v>74</v>
      </c>
      <c r="R929" s="1" t="s">
        <v>74</v>
      </c>
      <c r="S929" s="1" t="s">
        <v>74</v>
      </c>
      <c r="T929" s="1" t="s">
        <v>74</v>
      </c>
      <c r="U929" s="1" t="s">
        <v>74</v>
      </c>
      <c r="V929" s="1" t="s">
        <v>8478</v>
      </c>
      <c r="W929" s="1" t="s">
        <v>74</v>
      </c>
      <c r="X929" s="1" t="s">
        <v>74</v>
      </c>
      <c r="Y929" s="1" t="s">
        <v>74</v>
      </c>
      <c r="Z929" s="1" t="s">
        <v>74</v>
      </c>
      <c r="AA929" s="1" t="s">
        <v>8479</v>
      </c>
      <c r="AB929" s="1" t="s">
        <v>8480</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8481</v>
      </c>
      <c r="AP929" s="1" t="s">
        <v>74</v>
      </c>
      <c r="AQ929" s="1" t="s">
        <v>74</v>
      </c>
      <c r="AR929" s="1" t="s">
        <v>74</v>
      </c>
      <c r="AS929" s="1" t="s">
        <v>74</v>
      </c>
      <c r="AT929" s="1" t="s">
        <v>2180</v>
      </c>
      <c r="AU929" s="1">
        <v>1999.0</v>
      </c>
      <c r="AV929" s="1">
        <v>175.0</v>
      </c>
      <c r="AW929" s="1">
        <v>1.0</v>
      </c>
      <c r="AX929" s="1" t="s">
        <v>74</v>
      </c>
      <c r="AY929" s="1" t="s">
        <v>74</v>
      </c>
      <c r="AZ929" s="1" t="s">
        <v>74</v>
      </c>
      <c r="BA929" s="1" t="s">
        <v>74</v>
      </c>
      <c r="BB929" s="1">
        <v>95.0</v>
      </c>
      <c r="BC929" s="1">
        <v>99.0</v>
      </c>
      <c r="BD929" s="1" t="s">
        <v>74</v>
      </c>
      <c r="BE929" s="1" t="s">
        <v>8482</v>
      </c>
      <c r="BF929" s="2" t="str">
        <f>HYPERLINK("http://dx.doi.org/10.1016/S0378-1097(99)00177-9","http://dx.doi.org/10.1016/S0378-1097(99)00177-9")</f>
        <v>http://dx.doi.org/10.1016/S0378-1097(99)00177-9</v>
      </c>
      <c r="BG929" s="1" t="s">
        <v>74</v>
      </c>
      <c r="BH929" s="1" t="s">
        <v>74</v>
      </c>
      <c r="BI929" s="1" t="s">
        <v>74</v>
      </c>
      <c r="BJ929" s="1" t="s">
        <v>74</v>
      </c>
      <c r="BK929" s="1" t="s">
        <v>74</v>
      </c>
      <c r="BL929" s="1" t="s">
        <v>74</v>
      </c>
      <c r="BM929" s="1" t="s">
        <v>74</v>
      </c>
      <c r="BN929" s="1">
        <v>1.0361713E7</v>
      </c>
      <c r="BO929" s="1" t="s">
        <v>74</v>
      </c>
      <c r="BP929" s="1" t="s">
        <v>74</v>
      </c>
      <c r="BQ929" s="1" t="s">
        <v>74</v>
      </c>
      <c r="BR929" s="1" t="s">
        <v>74</v>
      </c>
      <c r="BS929" s="1" t="s">
        <v>8483</v>
      </c>
      <c r="BT929" s="1" t="str">
        <f>HYPERLINK("https%3A%2F%2Fwww.webofscience.com%2Fwos%2Fwoscc%2Ffull-record%2FWOS:000080730700012","View Full Record in Web of Science")</f>
        <v>View Full Record in Web of Science</v>
      </c>
    </row>
    <row r="930" ht="12.75" customHeight="1">
      <c r="A930" s="1" t="s">
        <v>72</v>
      </c>
      <c r="B930" s="1" t="s">
        <v>8484</v>
      </c>
      <c r="C930" s="1" t="s">
        <v>74</v>
      </c>
      <c r="D930" s="1" t="s">
        <v>74</v>
      </c>
      <c r="E930" s="1" t="s">
        <v>74</v>
      </c>
      <c r="F930" s="1" t="s">
        <v>8484</v>
      </c>
      <c r="G930" s="1" t="s">
        <v>74</v>
      </c>
      <c r="H930" s="1" t="s">
        <v>74</v>
      </c>
      <c r="I930" s="1" t="s">
        <v>8485</v>
      </c>
      <c r="J930" s="1" t="s">
        <v>8486</v>
      </c>
      <c r="K930" s="1" t="s">
        <v>74</v>
      </c>
      <c r="L930" s="1" t="s">
        <v>74</v>
      </c>
      <c r="M930" s="1" t="s">
        <v>74</v>
      </c>
      <c r="N930" s="1" t="s">
        <v>74</v>
      </c>
      <c r="O930" s="1" t="s">
        <v>74</v>
      </c>
      <c r="P930" s="1" t="s">
        <v>74</v>
      </c>
      <c r="Q930" s="1" t="s">
        <v>74</v>
      </c>
      <c r="R930" s="1" t="s">
        <v>74</v>
      </c>
      <c r="S930" s="1" t="s">
        <v>74</v>
      </c>
      <c r="T930" s="1" t="s">
        <v>74</v>
      </c>
      <c r="U930" s="1" t="s">
        <v>74</v>
      </c>
      <c r="V930" s="1" t="s">
        <v>8487</v>
      </c>
      <c r="W930" s="1" t="s">
        <v>74</v>
      </c>
      <c r="X930" s="1" t="s">
        <v>74</v>
      </c>
      <c r="Y930" s="1" t="s">
        <v>74</v>
      </c>
      <c r="Z930" s="1" t="s">
        <v>74</v>
      </c>
      <c r="AA930" s="1" t="s">
        <v>8488</v>
      </c>
      <c r="AB930" s="1" t="s">
        <v>74</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8489</v>
      </c>
      <c r="AP930" s="1" t="s">
        <v>74</v>
      </c>
      <c r="AQ930" s="1" t="s">
        <v>74</v>
      </c>
      <c r="AR930" s="1" t="s">
        <v>74</v>
      </c>
      <c r="AS930" s="1" t="s">
        <v>74</v>
      </c>
      <c r="AT930" s="1" t="s">
        <v>353</v>
      </c>
      <c r="AU930" s="1">
        <v>1998.0</v>
      </c>
      <c r="AV930" s="1">
        <v>111.0</v>
      </c>
      <c r="AW930" s="1">
        <v>5.0</v>
      </c>
      <c r="AX930" s="1" t="s">
        <v>74</v>
      </c>
      <c r="AY930" s="1" t="s">
        <v>74</v>
      </c>
      <c r="AZ930" s="1" t="s">
        <v>74</v>
      </c>
      <c r="BA930" s="1" t="s">
        <v>74</v>
      </c>
      <c r="BB930" s="1">
        <v>383.0</v>
      </c>
      <c r="BC930" s="1">
        <v>389.0</v>
      </c>
      <c r="BD930" s="1" t="s">
        <v>74</v>
      </c>
      <c r="BE930" s="1" t="s">
        <v>8490</v>
      </c>
      <c r="BF930" s="2" t="str">
        <f>HYPERLINK("http://dx.doi.org/10.1111/j.1438-8677.1998.tb00723.x","http://dx.doi.org/10.1111/j.1438-8677.1998.tb00723.x")</f>
        <v>http://dx.doi.org/10.1111/j.1438-8677.1998.tb00723.x</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8491</v>
      </c>
      <c r="BT930" s="1" t="str">
        <f>HYPERLINK("https%3A%2F%2Fwww.webofscience.com%2Fwos%2Fwoscc%2Ffull-record%2FWOS:000076560600006","View Full Record in Web of Science")</f>
        <v>View Full Record in Web of Science</v>
      </c>
    </row>
    <row r="931" ht="12.75" customHeight="1">
      <c r="A931" s="1" t="s">
        <v>72</v>
      </c>
      <c r="B931" s="1" t="s">
        <v>8492</v>
      </c>
      <c r="C931" s="1" t="s">
        <v>74</v>
      </c>
      <c r="D931" s="1" t="s">
        <v>74</v>
      </c>
      <c r="E931" s="1" t="s">
        <v>74</v>
      </c>
      <c r="F931" s="1" t="s">
        <v>8492</v>
      </c>
      <c r="G931" s="1" t="s">
        <v>74</v>
      </c>
      <c r="H931" s="1" t="s">
        <v>74</v>
      </c>
      <c r="I931" s="1" t="s">
        <v>8493</v>
      </c>
      <c r="J931" s="1" t="s">
        <v>6122</v>
      </c>
      <c r="K931" s="1" t="s">
        <v>74</v>
      </c>
      <c r="L931" s="1" t="s">
        <v>74</v>
      </c>
      <c r="M931" s="1" t="s">
        <v>74</v>
      </c>
      <c r="N931" s="1" t="s">
        <v>74</v>
      </c>
      <c r="O931" s="1" t="s">
        <v>74</v>
      </c>
      <c r="P931" s="1" t="s">
        <v>74</v>
      </c>
      <c r="Q931" s="1" t="s">
        <v>74</v>
      </c>
      <c r="R931" s="1" t="s">
        <v>74</v>
      </c>
      <c r="S931" s="1" t="s">
        <v>74</v>
      </c>
      <c r="T931" s="1" t="s">
        <v>74</v>
      </c>
      <c r="U931" s="1" t="s">
        <v>74</v>
      </c>
      <c r="V931" s="1" t="s">
        <v>74</v>
      </c>
      <c r="W931" s="1" t="s">
        <v>74</v>
      </c>
      <c r="X931" s="1" t="s">
        <v>74</v>
      </c>
      <c r="Y931" s="1" t="s">
        <v>74</v>
      </c>
      <c r="Z931" s="1" t="s">
        <v>74</v>
      </c>
      <c r="AA931" s="1" t="s">
        <v>6775</v>
      </c>
      <c r="AB931" s="1" t="s">
        <v>6776</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6124</v>
      </c>
      <c r="AP931" s="1" t="s">
        <v>74</v>
      </c>
      <c r="AQ931" s="1" t="s">
        <v>74</v>
      </c>
      <c r="AR931" s="1" t="s">
        <v>74</v>
      </c>
      <c r="AS931" s="1" t="s">
        <v>74</v>
      </c>
      <c r="AT931" s="1" t="s">
        <v>8494</v>
      </c>
      <c r="AU931" s="1">
        <v>1990.0</v>
      </c>
      <c r="AV931" s="1">
        <v>23.0</v>
      </c>
      <c r="AW931" s="1">
        <v>25.0</v>
      </c>
      <c r="AX931" s="1" t="s">
        <v>74</v>
      </c>
      <c r="AY931" s="1" t="s">
        <v>74</v>
      </c>
      <c r="AZ931" s="1" t="s">
        <v>74</v>
      </c>
      <c r="BA931" s="1" t="s">
        <v>74</v>
      </c>
      <c r="BB931" s="1">
        <v>5173.0</v>
      </c>
      <c r="BC931" s="1">
        <v>5175.0</v>
      </c>
      <c r="BD931" s="1" t="s">
        <v>74</v>
      </c>
      <c r="BE931" s="1" t="s">
        <v>8495</v>
      </c>
      <c r="BF931" s="2" t="str">
        <f>HYPERLINK("http://dx.doi.org/10.1021/ma00227a001","http://dx.doi.org/10.1021/ma00227a001")</f>
        <v>http://dx.doi.org/10.1021/ma00227a001</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8496</v>
      </c>
      <c r="BT931" s="1" t="str">
        <f>HYPERLINK("https%3A%2F%2Fwww.webofscience.com%2Fwos%2Fwoscc%2Ffull-record%2FWOS:A1990EM33500001","View Full Record in Web of Science")</f>
        <v>View Full Record in Web of Science</v>
      </c>
    </row>
    <row r="932" ht="12.75" customHeight="1">
      <c r="A932" s="1" t="s">
        <v>72</v>
      </c>
      <c r="B932" s="1" t="s">
        <v>8497</v>
      </c>
      <c r="C932" s="1" t="s">
        <v>74</v>
      </c>
      <c r="D932" s="1" t="s">
        <v>74</v>
      </c>
      <c r="E932" s="1" t="s">
        <v>74</v>
      </c>
      <c r="F932" s="1" t="s">
        <v>8497</v>
      </c>
      <c r="G932" s="1" t="s">
        <v>74</v>
      </c>
      <c r="H932" s="1" t="s">
        <v>74</v>
      </c>
      <c r="I932" s="1" t="s">
        <v>8498</v>
      </c>
      <c r="J932" s="1" t="s">
        <v>7487</v>
      </c>
      <c r="K932" s="1" t="s">
        <v>74</v>
      </c>
      <c r="L932" s="1" t="s">
        <v>74</v>
      </c>
      <c r="M932" s="1" t="s">
        <v>74</v>
      </c>
      <c r="N932" s="1" t="s">
        <v>74</v>
      </c>
      <c r="O932" s="1" t="s">
        <v>74</v>
      </c>
      <c r="P932" s="1" t="s">
        <v>74</v>
      </c>
      <c r="Q932" s="1" t="s">
        <v>74</v>
      </c>
      <c r="R932" s="1" t="s">
        <v>74</v>
      </c>
      <c r="S932" s="1" t="s">
        <v>74</v>
      </c>
      <c r="T932" s="1" t="s">
        <v>74</v>
      </c>
      <c r="U932" s="1" t="s">
        <v>74</v>
      </c>
      <c r="V932" s="1" t="s">
        <v>74</v>
      </c>
      <c r="W932" s="1" t="s">
        <v>74</v>
      </c>
      <c r="X932" s="1" t="s">
        <v>74</v>
      </c>
      <c r="Y932" s="1" t="s">
        <v>74</v>
      </c>
      <c r="Z932" s="1" t="s">
        <v>74</v>
      </c>
      <c r="AA932" s="1" t="s">
        <v>74</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7488</v>
      </c>
      <c r="AP932" s="1" t="s">
        <v>74</v>
      </c>
      <c r="AQ932" s="1" t="s">
        <v>74</v>
      </c>
      <c r="AR932" s="1" t="s">
        <v>74</v>
      </c>
      <c r="AS932" s="1" t="s">
        <v>74</v>
      </c>
      <c r="AT932" s="1" t="s">
        <v>501</v>
      </c>
      <c r="AU932" s="1">
        <v>1988.0</v>
      </c>
      <c r="AV932" s="1">
        <v>21.0</v>
      </c>
      <c r="AW932" s="1">
        <v>2.0</v>
      </c>
      <c r="AX932" s="1" t="s">
        <v>74</v>
      </c>
      <c r="AY932" s="1" t="s">
        <v>74</v>
      </c>
      <c r="AZ932" s="1" t="s">
        <v>74</v>
      </c>
      <c r="BA932" s="1" t="s">
        <v>74</v>
      </c>
      <c r="BB932" s="1" t="s">
        <v>8499</v>
      </c>
      <c r="BC932" s="1" t="s">
        <v>8499</v>
      </c>
      <c r="BD932" s="1" t="s">
        <v>74</v>
      </c>
      <c r="BE932" s="1" t="s">
        <v>74</v>
      </c>
      <c r="BF932" s="1" t="s">
        <v>74</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8500</v>
      </c>
      <c r="BT932" s="1" t="str">
        <f>HYPERLINK("https%3A%2F%2Fwww.webofscience.com%2Fwos%2Fwoscc%2Ffull-record%2FWOS:A1988R048700050","View Full Record in Web of Science")</f>
        <v>View Full Record in Web of Science</v>
      </c>
    </row>
    <row r="933" ht="12.75" customHeight="1">
      <c r="A933" s="1" t="s">
        <v>72</v>
      </c>
      <c r="B933" s="1" t="s">
        <v>8501</v>
      </c>
      <c r="C933" s="1" t="s">
        <v>74</v>
      </c>
      <c r="D933" s="1" t="s">
        <v>74</v>
      </c>
      <c r="E933" s="1" t="s">
        <v>74</v>
      </c>
      <c r="F933" s="1" t="s">
        <v>8501</v>
      </c>
      <c r="G933" s="1" t="s">
        <v>74</v>
      </c>
      <c r="H933" s="1" t="s">
        <v>74</v>
      </c>
      <c r="I933" s="1" t="s">
        <v>8502</v>
      </c>
      <c r="J933" s="1" t="s">
        <v>2441</v>
      </c>
      <c r="K933" s="1" t="s">
        <v>74</v>
      </c>
      <c r="L933" s="1" t="s">
        <v>74</v>
      </c>
      <c r="M933" s="1" t="s">
        <v>74</v>
      </c>
      <c r="N933" s="1" t="s">
        <v>74</v>
      </c>
      <c r="O933" s="1" t="s">
        <v>74</v>
      </c>
      <c r="P933" s="1" t="s">
        <v>74</v>
      </c>
      <c r="Q933" s="1" t="s">
        <v>74</v>
      </c>
      <c r="R933" s="1" t="s">
        <v>74</v>
      </c>
      <c r="S933" s="1" t="s">
        <v>74</v>
      </c>
      <c r="T933" s="1" t="s">
        <v>74</v>
      </c>
      <c r="U933" s="1" t="s">
        <v>74</v>
      </c>
      <c r="V933" s="1" t="s">
        <v>74</v>
      </c>
      <c r="W933" s="1" t="s">
        <v>74</v>
      </c>
      <c r="X933" s="1" t="s">
        <v>74</v>
      </c>
      <c r="Y933" s="1" t="s">
        <v>74</v>
      </c>
      <c r="Z933" s="1" t="s">
        <v>74</v>
      </c>
      <c r="AA933" s="1" t="s">
        <v>8503</v>
      </c>
      <c r="AB933" s="1" t="s">
        <v>8504</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2444</v>
      </c>
      <c r="AP933" s="1" t="s">
        <v>74</v>
      </c>
      <c r="AQ933" s="1" t="s">
        <v>74</v>
      </c>
      <c r="AR933" s="1" t="s">
        <v>74</v>
      </c>
      <c r="AS933" s="1" t="s">
        <v>74</v>
      </c>
      <c r="AT933" s="1" t="s">
        <v>94</v>
      </c>
      <c r="AU933" s="1">
        <v>1986.0</v>
      </c>
      <c r="AV933" s="1">
        <v>27.0</v>
      </c>
      <c r="AW933" s="1">
        <v>1.0</v>
      </c>
      <c r="AX933" s="1" t="s">
        <v>74</v>
      </c>
      <c r="AY933" s="1" t="s">
        <v>74</v>
      </c>
      <c r="AZ933" s="1" t="s">
        <v>74</v>
      </c>
      <c r="BA933" s="1" t="s">
        <v>74</v>
      </c>
      <c r="BB933" s="1">
        <v>281.0</v>
      </c>
      <c r="BC933" s="1">
        <v>286.0</v>
      </c>
      <c r="BD933" s="1" t="s">
        <v>74</v>
      </c>
      <c r="BE933" s="1" t="s">
        <v>8505</v>
      </c>
      <c r="BF933" s="2" t="str">
        <f>HYPERLINK("http://dx.doi.org/10.1063/1.527375","http://dx.doi.org/10.1063/1.527375")</f>
        <v>http://dx.doi.org/10.1063/1.527375</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8506</v>
      </c>
      <c r="BT933" s="1" t="str">
        <f>HYPERLINK("https%3A%2F%2Fwww.webofscience.com%2Fwos%2Fwoscc%2Ffull-record%2FWOS:A1986AWQ7900039","View Full Record in Web of Science")</f>
        <v>View Full Record in Web of Science</v>
      </c>
    </row>
    <row r="934" ht="12.75" customHeight="1">
      <c r="A934" s="1" t="s">
        <v>72</v>
      </c>
      <c r="B934" s="1" t="s">
        <v>8507</v>
      </c>
      <c r="C934" s="1" t="s">
        <v>74</v>
      </c>
      <c r="D934" s="1" t="s">
        <v>74</v>
      </c>
      <c r="E934" s="1" t="s">
        <v>74</v>
      </c>
      <c r="F934" s="1" t="s">
        <v>8507</v>
      </c>
      <c r="G934" s="1" t="s">
        <v>74</v>
      </c>
      <c r="H934" s="1" t="s">
        <v>74</v>
      </c>
      <c r="I934" s="1" t="s">
        <v>8508</v>
      </c>
      <c r="J934" s="1" t="s">
        <v>8509</v>
      </c>
      <c r="K934" s="1" t="s">
        <v>74</v>
      </c>
      <c r="L934" s="1" t="s">
        <v>74</v>
      </c>
      <c r="M934" s="1" t="s">
        <v>74</v>
      </c>
      <c r="N934" s="1" t="s">
        <v>74</v>
      </c>
      <c r="O934" s="1" t="s">
        <v>74</v>
      </c>
      <c r="P934" s="1" t="s">
        <v>74</v>
      </c>
      <c r="Q934" s="1" t="s">
        <v>74</v>
      </c>
      <c r="R934" s="1" t="s">
        <v>74</v>
      </c>
      <c r="S934" s="1" t="s">
        <v>74</v>
      </c>
      <c r="T934" s="1" t="s">
        <v>74</v>
      </c>
      <c r="U934" s="1" t="s">
        <v>74</v>
      </c>
      <c r="V934" s="1" t="s">
        <v>74</v>
      </c>
      <c r="W934" s="1" t="s">
        <v>74</v>
      </c>
      <c r="X934" s="1" t="s">
        <v>74</v>
      </c>
      <c r="Y934" s="1" t="s">
        <v>74</v>
      </c>
      <c r="Z934" s="1" t="s">
        <v>74</v>
      </c>
      <c r="AA934" s="1" t="s">
        <v>74</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8510</v>
      </c>
      <c r="AP934" s="1" t="s">
        <v>74</v>
      </c>
      <c r="AQ934" s="1" t="s">
        <v>74</v>
      </c>
      <c r="AR934" s="1" t="s">
        <v>74</v>
      </c>
      <c r="AS934" s="1" t="s">
        <v>74</v>
      </c>
      <c r="AT934" s="1" t="s">
        <v>74</v>
      </c>
      <c r="AU934" s="1">
        <v>1985.0</v>
      </c>
      <c r="AV934" s="1">
        <v>111.0</v>
      </c>
      <c r="AW934" s="1">
        <v>6.0</v>
      </c>
      <c r="AX934" s="1" t="s">
        <v>74</v>
      </c>
      <c r="AY934" s="1" t="s">
        <v>74</v>
      </c>
      <c r="AZ934" s="1" t="s">
        <v>74</v>
      </c>
      <c r="BA934" s="1" t="s">
        <v>74</v>
      </c>
      <c r="BB934" s="1">
        <v>768.0</v>
      </c>
      <c r="BC934" s="1">
        <v>776.0</v>
      </c>
      <c r="BD934" s="1" t="s">
        <v>74</v>
      </c>
      <c r="BE934" s="1" t="s">
        <v>74</v>
      </c>
      <c r="BF934" s="1" t="s">
        <v>74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8511</v>
      </c>
      <c r="BT934" s="1" t="str">
        <f>HYPERLINK("https%3A%2F%2Fwww.webofscience.com%2Fwos%2Fwoscc%2Ffull-record%2FWOS:A1985AJS6000004","View Full Record in Web of Science")</f>
        <v>View Full Record in Web of Science</v>
      </c>
    </row>
    <row r="935" ht="12.75" customHeight="1">
      <c r="A935" s="1" t="s">
        <v>72</v>
      </c>
      <c r="B935" s="1" t="s">
        <v>8512</v>
      </c>
      <c r="C935" s="1" t="s">
        <v>74</v>
      </c>
      <c r="D935" s="1" t="s">
        <v>74</v>
      </c>
      <c r="E935" s="1" t="s">
        <v>74</v>
      </c>
      <c r="F935" s="1" t="s">
        <v>8512</v>
      </c>
      <c r="G935" s="1" t="s">
        <v>74</v>
      </c>
      <c r="H935" s="1" t="s">
        <v>74</v>
      </c>
      <c r="I935" s="1" t="s">
        <v>8513</v>
      </c>
      <c r="J935" s="1" t="s">
        <v>8514</v>
      </c>
      <c r="K935" s="1" t="s">
        <v>74</v>
      </c>
      <c r="L935" s="1" t="s">
        <v>74</v>
      </c>
      <c r="M935" s="1" t="s">
        <v>74</v>
      </c>
      <c r="N935" s="1" t="s">
        <v>74</v>
      </c>
      <c r="O935" s="1" t="s">
        <v>74</v>
      </c>
      <c r="P935" s="1" t="s">
        <v>74</v>
      </c>
      <c r="Q935" s="1" t="s">
        <v>74</v>
      </c>
      <c r="R935" s="1" t="s">
        <v>74</v>
      </c>
      <c r="S935" s="1" t="s">
        <v>74</v>
      </c>
      <c r="T935" s="1" t="s">
        <v>74</v>
      </c>
      <c r="U935" s="1" t="s">
        <v>74</v>
      </c>
      <c r="V935" s="1" t="s">
        <v>74</v>
      </c>
      <c r="W935" s="1" t="s">
        <v>74</v>
      </c>
      <c r="X935" s="1" t="s">
        <v>74</v>
      </c>
      <c r="Y935" s="1" t="s">
        <v>74</v>
      </c>
      <c r="Z935" s="1" t="s">
        <v>74</v>
      </c>
      <c r="AA935" s="1" t="s">
        <v>74</v>
      </c>
      <c r="AB935" s="1" t="s">
        <v>74</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8515</v>
      </c>
      <c r="AP935" s="1" t="s">
        <v>74</v>
      </c>
      <c r="AQ935" s="1" t="s">
        <v>74</v>
      </c>
      <c r="AR935" s="1" t="s">
        <v>74</v>
      </c>
      <c r="AS935" s="1" t="s">
        <v>74</v>
      </c>
      <c r="AT935" s="1" t="s">
        <v>74</v>
      </c>
      <c r="AU935" s="1">
        <v>1985.0</v>
      </c>
      <c r="AV935" s="1">
        <v>25.0</v>
      </c>
      <c r="AW935" s="1">
        <v>1.0</v>
      </c>
      <c r="AX935" s="1" t="s">
        <v>74</v>
      </c>
      <c r="AY935" s="1" t="s">
        <v>74</v>
      </c>
      <c r="AZ935" s="1" t="s">
        <v>74</v>
      </c>
      <c r="BA935" s="1" t="s">
        <v>74</v>
      </c>
      <c r="BB935" s="1">
        <v>91.0</v>
      </c>
      <c r="BC935" s="1">
        <v>95.0</v>
      </c>
      <c r="BD935" s="1" t="s">
        <v>74</v>
      </c>
      <c r="BE935" s="1" t="s">
        <v>8516</v>
      </c>
      <c r="BF935" s="2" t="str">
        <f>HYPERLINK("http://dx.doi.org/10.1080/03086648508074262","http://dx.doi.org/10.1080/03086648508074262")</f>
        <v>http://dx.doi.org/10.1080/03086648508074262</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8517</v>
      </c>
      <c r="BT935" s="1" t="str">
        <f>HYPERLINK("https%3A%2F%2Fwww.webofscience.com%2Fwos%2Fwoscc%2Ffull-record%2FWOS:A1985ASC8100013","View Full Record in Web of Science")</f>
        <v>View Full Record in Web of Science</v>
      </c>
    </row>
    <row r="936" ht="12.75" customHeight="1">
      <c r="A936" s="1" t="s">
        <v>72</v>
      </c>
      <c r="B936" s="1" t="s">
        <v>8518</v>
      </c>
      <c r="C936" s="1" t="s">
        <v>74</v>
      </c>
      <c r="D936" s="1" t="s">
        <v>74</v>
      </c>
      <c r="E936" s="1" t="s">
        <v>74</v>
      </c>
      <c r="F936" s="1" t="s">
        <v>8518</v>
      </c>
      <c r="G936" s="1" t="s">
        <v>74</v>
      </c>
      <c r="H936" s="1" t="s">
        <v>74</v>
      </c>
      <c r="I936" s="1" t="s">
        <v>8519</v>
      </c>
      <c r="J936" s="1" t="s">
        <v>669</v>
      </c>
      <c r="K936" s="1" t="s">
        <v>74</v>
      </c>
      <c r="L936" s="1" t="s">
        <v>74</v>
      </c>
      <c r="M936" s="1" t="s">
        <v>74</v>
      </c>
      <c r="N936" s="1" t="s">
        <v>74</v>
      </c>
      <c r="O936" s="1" t="s">
        <v>74</v>
      </c>
      <c r="P936" s="1" t="s">
        <v>74</v>
      </c>
      <c r="Q936" s="1" t="s">
        <v>74</v>
      </c>
      <c r="R936" s="1" t="s">
        <v>74</v>
      </c>
      <c r="S936" s="1" t="s">
        <v>74</v>
      </c>
      <c r="T936" s="1" t="s">
        <v>74</v>
      </c>
      <c r="U936" s="1" t="s">
        <v>74</v>
      </c>
      <c r="V936" s="1" t="s">
        <v>74</v>
      </c>
      <c r="W936" s="1" t="s">
        <v>74</v>
      </c>
      <c r="X936" s="1" t="s">
        <v>74</v>
      </c>
      <c r="Y936" s="1" t="s">
        <v>74</v>
      </c>
      <c r="Z936" s="1" t="s">
        <v>74</v>
      </c>
      <c r="AA936" s="1" t="s">
        <v>74</v>
      </c>
      <c r="AB936" s="1" t="s">
        <v>74</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670</v>
      </c>
      <c r="AP936" s="1" t="s">
        <v>74</v>
      </c>
      <c r="AQ936" s="1" t="s">
        <v>74</v>
      </c>
      <c r="AR936" s="1" t="s">
        <v>74</v>
      </c>
      <c r="AS936" s="1" t="s">
        <v>74</v>
      </c>
      <c r="AT936" s="1" t="s">
        <v>74</v>
      </c>
      <c r="AU936" s="1">
        <v>1979.0</v>
      </c>
      <c r="AV936" s="1">
        <v>72.0</v>
      </c>
      <c r="AW936" s="1">
        <v>3.0</v>
      </c>
      <c r="AX936" s="1" t="s">
        <v>74</v>
      </c>
      <c r="AY936" s="1" t="s">
        <v>74</v>
      </c>
      <c r="AZ936" s="1" t="s">
        <v>74</v>
      </c>
      <c r="BA936" s="1" t="s">
        <v>74</v>
      </c>
      <c r="BB936" s="1">
        <v>465.0</v>
      </c>
      <c r="BC936" s="1">
        <v>470.0</v>
      </c>
      <c r="BD936" s="1" t="s">
        <v>74</v>
      </c>
      <c r="BE936" s="1" t="s">
        <v>8520</v>
      </c>
      <c r="BF936" s="2" t="str">
        <f>HYPERLINK("http://dx.doi.org/10.1016/0021-9797(79)90347-3","http://dx.doi.org/10.1016/0021-9797(79)90347-3")</f>
        <v>http://dx.doi.org/10.1016/0021-9797(79)90347-3</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8521</v>
      </c>
      <c r="BT936" s="1" t="str">
        <f>HYPERLINK("https%3A%2F%2Fwww.webofscience.com%2Fwos%2Fwoscc%2Ffull-record%2FWOS:A1979HV13600008","View Full Record in Web of Science")</f>
        <v>View Full Record in Web of Science</v>
      </c>
    </row>
    <row r="937" ht="12.75" customHeight="1">
      <c r="A937" s="1" t="s">
        <v>72</v>
      </c>
      <c r="B937" s="1" t="s">
        <v>8522</v>
      </c>
      <c r="C937" s="1" t="s">
        <v>74</v>
      </c>
      <c r="D937" s="1" t="s">
        <v>74</v>
      </c>
      <c r="E937" s="1" t="s">
        <v>74</v>
      </c>
      <c r="F937" s="1" t="s">
        <v>8522</v>
      </c>
      <c r="G937" s="1" t="s">
        <v>74</v>
      </c>
      <c r="H937" s="1" t="s">
        <v>74</v>
      </c>
      <c r="I937" s="1" t="s">
        <v>8523</v>
      </c>
      <c r="J937" s="1" t="s">
        <v>8524</v>
      </c>
      <c r="K937" s="1" t="s">
        <v>74</v>
      </c>
      <c r="L937" s="1" t="s">
        <v>74</v>
      </c>
      <c r="M937" s="1" t="s">
        <v>74</v>
      </c>
      <c r="N937" s="1" t="s">
        <v>74</v>
      </c>
      <c r="O937" s="1" t="s">
        <v>74</v>
      </c>
      <c r="P937" s="1" t="s">
        <v>74</v>
      </c>
      <c r="Q937" s="1" t="s">
        <v>74</v>
      </c>
      <c r="R937" s="1" t="s">
        <v>74</v>
      </c>
      <c r="S937" s="1" t="s">
        <v>74</v>
      </c>
      <c r="T937" s="1" t="s">
        <v>74</v>
      </c>
      <c r="U937" s="1" t="s">
        <v>74</v>
      </c>
      <c r="V937" s="1" t="s">
        <v>74</v>
      </c>
      <c r="W937" s="1" t="s">
        <v>74</v>
      </c>
      <c r="X937" s="1" t="s">
        <v>74</v>
      </c>
      <c r="Y937" s="1" t="s">
        <v>74</v>
      </c>
      <c r="Z937" s="1" t="s">
        <v>74</v>
      </c>
      <c r="AA937" s="1" t="s">
        <v>74</v>
      </c>
      <c r="AB937" s="1" t="s">
        <v>74</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8525</v>
      </c>
      <c r="AP937" s="1" t="s">
        <v>74</v>
      </c>
      <c r="AQ937" s="1" t="s">
        <v>74</v>
      </c>
      <c r="AR937" s="1" t="s">
        <v>74</v>
      </c>
      <c r="AS937" s="1" t="s">
        <v>74</v>
      </c>
      <c r="AT937" s="1" t="s">
        <v>74</v>
      </c>
      <c r="AU937" s="1">
        <v>1978.0</v>
      </c>
      <c r="AV937" s="1">
        <v>17.0</v>
      </c>
      <c r="AW937" s="1">
        <v>2.0</v>
      </c>
      <c r="AX937" s="1" t="s">
        <v>74</v>
      </c>
      <c r="AY937" s="1" t="s">
        <v>74</v>
      </c>
      <c r="AZ937" s="1" t="s">
        <v>74</v>
      </c>
      <c r="BA937" s="1" t="s">
        <v>74</v>
      </c>
      <c r="BB937" s="1">
        <v>338.0</v>
      </c>
      <c r="BC937" s="1">
        <v>338.0</v>
      </c>
      <c r="BD937" s="1" t="s">
        <v>74</v>
      </c>
      <c r="BE937" s="1" t="s">
        <v>8526</v>
      </c>
      <c r="BF937" s="2" t="str">
        <f>HYPERLINK("http://dx.doi.org/10.1016/S0031-9422(00)94190-6","http://dx.doi.org/10.1016/S0031-9422(00)94190-6")</f>
        <v>http://dx.doi.org/10.1016/S0031-9422(00)94190-6</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8527</v>
      </c>
      <c r="BT937" s="1" t="str">
        <f>HYPERLINK("https%3A%2F%2Fwww.webofscience.com%2Fwos%2Fwoscc%2Ffull-record%2FWOS:A1978EK58600045","View Full Record in Web of Science")</f>
        <v>View Full Record in Web of Science</v>
      </c>
    </row>
    <row r="938" ht="12.75" customHeight="1">
      <c r="A938" s="1" t="s">
        <v>72</v>
      </c>
      <c r="B938" s="1" t="s">
        <v>8528</v>
      </c>
      <c r="C938" s="1" t="s">
        <v>74</v>
      </c>
      <c r="D938" s="1" t="s">
        <v>74</v>
      </c>
      <c r="E938" s="1" t="s">
        <v>74</v>
      </c>
      <c r="F938" s="1" t="s">
        <v>8529</v>
      </c>
      <c r="G938" s="1" t="s">
        <v>74</v>
      </c>
      <c r="H938" s="1" t="s">
        <v>74</v>
      </c>
      <c r="I938" s="1" t="s">
        <v>8530</v>
      </c>
      <c r="J938" s="1" t="s">
        <v>8531</v>
      </c>
      <c r="K938" s="1" t="s">
        <v>74</v>
      </c>
      <c r="L938" s="1" t="s">
        <v>74</v>
      </c>
      <c r="M938" s="1" t="s">
        <v>74</v>
      </c>
      <c r="N938" s="1" t="s">
        <v>74</v>
      </c>
      <c r="O938" s="1" t="s">
        <v>74</v>
      </c>
      <c r="P938" s="1" t="s">
        <v>74</v>
      </c>
      <c r="Q938" s="1" t="s">
        <v>74</v>
      </c>
      <c r="R938" s="1" t="s">
        <v>74</v>
      </c>
      <c r="S938" s="1" t="s">
        <v>74</v>
      </c>
      <c r="T938" s="1" t="s">
        <v>74</v>
      </c>
      <c r="U938" s="1" t="s">
        <v>74</v>
      </c>
      <c r="V938" s="1" t="s">
        <v>8532</v>
      </c>
      <c r="W938" s="1" t="s">
        <v>74</v>
      </c>
      <c r="X938" s="1" t="s">
        <v>74</v>
      </c>
      <c r="Y938" s="1" t="s">
        <v>74</v>
      </c>
      <c r="Z938" s="1" t="s">
        <v>74</v>
      </c>
      <c r="AA938" s="1" t="s">
        <v>74</v>
      </c>
      <c r="AB938" s="1" t="s">
        <v>8533</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8534</v>
      </c>
      <c r="AP938" s="1" t="s">
        <v>8535</v>
      </c>
      <c r="AQ938" s="1" t="s">
        <v>74</v>
      </c>
      <c r="AR938" s="1" t="s">
        <v>74</v>
      </c>
      <c r="AS938" s="1" t="s">
        <v>74</v>
      </c>
      <c r="AT938" s="1" t="s">
        <v>174</v>
      </c>
      <c r="AU938" s="1">
        <v>2025.0</v>
      </c>
      <c r="AV938" s="1">
        <v>30.0</v>
      </c>
      <c r="AW938" s="1">
        <v>2.0</v>
      </c>
      <c r="AX938" s="1" t="s">
        <v>74</v>
      </c>
      <c r="AY938" s="1" t="s">
        <v>74</v>
      </c>
      <c r="AZ938" s="1" t="s">
        <v>74</v>
      </c>
      <c r="BA938" s="1" t="s">
        <v>74</v>
      </c>
      <c r="BB938" s="1" t="s">
        <v>74</v>
      </c>
      <c r="BC938" s="1" t="s">
        <v>74</v>
      </c>
      <c r="BD938" s="1" t="s">
        <v>8536</v>
      </c>
      <c r="BE938" s="1" t="s">
        <v>8537</v>
      </c>
      <c r="BF938" s="2" t="str">
        <f>HYPERLINK("http://dx.doi.org/10.1002/pri.70033","http://dx.doi.org/10.1002/pri.70033")</f>
        <v>http://dx.doi.org/10.1002/pri.70033</v>
      </c>
      <c r="BG938" s="1" t="s">
        <v>74</v>
      </c>
      <c r="BH938" s="1" t="s">
        <v>74</v>
      </c>
      <c r="BI938" s="1" t="s">
        <v>74</v>
      </c>
      <c r="BJ938" s="1" t="s">
        <v>74</v>
      </c>
      <c r="BK938" s="1" t="s">
        <v>74</v>
      </c>
      <c r="BL938" s="1" t="s">
        <v>74</v>
      </c>
      <c r="BM938" s="1" t="s">
        <v>74</v>
      </c>
      <c r="BN938" s="1">
        <v>3.9918163E7</v>
      </c>
      <c r="BO938" s="1" t="s">
        <v>74</v>
      </c>
      <c r="BP938" s="1" t="s">
        <v>74</v>
      </c>
      <c r="BQ938" s="1" t="s">
        <v>74</v>
      </c>
      <c r="BR938" s="1" t="s">
        <v>74</v>
      </c>
      <c r="BS938" s="1" t="s">
        <v>8538</v>
      </c>
      <c r="BT938" s="1" t="str">
        <f>HYPERLINK("https%3A%2F%2Fwww.webofscience.com%2Fwos%2Fwoscc%2Ffull-record%2FWOS:001415943900001","View Full Record in Web of Science")</f>
        <v>View Full Record in Web of Science</v>
      </c>
    </row>
    <row r="939" ht="12.75" customHeight="1">
      <c r="A939" s="1" t="s">
        <v>72</v>
      </c>
      <c r="B939" s="1" t="s">
        <v>8539</v>
      </c>
      <c r="C939" s="1" t="s">
        <v>74</v>
      </c>
      <c r="D939" s="1" t="s">
        <v>74</v>
      </c>
      <c r="E939" s="1" t="s">
        <v>74</v>
      </c>
      <c r="F939" s="1" t="s">
        <v>8540</v>
      </c>
      <c r="G939" s="1" t="s">
        <v>74</v>
      </c>
      <c r="H939" s="1" t="s">
        <v>74</v>
      </c>
      <c r="I939" s="1" t="s">
        <v>8541</v>
      </c>
      <c r="J939" s="1" t="s">
        <v>8542</v>
      </c>
      <c r="K939" s="1" t="s">
        <v>74</v>
      </c>
      <c r="L939" s="1" t="s">
        <v>74</v>
      </c>
      <c r="M939" s="1" t="s">
        <v>74</v>
      </c>
      <c r="N939" s="1" t="s">
        <v>74</v>
      </c>
      <c r="O939" s="1" t="s">
        <v>74</v>
      </c>
      <c r="P939" s="1" t="s">
        <v>74</v>
      </c>
      <c r="Q939" s="1" t="s">
        <v>74</v>
      </c>
      <c r="R939" s="1" t="s">
        <v>74</v>
      </c>
      <c r="S939" s="1" t="s">
        <v>74</v>
      </c>
      <c r="T939" s="1" t="s">
        <v>74</v>
      </c>
      <c r="U939" s="1" t="s">
        <v>74</v>
      </c>
      <c r="V939" s="1" t="s">
        <v>8543</v>
      </c>
      <c r="W939" s="1" t="s">
        <v>74</v>
      </c>
      <c r="X939" s="1" t="s">
        <v>74</v>
      </c>
      <c r="Y939" s="1" t="s">
        <v>74</v>
      </c>
      <c r="Z939" s="1" t="s">
        <v>74</v>
      </c>
      <c r="AA939" s="1" t="s">
        <v>8544</v>
      </c>
      <c r="AB939" s="1" t="s">
        <v>8545</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8546</v>
      </c>
      <c r="AP939" s="1" t="s">
        <v>74</v>
      </c>
      <c r="AQ939" s="1" t="s">
        <v>74</v>
      </c>
      <c r="AR939" s="1" t="s">
        <v>74</v>
      </c>
      <c r="AS939" s="1" t="s">
        <v>74</v>
      </c>
      <c r="AT939" s="1" t="s">
        <v>8547</v>
      </c>
      <c r="AU939" s="1">
        <v>2024.0</v>
      </c>
      <c r="AV939" s="1">
        <v>15.0</v>
      </c>
      <c r="AW939" s="1">
        <v>2.0</v>
      </c>
      <c r="AX939" s="1" t="s">
        <v>74</v>
      </c>
      <c r="AY939" s="1" t="s">
        <v>74</v>
      </c>
      <c r="AZ939" s="1" t="s">
        <v>74</v>
      </c>
      <c r="BA939" s="1" t="s">
        <v>74</v>
      </c>
      <c r="BB939" s="1">
        <v>719.0</v>
      </c>
      <c r="BC939" s="1">
        <v>737.0</v>
      </c>
      <c r="BD939" s="1" t="s">
        <v>74</v>
      </c>
      <c r="BE939" s="1" t="s">
        <v>8548</v>
      </c>
      <c r="BF939" s="2" t="str">
        <f>HYPERLINK("http://dx.doi.org/10.1021/acscatal.4c06957","http://dx.doi.org/10.1021/acscatal.4c06957")</f>
        <v>http://dx.doi.org/10.1021/acscatal.4c06957</v>
      </c>
      <c r="BG939" s="1" t="s">
        <v>74</v>
      </c>
      <c r="BH939" s="1" t="s">
        <v>4890</v>
      </c>
      <c r="BI939" s="1" t="s">
        <v>74</v>
      </c>
      <c r="BJ939" s="1" t="s">
        <v>74</v>
      </c>
      <c r="BK939" s="1" t="s">
        <v>74</v>
      </c>
      <c r="BL939" s="1" t="s">
        <v>74</v>
      </c>
      <c r="BM939" s="1" t="s">
        <v>74</v>
      </c>
      <c r="BN939" s="1" t="s">
        <v>74</v>
      </c>
      <c r="BO939" s="1" t="s">
        <v>74</v>
      </c>
      <c r="BP939" s="1" t="s">
        <v>74</v>
      </c>
      <c r="BQ939" s="1" t="s">
        <v>74</v>
      </c>
      <c r="BR939" s="1" t="s">
        <v>74</v>
      </c>
      <c r="BS939" s="1" t="s">
        <v>8549</v>
      </c>
      <c r="BT939" s="1" t="str">
        <f>HYPERLINK("https%3A%2F%2Fwww.webofscience.com%2Fwos%2Fwoscc%2Ffull-record%2FWOS:001382615700001","View Full Record in Web of Science")</f>
        <v>View Full Record in Web of Science</v>
      </c>
    </row>
    <row r="940" ht="12.75" customHeight="1">
      <c r="A940" s="1" t="s">
        <v>72</v>
      </c>
      <c r="B940" s="1" t="s">
        <v>8550</v>
      </c>
      <c r="C940" s="1" t="s">
        <v>74</v>
      </c>
      <c r="D940" s="1" t="s">
        <v>74</v>
      </c>
      <c r="E940" s="1" t="s">
        <v>74</v>
      </c>
      <c r="F940" s="1" t="s">
        <v>8551</v>
      </c>
      <c r="G940" s="1" t="s">
        <v>74</v>
      </c>
      <c r="H940" s="1" t="s">
        <v>74</v>
      </c>
      <c r="I940" s="1" t="s">
        <v>8552</v>
      </c>
      <c r="J940" s="1" t="s">
        <v>8553</v>
      </c>
      <c r="K940" s="1" t="s">
        <v>74</v>
      </c>
      <c r="L940" s="1" t="s">
        <v>74</v>
      </c>
      <c r="M940" s="1" t="s">
        <v>74</v>
      </c>
      <c r="N940" s="1" t="s">
        <v>74</v>
      </c>
      <c r="O940" s="1" t="s">
        <v>74</v>
      </c>
      <c r="P940" s="1" t="s">
        <v>74</v>
      </c>
      <c r="Q940" s="1" t="s">
        <v>74</v>
      </c>
      <c r="R940" s="1" t="s">
        <v>74</v>
      </c>
      <c r="S940" s="1" t="s">
        <v>74</v>
      </c>
      <c r="T940" s="1" t="s">
        <v>74</v>
      </c>
      <c r="U940" s="1" t="s">
        <v>74</v>
      </c>
      <c r="V940" s="1" t="s">
        <v>8554</v>
      </c>
      <c r="W940" s="1" t="s">
        <v>74</v>
      </c>
      <c r="X940" s="1" t="s">
        <v>74</v>
      </c>
      <c r="Y940" s="1" t="s">
        <v>74</v>
      </c>
      <c r="Z940" s="1" t="s">
        <v>74</v>
      </c>
      <c r="AA940" s="1" t="s">
        <v>74</v>
      </c>
      <c r="AB940" s="1" t="s">
        <v>8555</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8556</v>
      </c>
      <c r="AP940" s="1" t="s">
        <v>8557</v>
      </c>
      <c r="AQ940" s="1" t="s">
        <v>74</v>
      </c>
      <c r="AR940" s="1" t="s">
        <v>74</v>
      </c>
      <c r="AS940" s="1" t="s">
        <v>74</v>
      </c>
      <c r="AT940" s="1" t="s">
        <v>8558</v>
      </c>
      <c r="AU940" s="1">
        <v>2024.0</v>
      </c>
      <c r="AV940" s="1" t="s">
        <v>74</v>
      </c>
      <c r="AW940" s="1" t="s">
        <v>74</v>
      </c>
      <c r="AX940" s="1" t="s">
        <v>74</v>
      </c>
      <c r="AY940" s="1" t="s">
        <v>74</v>
      </c>
      <c r="AZ940" s="1" t="s">
        <v>74</v>
      </c>
      <c r="BA940" s="1" t="s">
        <v>74</v>
      </c>
      <c r="BB940" s="1" t="s">
        <v>74</v>
      </c>
      <c r="BC940" s="1" t="s">
        <v>74</v>
      </c>
      <c r="BD940" s="1" t="s">
        <v>74</v>
      </c>
      <c r="BE940" s="1" t="s">
        <v>8559</v>
      </c>
      <c r="BF940" s="2" t="str">
        <f>HYPERLINK("http://dx.doi.org/10.1017/prm.2024.85","http://dx.doi.org/10.1017/prm.2024.85")</f>
        <v>http://dx.doi.org/10.1017/prm.2024.85</v>
      </c>
      <c r="BG940" s="1" t="s">
        <v>74</v>
      </c>
      <c r="BH940" s="1" t="s">
        <v>8560</v>
      </c>
      <c r="BI940" s="1" t="s">
        <v>74</v>
      </c>
      <c r="BJ940" s="1" t="s">
        <v>74</v>
      </c>
      <c r="BK940" s="1" t="s">
        <v>74</v>
      </c>
      <c r="BL940" s="1" t="s">
        <v>74</v>
      </c>
      <c r="BM940" s="1" t="s">
        <v>74</v>
      </c>
      <c r="BN940" s="1" t="s">
        <v>74</v>
      </c>
      <c r="BO940" s="1" t="s">
        <v>74</v>
      </c>
      <c r="BP940" s="1" t="s">
        <v>74</v>
      </c>
      <c r="BQ940" s="1" t="s">
        <v>74</v>
      </c>
      <c r="BR940" s="1" t="s">
        <v>74</v>
      </c>
      <c r="BS940" s="1" t="s">
        <v>8561</v>
      </c>
      <c r="BT940" s="1" t="str">
        <f>HYPERLINK("https%3A%2F%2Fwww.webofscience.com%2Fwos%2Fwoscc%2Ffull-record%2FWOS:001363359700001","View Full Record in Web of Science")</f>
        <v>View Full Record in Web of Science</v>
      </c>
    </row>
    <row r="941" ht="12.75" customHeight="1">
      <c r="A941" s="1" t="s">
        <v>72</v>
      </c>
      <c r="B941" s="1" t="s">
        <v>6176</v>
      </c>
      <c r="C941" s="1" t="s">
        <v>74</v>
      </c>
      <c r="D941" s="1" t="s">
        <v>74</v>
      </c>
      <c r="E941" s="1" t="s">
        <v>74</v>
      </c>
      <c r="F941" s="1" t="s">
        <v>6177</v>
      </c>
      <c r="G941" s="1" t="s">
        <v>74</v>
      </c>
      <c r="H941" s="1" t="s">
        <v>74</v>
      </c>
      <c r="I941" s="1" t="s">
        <v>8562</v>
      </c>
      <c r="J941" s="1" t="s">
        <v>6179</v>
      </c>
      <c r="K941" s="1" t="s">
        <v>74</v>
      </c>
      <c r="L941" s="1" t="s">
        <v>74</v>
      </c>
      <c r="M941" s="1" t="s">
        <v>74</v>
      </c>
      <c r="N941" s="1" t="s">
        <v>74</v>
      </c>
      <c r="O941" s="1" t="s">
        <v>74</v>
      </c>
      <c r="P941" s="1" t="s">
        <v>74</v>
      </c>
      <c r="Q941" s="1" t="s">
        <v>74</v>
      </c>
      <c r="R941" s="1" t="s">
        <v>74</v>
      </c>
      <c r="S941" s="1" t="s">
        <v>74</v>
      </c>
      <c r="T941" s="1" t="s">
        <v>74</v>
      </c>
      <c r="U941" s="1" t="s">
        <v>74</v>
      </c>
      <c r="V941" s="1" t="s">
        <v>74</v>
      </c>
      <c r="W941" s="1" t="s">
        <v>74</v>
      </c>
      <c r="X941" s="1" t="s">
        <v>74</v>
      </c>
      <c r="Y941" s="1" t="s">
        <v>74</v>
      </c>
      <c r="Z941" s="1" t="s">
        <v>74</v>
      </c>
      <c r="AA941" s="1" t="s">
        <v>74</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6180</v>
      </c>
      <c r="AP941" s="1" t="s">
        <v>6181</v>
      </c>
      <c r="AQ941" s="1" t="s">
        <v>74</v>
      </c>
      <c r="AR941" s="1" t="s">
        <v>74</v>
      </c>
      <c r="AS941" s="1" t="s">
        <v>74</v>
      </c>
      <c r="AT941" s="1" t="s">
        <v>6182</v>
      </c>
      <c r="AU941" s="1">
        <v>2024.0</v>
      </c>
      <c r="AV941" s="1">
        <v>29.0</v>
      </c>
      <c r="AW941" s="1">
        <v>65.0</v>
      </c>
      <c r="AX941" s="1" t="s">
        <v>74</v>
      </c>
      <c r="AY941" s="1" t="s">
        <v>74</v>
      </c>
      <c r="AZ941" s="1" t="s">
        <v>74</v>
      </c>
      <c r="BA941" s="1" t="s">
        <v>74</v>
      </c>
      <c r="BB941" s="1" t="s">
        <v>74</v>
      </c>
      <c r="BC941" s="1" t="s">
        <v>74</v>
      </c>
      <c r="BD941" s="1" t="s">
        <v>8563</v>
      </c>
      <c r="BE941" s="1" t="s">
        <v>8564</v>
      </c>
      <c r="BF941" s="2" t="str">
        <f>HYPERLINK("http://dx.doi.org/10.22409/gragoata.v29i65.65427.en","http://dx.doi.org/10.22409/gragoata.v29i65.65427.en")</f>
        <v>http://dx.doi.org/10.22409/gragoata.v29i65.65427.en</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8565</v>
      </c>
      <c r="BT941" s="1" t="str">
        <f>HYPERLINK("https%3A%2F%2Fwww.webofscience.com%2Fwos%2Fwoscc%2Ffull-record%2FWOS:001383080200006","View Full Record in Web of Science")</f>
        <v>View Full Record in Web of Science</v>
      </c>
    </row>
    <row r="942" ht="12.75" customHeight="1">
      <c r="A942" s="1" t="s">
        <v>72</v>
      </c>
      <c r="B942" s="1" t="s">
        <v>8566</v>
      </c>
      <c r="C942" s="1" t="s">
        <v>74</v>
      </c>
      <c r="D942" s="1" t="s">
        <v>74</v>
      </c>
      <c r="E942" s="1" t="s">
        <v>74</v>
      </c>
      <c r="F942" s="1" t="s">
        <v>8567</v>
      </c>
      <c r="G942" s="1" t="s">
        <v>74</v>
      </c>
      <c r="H942" s="1" t="s">
        <v>74</v>
      </c>
      <c r="I942" s="1" t="s">
        <v>8568</v>
      </c>
      <c r="J942" s="1" t="s">
        <v>8569</v>
      </c>
      <c r="K942" s="1" t="s">
        <v>74</v>
      </c>
      <c r="L942" s="1" t="s">
        <v>74</v>
      </c>
      <c r="M942" s="1" t="s">
        <v>74</v>
      </c>
      <c r="N942" s="1" t="s">
        <v>74</v>
      </c>
      <c r="O942" s="1" t="s">
        <v>74</v>
      </c>
      <c r="P942" s="1" t="s">
        <v>74</v>
      </c>
      <c r="Q942" s="1" t="s">
        <v>74</v>
      </c>
      <c r="R942" s="1" t="s">
        <v>74</v>
      </c>
      <c r="S942" s="1" t="s">
        <v>74</v>
      </c>
      <c r="T942" s="1" t="s">
        <v>74</v>
      </c>
      <c r="U942" s="1" t="s">
        <v>74</v>
      </c>
      <c r="V942" s="1" t="s">
        <v>8570</v>
      </c>
      <c r="W942" s="1" t="s">
        <v>74</v>
      </c>
      <c r="X942" s="1" t="s">
        <v>74</v>
      </c>
      <c r="Y942" s="1" t="s">
        <v>74</v>
      </c>
      <c r="Z942" s="1" t="s">
        <v>74</v>
      </c>
      <c r="AA942" s="1" t="s">
        <v>8571</v>
      </c>
      <c r="AB942" s="1" t="s">
        <v>8572</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8573</v>
      </c>
      <c r="AP942" s="1" t="s">
        <v>8574</v>
      </c>
      <c r="AQ942" s="1" t="s">
        <v>74</v>
      </c>
      <c r="AR942" s="1" t="s">
        <v>74</v>
      </c>
      <c r="AS942" s="1" t="s">
        <v>74</v>
      </c>
      <c r="AT942" s="1" t="s">
        <v>82</v>
      </c>
      <c r="AU942" s="1">
        <v>2024.0</v>
      </c>
      <c r="AV942" s="1">
        <v>112.0</v>
      </c>
      <c r="AW942" s="1">
        <v>12.0</v>
      </c>
      <c r="AX942" s="1" t="s">
        <v>74</v>
      </c>
      <c r="AY942" s="1" t="s">
        <v>74</v>
      </c>
      <c r="AZ942" s="1" t="s">
        <v>74</v>
      </c>
      <c r="BA942" s="1" t="s">
        <v>74</v>
      </c>
      <c r="BB942" s="1">
        <v>10081.0</v>
      </c>
      <c r="BC942" s="1">
        <v>10093.0</v>
      </c>
      <c r="BD942" s="1" t="s">
        <v>74</v>
      </c>
      <c r="BE942" s="1" t="s">
        <v>8575</v>
      </c>
      <c r="BF942" s="2" t="str">
        <f>HYPERLINK("http://dx.doi.org/10.1007/s11071-024-09596-7","http://dx.doi.org/10.1007/s11071-024-09596-7")</f>
        <v>http://dx.doi.org/10.1007/s11071-024-09596-7</v>
      </c>
      <c r="BG942" s="1" t="s">
        <v>74</v>
      </c>
      <c r="BH942" s="1" t="s">
        <v>7501</v>
      </c>
      <c r="BI942" s="1" t="s">
        <v>74</v>
      </c>
      <c r="BJ942" s="1" t="s">
        <v>74</v>
      </c>
      <c r="BK942" s="1" t="s">
        <v>74</v>
      </c>
      <c r="BL942" s="1" t="s">
        <v>74</v>
      </c>
      <c r="BM942" s="1" t="s">
        <v>74</v>
      </c>
      <c r="BN942" s="1" t="s">
        <v>74</v>
      </c>
      <c r="BO942" s="1" t="s">
        <v>74</v>
      </c>
      <c r="BP942" s="1" t="s">
        <v>74</v>
      </c>
      <c r="BQ942" s="1" t="s">
        <v>74</v>
      </c>
      <c r="BR942" s="1" t="s">
        <v>74</v>
      </c>
      <c r="BS942" s="1" t="s">
        <v>8576</v>
      </c>
      <c r="BT942" s="1" t="str">
        <f>HYPERLINK("https%3A%2F%2Fwww.webofscience.com%2Fwos%2Fwoscc%2Ffull-record%2FWOS:001208244000002","View Full Record in Web of Science")</f>
        <v>View Full Record in Web of Science</v>
      </c>
    </row>
    <row r="943" ht="12.75" customHeight="1">
      <c r="A943" s="1" t="s">
        <v>72</v>
      </c>
      <c r="B943" s="1" t="s">
        <v>8577</v>
      </c>
      <c r="C943" s="1" t="s">
        <v>74</v>
      </c>
      <c r="D943" s="1" t="s">
        <v>74</v>
      </c>
      <c r="E943" s="1" t="s">
        <v>74</v>
      </c>
      <c r="F943" s="1" t="s">
        <v>8578</v>
      </c>
      <c r="G943" s="1" t="s">
        <v>74</v>
      </c>
      <c r="H943" s="1" t="s">
        <v>74</v>
      </c>
      <c r="I943" s="1" t="s">
        <v>8579</v>
      </c>
      <c r="J943" s="1" t="s">
        <v>8580</v>
      </c>
      <c r="K943" s="1" t="s">
        <v>74</v>
      </c>
      <c r="L943" s="1" t="s">
        <v>74</v>
      </c>
      <c r="M943" s="1" t="s">
        <v>74</v>
      </c>
      <c r="N943" s="1" t="s">
        <v>74</v>
      </c>
      <c r="O943" s="1" t="s">
        <v>74</v>
      </c>
      <c r="P943" s="1" t="s">
        <v>74</v>
      </c>
      <c r="Q943" s="1" t="s">
        <v>74</v>
      </c>
      <c r="R943" s="1" t="s">
        <v>74</v>
      </c>
      <c r="S943" s="1" t="s">
        <v>74</v>
      </c>
      <c r="T943" s="1" t="s">
        <v>74</v>
      </c>
      <c r="U943" s="1" t="s">
        <v>74</v>
      </c>
      <c r="V943" s="1" t="s">
        <v>8581</v>
      </c>
      <c r="W943" s="1" t="s">
        <v>74</v>
      </c>
      <c r="X943" s="1" t="s">
        <v>74</v>
      </c>
      <c r="Y943" s="1" t="s">
        <v>74</v>
      </c>
      <c r="Z943" s="1" t="s">
        <v>74</v>
      </c>
      <c r="AA943" s="1" t="s">
        <v>8582</v>
      </c>
      <c r="AB943" s="1" t="s">
        <v>8583</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8584</v>
      </c>
      <c r="AP943" s="1" t="s">
        <v>8585</v>
      </c>
      <c r="AQ943" s="1" t="s">
        <v>74</v>
      </c>
      <c r="AR943" s="1" t="s">
        <v>74</v>
      </c>
      <c r="AS943" s="1" t="s">
        <v>74</v>
      </c>
      <c r="AT943" s="1" t="s">
        <v>74</v>
      </c>
      <c r="AU943" s="1">
        <v>2024.0</v>
      </c>
      <c r="AV943" s="1">
        <v>40.0</v>
      </c>
      <c r="AW943" s="1">
        <v>3.0</v>
      </c>
      <c r="AX943" s="1" t="s">
        <v>74</v>
      </c>
      <c r="AY943" s="1" t="s">
        <v>74</v>
      </c>
      <c r="AZ943" s="1" t="s">
        <v>74</v>
      </c>
      <c r="BA943" s="1" t="s">
        <v>74</v>
      </c>
      <c r="BB943" s="1">
        <v>285.0</v>
      </c>
      <c r="BC943" s="1">
        <v>311.0</v>
      </c>
      <c r="BD943" s="1" t="s">
        <v>74</v>
      </c>
      <c r="BE943" s="1" t="s">
        <v>8586</v>
      </c>
      <c r="BF943" s="2" t="str">
        <f>HYPERLINK("http://dx.doi.org/10.3233/EFI-230157","http://dx.doi.org/10.3233/EFI-230157")</f>
        <v>http://dx.doi.org/10.3233/EFI-230157</v>
      </c>
      <c r="BG943" s="1" t="s">
        <v>74</v>
      </c>
      <c r="BH943" s="1" t="s">
        <v>74</v>
      </c>
      <c r="BI943" s="1" t="s">
        <v>74</v>
      </c>
      <c r="BJ943" s="1" t="s">
        <v>74</v>
      </c>
      <c r="BK943" s="1" t="s">
        <v>74</v>
      </c>
      <c r="BL943" s="1" t="s">
        <v>74</v>
      </c>
      <c r="BM943" s="1" t="s">
        <v>74</v>
      </c>
      <c r="BN943" s="1" t="s">
        <v>74</v>
      </c>
      <c r="BO943" s="1" t="s">
        <v>74</v>
      </c>
      <c r="BP943" s="1" t="s">
        <v>74</v>
      </c>
      <c r="BQ943" s="1" t="s">
        <v>74</v>
      </c>
      <c r="BR943" s="1" t="s">
        <v>74</v>
      </c>
      <c r="BS943" s="1" t="s">
        <v>8587</v>
      </c>
      <c r="BT943" s="1" t="str">
        <f>HYPERLINK("https%3A%2F%2Fwww.webofscience.com%2Fwos%2Fwoscc%2Ffull-record%2FWOS:001315110800003","View Full Record in Web of Science")</f>
        <v>View Full Record in Web of Science</v>
      </c>
    </row>
    <row r="944" ht="12.75" customHeight="1">
      <c r="A944" s="1" t="s">
        <v>72</v>
      </c>
      <c r="B944" s="1" t="s">
        <v>8588</v>
      </c>
      <c r="C944" s="1" t="s">
        <v>74</v>
      </c>
      <c r="D944" s="1" t="s">
        <v>74</v>
      </c>
      <c r="E944" s="1" t="s">
        <v>74</v>
      </c>
      <c r="F944" s="1" t="s">
        <v>8589</v>
      </c>
      <c r="G944" s="1" t="s">
        <v>74</v>
      </c>
      <c r="H944" s="1" t="s">
        <v>74</v>
      </c>
      <c r="I944" s="1" t="s">
        <v>8590</v>
      </c>
      <c r="J944" s="1" t="s">
        <v>8591</v>
      </c>
      <c r="K944" s="1" t="s">
        <v>74</v>
      </c>
      <c r="L944" s="1" t="s">
        <v>74</v>
      </c>
      <c r="M944" s="1" t="s">
        <v>74</v>
      </c>
      <c r="N944" s="1" t="s">
        <v>74</v>
      </c>
      <c r="O944" s="1" t="s">
        <v>74</v>
      </c>
      <c r="P944" s="1" t="s">
        <v>74</v>
      </c>
      <c r="Q944" s="1" t="s">
        <v>74</v>
      </c>
      <c r="R944" s="1" t="s">
        <v>74</v>
      </c>
      <c r="S944" s="1" t="s">
        <v>74</v>
      </c>
      <c r="T944" s="1" t="s">
        <v>74</v>
      </c>
      <c r="U944" s="1" t="s">
        <v>74</v>
      </c>
      <c r="V944" s="1" t="s">
        <v>8592</v>
      </c>
      <c r="W944" s="1" t="s">
        <v>74</v>
      </c>
      <c r="X944" s="1" t="s">
        <v>74</v>
      </c>
      <c r="Y944" s="1" t="s">
        <v>74</v>
      </c>
      <c r="Z944" s="1" t="s">
        <v>74</v>
      </c>
      <c r="AA944" s="1" t="s">
        <v>74</v>
      </c>
      <c r="AB944" s="1" t="s">
        <v>74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8593</v>
      </c>
      <c r="AP944" s="1" t="s">
        <v>8594</v>
      </c>
      <c r="AQ944" s="1" t="s">
        <v>74</v>
      </c>
      <c r="AR944" s="1" t="s">
        <v>74</v>
      </c>
      <c r="AS944" s="1" t="s">
        <v>74</v>
      </c>
      <c r="AT944" s="1" t="s">
        <v>8595</v>
      </c>
      <c r="AU944" s="1">
        <v>2024.0</v>
      </c>
      <c r="AV944" s="1">
        <v>50.0</v>
      </c>
      <c r="AW944" s="1">
        <v>1.0</v>
      </c>
      <c r="AX944" s="1" t="s">
        <v>74</v>
      </c>
      <c r="AY944" s="1" t="s">
        <v>74</v>
      </c>
      <c r="AZ944" s="1" t="s">
        <v>74</v>
      </c>
      <c r="BA944" s="1" t="s">
        <v>74</v>
      </c>
      <c r="BB944" s="1" t="s">
        <v>74</v>
      </c>
      <c r="BC944" s="1" t="s">
        <v>74</v>
      </c>
      <c r="BD944" s="1" t="s">
        <v>8596</v>
      </c>
      <c r="BE944" s="1" t="s">
        <v>8597</v>
      </c>
      <c r="BF944" s="2" t="str">
        <f>HYPERLINK("http://dx.doi.org/10.15448/1980-864X.2024.1.46058","http://dx.doi.org/10.15448/1980-864X.2024.1.46058")</f>
        <v>http://dx.doi.org/10.15448/1980-864X.2024.1.46058</v>
      </c>
      <c r="BG944" s="1" t="s">
        <v>74</v>
      </c>
      <c r="BH944" s="1" t="s">
        <v>74</v>
      </c>
      <c r="BI944" s="1" t="s">
        <v>74</v>
      </c>
      <c r="BJ944" s="1" t="s">
        <v>74</v>
      </c>
      <c r="BK944" s="1" t="s">
        <v>74</v>
      </c>
      <c r="BL944" s="1" t="s">
        <v>74</v>
      </c>
      <c r="BM944" s="1" t="s">
        <v>74</v>
      </c>
      <c r="BN944" s="1" t="s">
        <v>74</v>
      </c>
      <c r="BO944" s="1" t="s">
        <v>74</v>
      </c>
      <c r="BP944" s="1" t="s">
        <v>74</v>
      </c>
      <c r="BQ944" s="1" t="s">
        <v>74</v>
      </c>
      <c r="BR944" s="1" t="s">
        <v>74</v>
      </c>
      <c r="BS944" s="1" t="s">
        <v>8598</v>
      </c>
      <c r="BT944" s="1" t="str">
        <f>HYPERLINK("https%3A%2F%2Fwww.webofscience.com%2Fwos%2Fwoscc%2Ffull-record%2FWOS:001369015800006","View Full Record in Web of Science")</f>
        <v>View Full Record in Web of Science</v>
      </c>
    </row>
    <row r="945" ht="12.75" customHeight="1">
      <c r="A945" s="1" t="s">
        <v>72</v>
      </c>
      <c r="B945" s="1" t="s">
        <v>8599</v>
      </c>
      <c r="C945" s="1" t="s">
        <v>74</v>
      </c>
      <c r="D945" s="1" t="s">
        <v>74</v>
      </c>
      <c r="E945" s="1" t="s">
        <v>74</v>
      </c>
      <c r="F945" s="1" t="s">
        <v>8600</v>
      </c>
      <c r="G945" s="1" t="s">
        <v>74</v>
      </c>
      <c r="H945" s="1" t="s">
        <v>74</v>
      </c>
      <c r="I945" s="1" t="s">
        <v>8601</v>
      </c>
      <c r="J945" s="1" t="s">
        <v>1546</v>
      </c>
      <c r="K945" s="1" t="s">
        <v>74</v>
      </c>
      <c r="L945" s="1" t="s">
        <v>74</v>
      </c>
      <c r="M945" s="1" t="s">
        <v>74</v>
      </c>
      <c r="N945" s="1" t="s">
        <v>74</v>
      </c>
      <c r="O945" s="1" t="s">
        <v>74</v>
      </c>
      <c r="P945" s="1" t="s">
        <v>74</v>
      </c>
      <c r="Q945" s="1" t="s">
        <v>74</v>
      </c>
      <c r="R945" s="1" t="s">
        <v>74</v>
      </c>
      <c r="S945" s="1" t="s">
        <v>74</v>
      </c>
      <c r="T945" s="1" t="s">
        <v>74</v>
      </c>
      <c r="U945" s="1" t="s">
        <v>74</v>
      </c>
      <c r="V945" s="1" t="s">
        <v>8602</v>
      </c>
      <c r="W945" s="1" t="s">
        <v>74</v>
      </c>
      <c r="X945" s="1" t="s">
        <v>74</v>
      </c>
      <c r="Y945" s="1" t="s">
        <v>74</v>
      </c>
      <c r="Z945" s="1" t="s">
        <v>74</v>
      </c>
      <c r="AA945" s="1" t="s">
        <v>8603</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4178</v>
      </c>
      <c r="AP945" s="1" t="s">
        <v>74</v>
      </c>
      <c r="AQ945" s="1" t="s">
        <v>74</v>
      </c>
      <c r="AR945" s="1" t="s">
        <v>74</v>
      </c>
      <c r="AS945" s="1" t="s">
        <v>74</v>
      </c>
      <c r="AT945" s="1" t="s">
        <v>680</v>
      </c>
      <c r="AU945" s="1">
        <v>2024.0</v>
      </c>
      <c r="AV945" s="1">
        <v>57.0</v>
      </c>
      <c r="AW945" s="1">
        <v>1.0</v>
      </c>
      <c r="AX945" s="1" t="s">
        <v>74</v>
      </c>
      <c r="AY945" s="1" t="s">
        <v>74</v>
      </c>
      <c r="AZ945" s="1" t="s">
        <v>74</v>
      </c>
      <c r="BA945" s="1" t="s">
        <v>74</v>
      </c>
      <c r="BB945" s="1" t="s">
        <v>74</v>
      </c>
      <c r="BC945" s="1" t="s">
        <v>74</v>
      </c>
      <c r="BD945" s="1" t="s">
        <v>74</v>
      </c>
      <c r="BE945" s="1" t="s">
        <v>74</v>
      </c>
      <c r="BF945" s="1" t="s">
        <v>74</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8604</v>
      </c>
      <c r="BT945" s="1" t="str">
        <f>HYPERLINK("https%3A%2F%2Fwww.webofscience.com%2Fwos%2Fwoscc%2Ffull-record%2FWOS:001408726000006","View Full Record in Web of Science")</f>
        <v>View Full Record in Web of Science</v>
      </c>
    </row>
    <row r="946" ht="12.75" customHeight="1">
      <c r="A946" s="1" t="s">
        <v>72</v>
      </c>
      <c r="B946" s="1" t="s">
        <v>8605</v>
      </c>
      <c r="C946" s="1" t="s">
        <v>74</v>
      </c>
      <c r="D946" s="1" t="s">
        <v>74</v>
      </c>
      <c r="E946" s="1" t="s">
        <v>74</v>
      </c>
      <c r="F946" s="1" t="s">
        <v>8606</v>
      </c>
      <c r="G946" s="1" t="s">
        <v>74</v>
      </c>
      <c r="H946" s="1" t="s">
        <v>74</v>
      </c>
      <c r="I946" s="1" t="s">
        <v>8607</v>
      </c>
      <c r="J946" s="1" t="s">
        <v>8608</v>
      </c>
      <c r="K946" s="1" t="s">
        <v>74</v>
      </c>
      <c r="L946" s="1" t="s">
        <v>74</v>
      </c>
      <c r="M946" s="1" t="s">
        <v>74</v>
      </c>
      <c r="N946" s="1" t="s">
        <v>74</v>
      </c>
      <c r="O946" s="1" t="s">
        <v>74</v>
      </c>
      <c r="P946" s="1" t="s">
        <v>74</v>
      </c>
      <c r="Q946" s="1" t="s">
        <v>74</v>
      </c>
      <c r="R946" s="1" t="s">
        <v>74</v>
      </c>
      <c r="S946" s="1" t="s">
        <v>74</v>
      </c>
      <c r="T946" s="1" t="s">
        <v>74</v>
      </c>
      <c r="U946" s="1" t="s">
        <v>74</v>
      </c>
      <c r="V946" s="1" t="s">
        <v>8609</v>
      </c>
      <c r="W946" s="1" t="s">
        <v>74</v>
      </c>
      <c r="X946" s="1" t="s">
        <v>74</v>
      </c>
      <c r="Y946" s="1" t="s">
        <v>74</v>
      </c>
      <c r="Z946" s="1" t="s">
        <v>74</v>
      </c>
      <c r="AA946" s="1" t="s">
        <v>8610</v>
      </c>
      <c r="AB946" s="1" t="s">
        <v>74</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8611</v>
      </c>
      <c r="AP946" s="1" t="s">
        <v>8612</v>
      </c>
      <c r="AQ946" s="1" t="s">
        <v>74</v>
      </c>
      <c r="AR946" s="1" t="s">
        <v>74</v>
      </c>
      <c r="AS946" s="1" t="s">
        <v>74</v>
      </c>
      <c r="AT946" s="1" t="s">
        <v>353</v>
      </c>
      <c r="AU946" s="1">
        <v>2023.0</v>
      </c>
      <c r="AV946" s="1">
        <v>55.0</v>
      </c>
      <c r="AW946" s="1">
        <v>5.0</v>
      </c>
      <c r="AX946" s="1" t="s">
        <v>74</v>
      </c>
      <c r="AY946" s="1" t="s">
        <v>74</v>
      </c>
      <c r="AZ946" s="1" t="s">
        <v>74</v>
      </c>
      <c r="BA946" s="1" t="s">
        <v>74</v>
      </c>
      <c r="BB946" s="1">
        <v>2446.0</v>
      </c>
      <c r="BC946" s="1">
        <v>2455.0</v>
      </c>
      <c r="BD946" s="1" t="s">
        <v>74</v>
      </c>
      <c r="BE946" s="1" t="s">
        <v>8613</v>
      </c>
      <c r="BF946" s="2" t="str">
        <f>HYPERLINK("http://dx.doi.org/10.1112/blms.12873","http://dx.doi.org/10.1112/blms.12873")</f>
        <v>http://dx.doi.org/10.1112/blms.12873</v>
      </c>
      <c r="BG946" s="1" t="s">
        <v>74</v>
      </c>
      <c r="BH946" s="1" t="s">
        <v>2115</v>
      </c>
      <c r="BI946" s="1" t="s">
        <v>74</v>
      </c>
      <c r="BJ946" s="1" t="s">
        <v>74</v>
      </c>
      <c r="BK946" s="1" t="s">
        <v>74</v>
      </c>
      <c r="BL946" s="1" t="s">
        <v>74</v>
      </c>
      <c r="BM946" s="1" t="s">
        <v>74</v>
      </c>
      <c r="BN946" s="1" t="s">
        <v>74</v>
      </c>
      <c r="BO946" s="1" t="s">
        <v>74</v>
      </c>
      <c r="BP946" s="1" t="s">
        <v>74</v>
      </c>
      <c r="BQ946" s="1" t="s">
        <v>74</v>
      </c>
      <c r="BR946" s="1" t="s">
        <v>74</v>
      </c>
      <c r="BS946" s="1" t="s">
        <v>8614</v>
      </c>
      <c r="BT946" s="1" t="str">
        <f>HYPERLINK("https%3A%2F%2Fwww.webofscience.com%2Fwos%2Fwoscc%2Ffull-record%2FWOS:001003320900001","View Full Record in Web of Science")</f>
        <v>View Full Record in Web of Science</v>
      </c>
    </row>
    <row r="947" ht="12.75" customHeight="1">
      <c r="A947" s="1" t="s">
        <v>72</v>
      </c>
      <c r="B947" s="1" t="s">
        <v>8615</v>
      </c>
      <c r="C947" s="1" t="s">
        <v>74</v>
      </c>
      <c r="D947" s="1" t="s">
        <v>74</v>
      </c>
      <c r="E947" s="1" t="s">
        <v>74</v>
      </c>
      <c r="F947" s="1" t="s">
        <v>8616</v>
      </c>
      <c r="G947" s="1" t="s">
        <v>74</v>
      </c>
      <c r="H947" s="1" t="s">
        <v>74</v>
      </c>
      <c r="I947" s="1" t="s">
        <v>8617</v>
      </c>
      <c r="J947" s="1" t="s">
        <v>8618</v>
      </c>
      <c r="K947" s="1" t="s">
        <v>74</v>
      </c>
      <c r="L947" s="1" t="s">
        <v>74</v>
      </c>
      <c r="M947" s="1" t="s">
        <v>74</v>
      </c>
      <c r="N947" s="1" t="s">
        <v>74</v>
      </c>
      <c r="O947" s="1" t="s">
        <v>74</v>
      </c>
      <c r="P947" s="1" t="s">
        <v>74</v>
      </c>
      <c r="Q947" s="1" t="s">
        <v>74</v>
      </c>
      <c r="R947" s="1" t="s">
        <v>74</v>
      </c>
      <c r="S947" s="1" t="s">
        <v>74</v>
      </c>
      <c r="T947" s="1" t="s">
        <v>74</v>
      </c>
      <c r="U947" s="1" t="s">
        <v>74</v>
      </c>
      <c r="V947" s="1" t="s">
        <v>8619</v>
      </c>
      <c r="W947" s="1" t="s">
        <v>74</v>
      </c>
      <c r="X947" s="1" t="s">
        <v>74</v>
      </c>
      <c r="Y947" s="1" t="s">
        <v>74</v>
      </c>
      <c r="Z947" s="1" t="s">
        <v>74</v>
      </c>
      <c r="AA947" s="1" t="s">
        <v>8620</v>
      </c>
      <c r="AB947" s="1" t="s">
        <v>8621</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8622</v>
      </c>
      <c r="AP947" s="1" t="s">
        <v>8623</v>
      </c>
      <c r="AQ947" s="1" t="s">
        <v>74</v>
      </c>
      <c r="AR947" s="1" t="s">
        <v>74</v>
      </c>
      <c r="AS947" s="1" t="s">
        <v>74</v>
      </c>
      <c r="AT947" s="1" t="s">
        <v>353</v>
      </c>
      <c r="AU947" s="1">
        <v>2023.0</v>
      </c>
      <c r="AV947" s="1">
        <v>53.0</v>
      </c>
      <c r="AW947" s="1">
        <v>4.0</v>
      </c>
      <c r="AX947" s="1" t="s">
        <v>74</v>
      </c>
      <c r="AY947" s="1" t="s">
        <v>74</v>
      </c>
      <c r="AZ947" s="1" t="s">
        <v>74</v>
      </c>
      <c r="BA947" s="1" t="s">
        <v>74</v>
      </c>
      <c r="BB947" s="1">
        <v>424.0</v>
      </c>
      <c r="BC947" s="1">
        <v>433.0</v>
      </c>
      <c r="BD947" s="1" t="s">
        <v>74</v>
      </c>
      <c r="BE947" s="1" t="s">
        <v>8624</v>
      </c>
      <c r="BF947" s="2" t="str">
        <f>HYPERLINK("http://dx.doi.org/10.1177/27551938231156023","http://dx.doi.org/10.1177/27551938231156023")</f>
        <v>http://dx.doi.org/10.1177/27551938231156023</v>
      </c>
      <c r="BG947" s="1" t="s">
        <v>74</v>
      </c>
      <c r="BH947" s="1" t="s">
        <v>5677</v>
      </c>
      <c r="BI947" s="1" t="s">
        <v>74</v>
      </c>
      <c r="BJ947" s="1" t="s">
        <v>74</v>
      </c>
      <c r="BK947" s="1" t="s">
        <v>74</v>
      </c>
      <c r="BL947" s="1" t="s">
        <v>74</v>
      </c>
      <c r="BM947" s="1" t="s">
        <v>74</v>
      </c>
      <c r="BN947" s="1">
        <v>3.6879526E7</v>
      </c>
      <c r="BO947" s="1" t="s">
        <v>74</v>
      </c>
      <c r="BP947" s="1" t="s">
        <v>74</v>
      </c>
      <c r="BQ947" s="1" t="s">
        <v>74</v>
      </c>
      <c r="BR947" s="1" t="s">
        <v>74</v>
      </c>
      <c r="BS947" s="1" t="s">
        <v>8625</v>
      </c>
      <c r="BT947" s="1" t="str">
        <f>HYPERLINK("https%3A%2F%2Fwww.webofscience.com%2Fwos%2Fwoscc%2Ffull-record%2FWOS:000945029700001","View Full Record in Web of Science")</f>
        <v>View Full Record in Web of Science</v>
      </c>
    </row>
    <row r="948" ht="12.75" customHeight="1">
      <c r="A948" s="1" t="s">
        <v>72</v>
      </c>
      <c r="B948" s="1" t="s">
        <v>8626</v>
      </c>
      <c r="C948" s="1" t="s">
        <v>74</v>
      </c>
      <c r="D948" s="1" t="s">
        <v>74</v>
      </c>
      <c r="E948" s="1" t="s">
        <v>74</v>
      </c>
      <c r="F948" s="1" t="s">
        <v>8627</v>
      </c>
      <c r="G948" s="1" t="s">
        <v>74</v>
      </c>
      <c r="H948" s="1" t="s">
        <v>74</v>
      </c>
      <c r="I948" s="1" t="s">
        <v>8628</v>
      </c>
      <c r="J948" s="1" t="s">
        <v>1274</v>
      </c>
      <c r="K948" s="1" t="s">
        <v>74</v>
      </c>
      <c r="L948" s="1" t="s">
        <v>74</v>
      </c>
      <c r="M948" s="1" t="s">
        <v>74</v>
      </c>
      <c r="N948" s="1" t="s">
        <v>74</v>
      </c>
      <c r="O948" s="1" t="s">
        <v>74</v>
      </c>
      <c r="P948" s="1" t="s">
        <v>74</v>
      </c>
      <c r="Q948" s="1" t="s">
        <v>74</v>
      </c>
      <c r="R948" s="1" t="s">
        <v>74</v>
      </c>
      <c r="S948" s="1" t="s">
        <v>74</v>
      </c>
      <c r="T948" s="1" t="s">
        <v>74</v>
      </c>
      <c r="U948" s="1" t="s">
        <v>74</v>
      </c>
      <c r="V948" s="1" t="s">
        <v>8629</v>
      </c>
      <c r="W948" s="1" t="s">
        <v>74</v>
      </c>
      <c r="X948" s="1" t="s">
        <v>74</v>
      </c>
      <c r="Y948" s="1" t="s">
        <v>74</v>
      </c>
      <c r="Z948" s="1" t="s">
        <v>74</v>
      </c>
      <c r="AA948" s="1" t="s">
        <v>8630</v>
      </c>
      <c r="AB948" s="1" t="s">
        <v>8631</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1276</v>
      </c>
      <c r="AP948" s="1" t="s">
        <v>1277</v>
      </c>
      <c r="AQ948" s="1" t="s">
        <v>74</v>
      </c>
      <c r="AR948" s="1" t="s">
        <v>74</v>
      </c>
      <c r="AS948" s="1" t="s">
        <v>74</v>
      </c>
      <c r="AT948" s="1" t="s">
        <v>2951</v>
      </c>
      <c r="AU948" s="1">
        <v>2022.0</v>
      </c>
      <c r="AV948" s="1">
        <v>55.0</v>
      </c>
      <c r="AW948" s="1">
        <v>1.0</v>
      </c>
      <c r="AX948" s="1" t="s">
        <v>74</v>
      </c>
      <c r="AY948" s="1" t="s">
        <v>74</v>
      </c>
      <c r="AZ948" s="1" t="s">
        <v>74</v>
      </c>
      <c r="BA948" s="1" t="s">
        <v>74</v>
      </c>
      <c r="BB948" s="1" t="s">
        <v>74</v>
      </c>
      <c r="BC948" s="1" t="s">
        <v>74</v>
      </c>
      <c r="BD948" s="1">
        <v>19.0</v>
      </c>
      <c r="BE948" s="1" t="s">
        <v>8632</v>
      </c>
      <c r="BF948" s="2" t="str">
        <f>HYPERLINK("http://dx.doi.org/10.1186/s40659-022-00388-0","http://dx.doi.org/10.1186/s40659-022-00388-0")</f>
        <v>http://dx.doi.org/10.1186/s40659-022-00388-0</v>
      </c>
      <c r="BG948" s="1" t="s">
        <v>74</v>
      </c>
      <c r="BH948" s="1" t="s">
        <v>74</v>
      </c>
      <c r="BI948" s="1" t="s">
        <v>74</v>
      </c>
      <c r="BJ948" s="1" t="s">
        <v>74</v>
      </c>
      <c r="BK948" s="1" t="s">
        <v>74</v>
      </c>
      <c r="BL948" s="1" t="s">
        <v>74</v>
      </c>
      <c r="BM948" s="1" t="s">
        <v>74</v>
      </c>
      <c r="BN948" s="1">
        <v>3.5525996E7</v>
      </c>
      <c r="BO948" s="1" t="s">
        <v>74</v>
      </c>
      <c r="BP948" s="1" t="s">
        <v>74</v>
      </c>
      <c r="BQ948" s="1" t="s">
        <v>74</v>
      </c>
      <c r="BR948" s="1" t="s">
        <v>74</v>
      </c>
      <c r="BS948" s="1" t="s">
        <v>8633</v>
      </c>
      <c r="BT948" s="1" t="str">
        <f>HYPERLINK("https%3A%2F%2Fwww.webofscience.com%2Fwos%2Fwoscc%2Ffull-record%2FWOS:000791917900001","View Full Record in Web of Science")</f>
        <v>View Full Record in Web of Science</v>
      </c>
    </row>
    <row r="949" ht="12.75" customHeight="1">
      <c r="A949" s="1" t="s">
        <v>72</v>
      </c>
      <c r="B949" s="1" t="s">
        <v>8634</v>
      </c>
      <c r="C949" s="1" t="s">
        <v>74</v>
      </c>
      <c r="D949" s="1" t="s">
        <v>74</v>
      </c>
      <c r="E949" s="1" t="s">
        <v>74</v>
      </c>
      <c r="F949" s="1" t="s">
        <v>8635</v>
      </c>
      <c r="G949" s="1" t="s">
        <v>74</v>
      </c>
      <c r="H949" s="1" t="s">
        <v>74</v>
      </c>
      <c r="I949" s="1" t="s">
        <v>8636</v>
      </c>
      <c r="J949" s="1" t="s">
        <v>5800</v>
      </c>
      <c r="K949" s="1" t="s">
        <v>74</v>
      </c>
      <c r="L949" s="1" t="s">
        <v>74</v>
      </c>
      <c r="M949" s="1" t="s">
        <v>74</v>
      </c>
      <c r="N949" s="1" t="s">
        <v>74</v>
      </c>
      <c r="O949" s="1" t="s">
        <v>74</v>
      </c>
      <c r="P949" s="1" t="s">
        <v>74</v>
      </c>
      <c r="Q949" s="1" t="s">
        <v>74</v>
      </c>
      <c r="R949" s="1" t="s">
        <v>74</v>
      </c>
      <c r="S949" s="1" t="s">
        <v>74</v>
      </c>
      <c r="T949" s="1" t="s">
        <v>74</v>
      </c>
      <c r="U949" s="1" t="s">
        <v>74</v>
      </c>
      <c r="V949" s="1" t="s">
        <v>8637</v>
      </c>
      <c r="W949" s="1" t="s">
        <v>74</v>
      </c>
      <c r="X949" s="1" t="s">
        <v>74</v>
      </c>
      <c r="Y949" s="1" t="s">
        <v>74</v>
      </c>
      <c r="Z949" s="1" t="s">
        <v>74</v>
      </c>
      <c r="AA949" s="1" t="s">
        <v>5802</v>
      </c>
      <c r="AB949" s="1" t="s">
        <v>8214</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5804</v>
      </c>
      <c r="AP949" s="1" t="s">
        <v>5805</v>
      </c>
      <c r="AQ949" s="1" t="s">
        <v>74</v>
      </c>
      <c r="AR949" s="1" t="s">
        <v>74</v>
      </c>
      <c r="AS949" s="1" t="s">
        <v>74</v>
      </c>
      <c r="AT949" s="1" t="s">
        <v>74</v>
      </c>
      <c r="AU949" s="1">
        <v>2022.0</v>
      </c>
      <c r="AV949" s="1">
        <v>26.0</v>
      </c>
      <c r="AW949" s="1">
        <v>10.0</v>
      </c>
      <c r="AX949" s="1" t="s">
        <v>74</v>
      </c>
      <c r="AY949" s="1" t="s">
        <v>74</v>
      </c>
      <c r="AZ949" s="1" t="s">
        <v>74</v>
      </c>
      <c r="BA949" s="1" t="s">
        <v>74</v>
      </c>
      <c r="BB949" s="1">
        <v>3487.0</v>
      </c>
      <c r="BC949" s="1">
        <v>3535.0</v>
      </c>
      <c r="BD949" s="1" t="s">
        <v>74</v>
      </c>
      <c r="BE949" s="1" t="s">
        <v>74</v>
      </c>
      <c r="BF949" s="1" t="s">
        <v>74</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8638</v>
      </c>
      <c r="BT949" s="1" t="str">
        <f>HYPERLINK("https%3A%2F%2Fwww.webofscience.com%2Fwos%2Fwoscc%2Ffull-record%2FWOS:001353369500003","View Full Record in Web of Science")</f>
        <v>View Full Record in Web of Science</v>
      </c>
    </row>
    <row r="950" ht="12.75" customHeight="1">
      <c r="A950" s="1" t="s">
        <v>72</v>
      </c>
      <c r="B950" s="1" t="s">
        <v>8639</v>
      </c>
      <c r="C950" s="1" t="s">
        <v>74</v>
      </c>
      <c r="D950" s="1" t="s">
        <v>74</v>
      </c>
      <c r="E950" s="1" t="s">
        <v>74</v>
      </c>
      <c r="F950" s="1" t="s">
        <v>8640</v>
      </c>
      <c r="G950" s="1" t="s">
        <v>74</v>
      </c>
      <c r="H950" s="1" t="s">
        <v>74</v>
      </c>
      <c r="I950" s="1" t="s">
        <v>8641</v>
      </c>
      <c r="J950" s="1" t="s">
        <v>8642</v>
      </c>
      <c r="K950" s="1" t="s">
        <v>74</v>
      </c>
      <c r="L950" s="1" t="s">
        <v>74</v>
      </c>
      <c r="M950" s="1" t="s">
        <v>74</v>
      </c>
      <c r="N950" s="1" t="s">
        <v>74</v>
      </c>
      <c r="O950" s="1" t="s">
        <v>74</v>
      </c>
      <c r="P950" s="1" t="s">
        <v>74</v>
      </c>
      <c r="Q950" s="1" t="s">
        <v>74</v>
      </c>
      <c r="R950" s="1" t="s">
        <v>74</v>
      </c>
      <c r="S950" s="1" t="s">
        <v>74</v>
      </c>
      <c r="T950" s="1" t="s">
        <v>74</v>
      </c>
      <c r="U950" s="1" t="s">
        <v>74</v>
      </c>
      <c r="V950" s="1" t="s">
        <v>8643</v>
      </c>
      <c r="W950" s="1" t="s">
        <v>74</v>
      </c>
      <c r="X950" s="1" t="s">
        <v>74</v>
      </c>
      <c r="Y950" s="1" t="s">
        <v>74</v>
      </c>
      <c r="Z950" s="1" t="s">
        <v>74</v>
      </c>
      <c r="AA950" s="1" t="s">
        <v>74</v>
      </c>
      <c r="AB950" s="1" t="s">
        <v>8644</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74</v>
      </c>
      <c r="AP950" s="1" t="s">
        <v>8645</v>
      </c>
      <c r="AQ950" s="1" t="s">
        <v>74</v>
      </c>
      <c r="AR950" s="1" t="s">
        <v>74</v>
      </c>
      <c r="AS950" s="1" t="s">
        <v>74</v>
      </c>
      <c r="AT950" s="1" t="s">
        <v>3014</v>
      </c>
      <c r="AU950" s="1">
        <v>2021.0</v>
      </c>
      <c r="AV950" s="1">
        <v>10.0</v>
      </c>
      <c r="AW950" s="1">
        <v>16.0</v>
      </c>
      <c r="AX950" s="1" t="s">
        <v>74</v>
      </c>
      <c r="AY950" s="1" t="s">
        <v>74</v>
      </c>
      <c r="AZ950" s="1" t="s">
        <v>74</v>
      </c>
      <c r="BA950" s="1" t="s">
        <v>74</v>
      </c>
      <c r="BB950" s="1" t="s">
        <v>74</v>
      </c>
      <c r="BC950" s="1" t="s">
        <v>74</v>
      </c>
      <c r="BD950" s="1" t="s">
        <v>8646</v>
      </c>
      <c r="BE950" s="1" t="s">
        <v>8647</v>
      </c>
      <c r="BF950" s="2" t="str">
        <f>HYPERLINK("http://dx.doi.org/10.1161/JAHA.119.020498","http://dx.doi.org/10.1161/JAHA.119.020498")</f>
        <v>http://dx.doi.org/10.1161/JAHA.119.020498</v>
      </c>
      <c r="BG950" s="1" t="s">
        <v>74</v>
      </c>
      <c r="BH950" s="1" t="s">
        <v>74</v>
      </c>
      <c r="BI950" s="1" t="s">
        <v>74</v>
      </c>
      <c r="BJ950" s="1" t="s">
        <v>74</v>
      </c>
      <c r="BK950" s="1" t="s">
        <v>74</v>
      </c>
      <c r="BL950" s="1" t="s">
        <v>74</v>
      </c>
      <c r="BM950" s="1" t="s">
        <v>74</v>
      </c>
      <c r="BN950" s="1">
        <v>3.4350775E7</v>
      </c>
      <c r="BO950" s="1" t="s">
        <v>74</v>
      </c>
      <c r="BP950" s="1" t="s">
        <v>74</v>
      </c>
      <c r="BQ950" s="1" t="s">
        <v>74</v>
      </c>
      <c r="BR950" s="1" t="s">
        <v>74</v>
      </c>
      <c r="BS950" s="1" t="s">
        <v>8648</v>
      </c>
      <c r="BT950" s="1" t="str">
        <f>HYPERLINK("https%3A%2F%2Fwww.webofscience.com%2Fwos%2Fwoscc%2Ffull-record%2FWOS:000685396200027","View Full Record in Web of Science")</f>
        <v>View Full Record in Web of Science</v>
      </c>
    </row>
    <row r="951" ht="12.75" customHeight="1">
      <c r="A951" s="1" t="s">
        <v>72</v>
      </c>
      <c r="B951" s="1" t="s">
        <v>8649</v>
      </c>
      <c r="C951" s="1" t="s">
        <v>74</v>
      </c>
      <c r="D951" s="1" t="s">
        <v>74</v>
      </c>
      <c r="E951" s="1" t="s">
        <v>74</v>
      </c>
      <c r="F951" s="1" t="s">
        <v>8650</v>
      </c>
      <c r="G951" s="1" t="s">
        <v>74</v>
      </c>
      <c r="H951" s="1" t="s">
        <v>74</v>
      </c>
      <c r="I951" s="1" t="s">
        <v>8651</v>
      </c>
      <c r="J951" s="1" t="s">
        <v>6032</v>
      </c>
      <c r="K951" s="1" t="s">
        <v>74</v>
      </c>
      <c r="L951" s="1" t="s">
        <v>74</v>
      </c>
      <c r="M951" s="1" t="s">
        <v>74</v>
      </c>
      <c r="N951" s="1" t="s">
        <v>74</v>
      </c>
      <c r="O951" s="1" t="s">
        <v>74</v>
      </c>
      <c r="P951" s="1" t="s">
        <v>74</v>
      </c>
      <c r="Q951" s="1" t="s">
        <v>74</v>
      </c>
      <c r="R951" s="1" t="s">
        <v>74</v>
      </c>
      <c r="S951" s="1" t="s">
        <v>74</v>
      </c>
      <c r="T951" s="1" t="s">
        <v>74</v>
      </c>
      <c r="U951" s="1" t="s">
        <v>74</v>
      </c>
      <c r="V951" s="1" t="s">
        <v>8652</v>
      </c>
      <c r="W951" s="1" t="s">
        <v>74</v>
      </c>
      <c r="X951" s="1" t="s">
        <v>74</v>
      </c>
      <c r="Y951" s="1" t="s">
        <v>74</v>
      </c>
      <c r="Z951" s="1" t="s">
        <v>74</v>
      </c>
      <c r="AA951" s="1" t="s">
        <v>5548</v>
      </c>
      <c r="AB951" s="1" t="s">
        <v>8653</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6036</v>
      </c>
      <c r="AP951" s="1" t="s">
        <v>6037</v>
      </c>
      <c r="AQ951" s="1" t="s">
        <v>74</v>
      </c>
      <c r="AR951" s="1" t="s">
        <v>74</v>
      </c>
      <c r="AS951" s="1" t="s">
        <v>74</v>
      </c>
      <c r="AT951" s="1" t="s">
        <v>116</v>
      </c>
      <c r="AU951" s="1">
        <v>2021.0</v>
      </c>
      <c r="AV951" s="1">
        <v>145.0</v>
      </c>
      <c r="AW951" s="1" t="s">
        <v>74</v>
      </c>
      <c r="AX951" s="1" t="s">
        <v>74</v>
      </c>
      <c r="AY951" s="1" t="s">
        <v>74</v>
      </c>
      <c r="AZ951" s="1" t="s">
        <v>74</v>
      </c>
      <c r="BA951" s="1" t="s">
        <v>74</v>
      </c>
      <c r="BB951" s="1" t="s">
        <v>74</v>
      </c>
      <c r="BC951" s="1" t="s">
        <v>74</v>
      </c>
      <c r="BD951" s="1">
        <v>110402.0</v>
      </c>
      <c r="BE951" s="1" t="s">
        <v>8654</v>
      </c>
      <c r="BF951" s="2" t="str">
        <f>HYPERLINK("http://dx.doi.org/10.1016/j.foodres.2021.110402","http://dx.doi.org/10.1016/j.foodres.2021.110402")</f>
        <v>http://dx.doi.org/10.1016/j.foodres.2021.110402</v>
      </c>
      <c r="BG951" s="1" t="s">
        <v>74</v>
      </c>
      <c r="BH951" s="1" t="s">
        <v>8655</v>
      </c>
      <c r="BI951" s="1" t="s">
        <v>74</v>
      </c>
      <c r="BJ951" s="1" t="s">
        <v>74</v>
      </c>
      <c r="BK951" s="1" t="s">
        <v>74</v>
      </c>
      <c r="BL951" s="1" t="s">
        <v>74</v>
      </c>
      <c r="BM951" s="1" t="s">
        <v>74</v>
      </c>
      <c r="BN951" s="1">
        <v>3.4112405E7</v>
      </c>
      <c r="BO951" s="1" t="s">
        <v>74</v>
      </c>
      <c r="BP951" s="1" t="s">
        <v>74</v>
      </c>
      <c r="BQ951" s="1" t="s">
        <v>74</v>
      </c>
      <c r="BR951" s="1" t="s">
        <v>74</v>
      </c>
      <c r="BS951" s="1" t="s">
        <v>8656</v>
      </c>
      <c r="BT951" s="1" t="str">
        <f>HYPERLINK("https%3A%2F%2Fwww.webofscience.com%2Fwos%2Fwoscc%2Ffull-record%2FWOS:000663748900002","View Full Record in Web of Science")</f>
        <v>View Full Record in Web of Science</v>
      </c>
    </row>
    <row r="952" ht="12.75" customHeight="1">
      <c r="A952" s="1" t="s">
        <v>442</v>
      </c>
      <c r="B952" s="1" t="s">
        <v>8657</v>
      </c>
      <c r="C952" s="1" t="s">
        <v>74</v>
      </c>
      <c r="D952" s="1" t="s">
        <v>8658</v>
      </c>
      <c r="E952" s="1" t="s">
        <v>74</v>
      </c>
      <c r="F952" s="1" t="s">
        <v>8659</v>
      </c>
      <c r="G952" s="1" t="s">
        <v>74</v>
      </c>
      <c r="H952" s="1" t="s">
        <v>74</v>
      </c>
      <c r="I952" s="1" t="s">
        <v>8660</v>
      </c>
      <c r="J952" s="1" t="s">
        <v>8661</v>
      </c>
      <c r="K952" s="1" t="s">
        <v>74</v>
      </c>
      <c r="L952" s="1" t="s">
        <v>74</v>
      </c>
      <c r="M952" s="1" t="s">
        <v>74</v>
      </c>
      <c r="N952" s="1" t="s">
        <v>74</v>
      </c>
      <c r="O952" s="1" t="s">
        <v>74</v>
      </c>
      <c r="P952" s="1" t="s">
        <v>74</v>
      </c>
      <c r="Q952" s="1" t="s">
        <v>74</v>
      </c>
      <c r="R952" s="1" t="s">
        <v>74</v>
      </c>
      <c r="S952" s="1" t="s">
        <v>74</v>
      </c>
      <c r="T952" s="1" t="s">
        <v>74</v>
      </c>
      <c r="U952" s="1" t="s">
        <v>74</v>
      </c>
      <c r="V952" s="1" t="s">
        <v>74</v>
      </c>
      <c r="W952" s="1" t="s">
        <v>74</v>
      </c>
      <c r="X952" s="1" t="s">
        <v>74</v>
      </c>
      <c r="Y952" s="1" t="s">
        <v>74</v>
      </c>
      <c r="Z952" s="1" t="s">
        <v>74</v>
      </c>
      <c r="AA952" s="1" t="s">
        <v>8662</v>
      </c>
      <c r="AB952" s="1" t="s">
        <v>74</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74</v>
      </c>
      <c r="AP952" s="1" t="s">
        <v>74</v>
      </c>
      <c r="AQ952" s="1" t="s">
        <v>8663</v>
      </c>
      <c r="AR952" s="1" t="s">
        <v>74</v>
      </c>
      <c r="AS952" s="1" t="s">
        <v>74</v>
      </c>
      <c r="AT952" s="1" t="s">
        <v>74</v>
      </c>
      <c r="AU952" s="1">
        <v>2021.0</v>
      </c>
      <c r="AV952" s="1" t="s">
        <v>74</v>
      </c>
      <c r="AW952" s="1" t="s">
        <v>74</v>
      </c>
      <c r="AX952" s="1" t="s">
        <v>74</v>
      </c>
      <c r="AY952" s="1" t="s">
        <v>74</v>
      </c>
      <c r="AZ952" s="1" t="s">
        <v>74</v>
      </c>
      <c r="BA952" s="1" t="s">
        <v>74</v>
      </c>
      <c r="BB952" s="1">
        <v>43.0</v>
      </c>
      <c r="BC952" s="1">
        <v>52.0</v>
      </c>
      <c r="BD952" s="1" t="s">
        <v>74</v>
      </c>
      <c r="BE952" s="1" t="s">
        <v>74</v>
      </c>
      <c r="BF952" s="1" t="s">
        <v>74</v>
      </c>
      <c r="BG952" s="1" t="s">
        <v>8664</v>
      </c>
      <c r="BH952" s="1" t="s">
        <v>74</v>
      </c>
      <c r="BI952" s="1" t="s">
        <v>74</v>
      </c>
      <c r="BJ952" s="1" t="s">
        <v>74</v>
      </c>
      <c r="BK952" s="1" t="s">
        <v>74</v>
      </c>
      <c r="BL952" s="1" t="s">
        <v>74</v>
      </c>
      <c r="BM952" s="1" t="s">
        <v>74</v>
      </c>
      <c r="BN952" s="1" t="s">
        <v>74</v>
      </c>
      <c r="BO952" s="1" t="s">
        <v>74</v>
      </c>
      <c r="BP952" s="1" t="s">
        <v>74</v>
      </c>
      <c r="BQ952" s="1" t="s">
        <v>74</v>
      </c>
      <c r="BR952" s="1" t="s">
        <v>74</v>
      </c>
      <c r="BS952" s="1" t="s">
        <v>8665</v>
      </c>
      <c r="BT952" s="1" t="str">
        <f>HYPERLINK("https%3A%2F%2Fwww.webofscience.com%2Fwos%2Fwoscc%2Ffull-record%2FWOS:001096275100007","View Full Record in Web of Science")</f>
        <v>View Full Record in Web of Science</v>
      </c>
    </row>
    <row r="953" ht="12.75" customHeight="1">
      <c r="A953" s="1" t="s">
        <v>241</v>
      </c>
      <c r="B953" s="1" t="s">
        <v>8666</v>
      </c>
      <c r="C953" s="1" t="s">
        <v>74</v>
      </c>
      <c r="D953" s="1" t="s">
        <v>74</v>
      </c>
      <c r="E953" s="1" t="s">
        <v>427</v>
      </c>
      <c r="F953" s="1" t="s">
        <v>8667</v>
      </c>
      <c r="G953" s="1" t="s">
        <v>74</v>
      </c>
      <c r="H953" s="1" t="s">
        <v>74</v>
      </c>
      <c r="I953" s="1" t="s">
        <v>8668</v>
      </c>
      <c r="J953" s="1" t="s">
        <v>1648</v>
      </c>
      <c r="K953" s="1" t="s">
        <v>74</v>
      </c>
      <c r="L953" s="1" t="s">
        <v>74</v>
      </c>
      <c r="M953" s="1" t="s">
        <v>74</v>
      </c>
      <c r="N953" s="1" t="s">
        <v>74</v>
      </c>
      <c r="O953" s="1" t="s">
        <v>1649</v>
      </c>
      <c r="P953" s="1" t="s">
        <v>1650</v>
      </c>
      <c r="Q953" s="1" t="s">
        <v>1506</v>
      </c>
      <c r="R953" s="1" t="s">
        <v>1651</v>
      </c>
      <c r="S953" s="1" t="s">
        <v>74</v>
      </c>
      <c r="T953" s="1" t="s">
        <v>74</v>
      </c>
      <c r="U953" s="1" t="s">
        <v>74</v>
      </c>
      <c r="V953" s="1" t="s">
        <v>8669</v>
      </c>
      <c r="W953" s="1" t="s">
        <v>74</v>
      </c>
      <c r="X953" s="1" t="s">
        <v>74</v>
      </c>
      <c r="Y953" s="1" t="s">
        <v>74</v>
      </c>
      <c r="Z953" s="1" t="s">
        <v>74</v>
      </c>
      <c r="AA953" s="1" t="s">
        <v>74</v>
      </c>
      <c r="AB953" s="1" t="s">
        <v>1138</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74</v>
      </c>
      <c r="AP953" s="1" t="s">
        <v>74</v>
      </c>
      <c r="AQ953" s="1" t="s">
        <v>1654</v>
      </c>
      <c r="AR953" s="1" t="s">
        <v>74</v>
      </c>
      <c r="AS953" s="1" t="s">
        <v>74</v>
      </c>
      <c r="AT953" s="1" t="s">
        <v>74</v>
      </c>
      <c r="AU953" s="1">
        <v>2021.0</v>
      </c>
      <c r="AV953" s="1" t="s">
        <v>74</v>
      </c>
      <c r="AW953" s="1" t="s">
        <v>74</v>
      </c>
      <c r="AX953" s="1" t="s">
        <v>74</v>
      </c>
      <c r="AY953" s="1" t="s">
        <v>74</v>
      </c>
      <c r="AZ953" s="1" t="s">
        <v>74</v>
      </c>
      <c r="BA953" s="1" t="s">
        <v>74</v>
      </c>
      <c r="BB953" s="1">
        <v>243.0</v>
      </c>
      <c r="BC953" s="1">
        <v>247.0</v>
      </c>
      <c r="BD953" s="1" t="s">
        <v>74</v>
      </c>
      <c r="BE953" s="1" t="s">
        <v>8670</v>
      </c>
      <c r="BF953" s="2" t="str">
        <f>HYPERLINK("http://dx.doi.org/10.1109/CHILECON54041.2021.9703000","http://dx.doi.org/10.1109/CHILECON54041.2021.9703000")</f>
        <v>http://dx.doi.org/10.1109/CHILECON54041.2021.9703000</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8671</v>
      </c>
      <c r="BT953" s="1" t="str">
        <f>HYPERLINK("https%3A%2F%2Fwww.webofscience.com%2Fwos%2Fwoscc%2Ffull-record%2FWOS:000788072700042","View Full Record in Web of Science")</f>
        <v>View Full Record in Web of Science</v>
      </c>
    </row>
    <row r="954" ht="12.75" customHeight="1">
      <c r="A954" s="1" t="s">
        <v>72</v>
      </c>
      <c r="B954" s="1" t="s">
        <v>8672</v>
      </c>
      <c r="C954" s="1" t="s">
        <v>74</v>
      </c>
      <c r="D954" s="1" t="s">
        <v>74</v>
      </c>
      <c r="E954" s="1" t="s">
        <v>74</v>
      </c>
      <c r="F954" s="1" t="s">
        <v>8673</v>
      </c>
      <c r="G954" s="1" t="s">
        <v>74</v>
      </c>
      <c r="H954" s="1" t="s">
        <v>74</v>
      </c>
      <c r="I954" s="1" t="s">
        <v>8674</v>
      </c>
      <c r="J954" s="1" t="s">
        <v>4154</v>
      </c>
      <c r="K954" s="1" t="s">
        <v>74</v>
      </c>
      <c r="L954" s="1" t="s">
        <v>74</v>
      </c>
      <c r="M954" s="1" t="s">
        <v>74</v>
      </c>
      <c r="N954" s="1" t="s">
        <v>74</v>
      </c>
      <c r="O954" s="1" t="s">
        <v>74</v>
      </c>
      <c r="P954" s="1" t="s">
        <v>74</v>
      </c>
      <c r="Q954" s="1" t="s">
        <v>74</v>
      </c>
      <c r="R954" s="1" t="s">
        <v>74</v>
      </c>
      <c r="S954" s="1" t="s">
        <v>74</v>
      </c>
      <c r="T954" s="1" t="s">
        <v>74</v>
      </c>
      <c r="U954" s="1" t="s">
        <v>74</v>
      </c>
      <c r="V954" s="1" t="s">
        <v>8675</v>
      </c>
      <c r="W954" s="1" t="s">
        <v>74</v>
      </c>
      <c r="X954" s="1" t="s">
        <v>74</v>
      </c>
      <c r="Y954" s="1" t="s">
        <v>74</v>
      </c>
      <c r="Z954" s="1" t="s">
        <v>74</v>
      </c>
      <c r="AA954" s="1" t="s">
        <v>935</v>
      </c>
      <c r="AB954" s="1" t="s">
        <v>74</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4157</v>
      </c>
      <c r="AP954" s="1" t="s">
        <v>4158</v>
      </c>
      <c r="AQ954" s="1" t="s">
        <v>74</v>
      </c>
      <c r="AR954" s="1" t="s">
        <v>74</v>
      </c>
      <c r="AS954" s="1" t="s">
        <v>74</v>
      </c>
      <c r="AT954" s="1" t="s">
        <v>391</v>
      </c>
      <c r="AU954" s="1">
        <v>2020.0</v>
      </c>
      <c r="AV954" s="1">
        <v>44.0</v>
      </c>
      <c r="AW954" s="1">
        <v>2.0</v>
      </c>
      <c r="AX954" s="1" t="s">
        <v>74</v>
      </c>
      <c r="AY954" s="1" t="s">
        <v>74</v>
      </c>
      <c r="AZ954" s="1" t="s">
        <v>74</v>
      </c>
      <c r="BA954" s="1" t="s">
        <v>74</v>
      </c>
      <c r="BB954" s="1">
        <v>598.0</v>
      </c>
      <c r="BC954" s="1">
        <v>606.0</v>
      </c>
      <c r="BD954" s="1" t="s">
        <v>74</v>
      </c>
      <c r="BE954" s="1" t="s">
        <v>8676</v>
      </c>
      <c r="BF954" s="2" t="str">
        <f>HYPERLINK("http://dx.doi.org/10.15517/revedu.v44i2.39964","http://dx.doi.org/10.15517/revedu.v44i2.39964")</f>
        <v>http://dx.doi.org/10.15517/revedu.v44i2.39964</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8677</v>
      </c>
      <c r="BT954" s="1" t="str">
        <f>HYPERLINK("https%3A%2F%2Fwww.webofscience.com%2Fwos%2Fwoscc%2Ffull-record%2FWOS:000546442400036","View Full Record in Web of Science")</f>
        <v>View Full Record in Web of Science</v>
      </c>
    </row>
    <row r="955" ht="12.75" customHeight="1">
      <c r="A955" s="1" t="s">
        <v>72</v>
      </c>
      <c r="B955" s="1" t="s">
        <v>8678</v>
      </c>
      <c r="C955" s="1" t="s">
        <v>74</v>
      </c>
      <c r="D955" s="1" t="s">
        <v>74</v>
      </c>
      <c r="E955" s="1" t="s">
        <v>74</v>
      </c>
      <c r="F955" s="1" t="s">
        <v>8679</v>
      </c>
      <c r="G955" s="1" t="s">
        <v>74</v>
      </c>
      <c r="H955" s="1" t="s">
        <v>74</v>
      </c>
      <c r="I955" s="1" t="s">
        <v>8680</v>
      </c>
      <c r="J955" s="1" t="s">
        <v>3407</v>
      </c>
      <c r="K955" s="1" t="s">
        <v>74</v>
      </c>
      <c r="L955" s="1" t="s">
        <v>74</v>
      </c>
      <c r="M955" s="1" t="s">
        <v>74</v>
      </c>
      <c r="N955" s="1" t="s">
        <v>74</v>
      </c>
      <c r="O955" s="1" t="s">
        <v>74</v>
      </c>
      <c r="P955" s="1" t="s">
        <v>74</v>
      </c>
      <c r="Q955" s="1" t="s">
        <v>74</v>
      </c>
      <c r="R955" s="1" t="s">
        <v>74</v>
      </c>
      <c r="S955" s="1" t="s">
        <v>74</v>
      </c>
      <c r="T955" s="1" t="s">
        <v>74</v>
      </c>
      <c r="U955" s="1" t="s">
        <v>74</v>
      </c>
      <c r="V955" s="1" t="s">
        <v>8681</v>
      </c>
      <c r="W955" s="1" t="s">
        <v>74</v>
      </c>
      <c r="X955" s="1" t="s">
        <v>74</v>
      </c>
      <c r="Y955" s="1" t="s">
        <v>74</v>
      </c>
      <c r="Z955" s="1" t="s">
        <v>74</v>
      </c>
      <c r="AA955" s="1" t="s">
        <v>8682</v>
      </c>
      <c r="AB955" s="1" t="s">
        <v>8683</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74</v>
      </c>
      <c r="AP955" s="1" t="s">
        <v>3411</v>
      </c>
      <c r="AQ955" s="1" t="s">
        <v>74</v>
      </c>
      <c r="AR955" s="1" t="s">
        <v>74</v>
      </c>
      <c r="AS955" s="1" t="s">
        <v>74</v>
      </c>
      <c r="AT955" s="1" t="s">
        <v>183</v>
      </c>
      <c r="AU955" s="1">
        <v>2020.0</v>
      </c>
      <c r="AV955" s="1">
        <v>10.0</v>
      </c>
      <c r="AW955" s="1">
        <v>5.0</v>
      </c>
      <c r="AX955" s="1" t="s">
        <v>74</v>
      </c>
      <c r="AY955" s="1" t="s">
        <v>74</v>
      </c>
      <c r="AZ955" s="1" t="s">
        <v>74</v>
      </c>
      <c r="BA955" s="1" t="s">
        <v>74</v>
      </c>
      <c r="BB955" s="1" t="s">
        <v>74</v>
      </c>
      <c r="BC955" s="1" t="s">
        <v>74</v>
      </c>
      <c r="BD955" s="1">
        <v>909.0</v>
      </c>
      <c r="BE955" s="1" t="s">
        <v>8684</v>
      </c>
      <c r="BF955" s="2" t="str">
        <f>HYPERLINK("http://dx.doi.org/10.3390/nano10050909","http://dx.doi.org/10.3390/nano10050909")</f>
        <v>http://dx.doi.org/10.3390/nano10050909</v>
      </c>
      <c r="BG955" s="1" t="s">
        <v>74</v>
      </c>
      <c r="BH955" s="1" t="s">
        <v>74</v>
      </c>
      <c r="BI955" s="1" t="s">
        <v>74</v>
      </c>
      <c r="BJ955" s="1" t="s">
        <v>74</v>
      </c>
      <c r="BK955" s="1" t="s">
        <v>74</v>
      </c>
      <c r="BL955" s="1" t="s">
        <v>74</v>
      </c>
      <c r="BM955" s="1" t="s">
        <v>74</v>
      </c>
      <c r="BN955" s="1">
        <v>3.2397267E7</v>
      </c>
      <c r="BO955" s="1" t="s">
        <v>74</v>
      </c>
      <c r="BP955" s="1" t="s">
        <v>74</v>
      </c>
      <c r="BQ955" s="1" t="s">
        <v>74</v>
      </c>
      <c r="BR955" s="1" t="s">
        <v>74</v>
      </c>
      <c r="BS955" s="1" t="s">
        <v>8685</v>
      </c>
      <c r="BT955" s="1" t="str">
        <f>HYPERLINK("https%3A%2F%2Fwww.webofscience.com%2Fwos%2Fwoscc%2Ffull-record%2FWOS:000540781800092","View Full Record in Web of Science")</f>
        <v>View Full Record in Web of Science</v>
      </c>
    </row>
    <row r="956" ht="12.75" customHeight="1">
      <c r="A956" s="1" t="s">
        <v>241</v>
      </c>
      <c r="B956" s="1" t="s">
        <v>8686</v>
      </c>
      <c r="C956" s="1" t="s">
        <v>74</v>
      </c>
      <c r="D956" s="1" t="s">
        <v>74</v>
      </c>
      <c r="E956" s="1" t="s">
        <v>427</v>
      </c>
      <c r="F956" s="1" t="s">
        <v>8687</v>
      </c>
      <c r="G956" s="1" t="s">
        <v>74</v>
      </c>
      <c r="H956" s="1" t="s">
        <v>74</v>
      </c>
      <c r="I956" s="1" t="s">
        <v>8688</v>
      </c>
      <c r="J956" s="1" t="s">
        <v>8689</v>
      </c>
      <c r="K956" s="1" t="s">
        <v>8690</v>
      </c>
      <c r="L956" s="1" t="s">
        <v>74</v>
      </c>
      <c r="M956" s="1" t="s">
        <v>74</v>
      </c>
      <c r="N956" s="1" t="s">
        <v>74</v>
      </c>
      <c r="O956" s="1" t="s">
        <v>8691</v>
      </c>
      <c r="P956" s="1" t="s">
        <v>8692</v>
      </c>
      <c r="Q956" s="1" t="s">
        <v>123</v>
      </c>
      <c r="R956" s="1" t="s">
        <v>427</v>
      </c>
      <c r="S956" s="1" t="s">
        <v>74</v>
      </c>
      <c r="T956" s="1" t="s">
        <v>74</v>
      </c>
      <c r="U956" s="1" t="s">
        <v>74</v>
      </c>
      <c r="V956" s="1" t="s">
        <v>8693</v>
      </c>
      <c r="W956" s="1" t="s">
        <v>74</v>
      </c>
      <c r="X956" s="1" t="s">
        <v>74</v>
      </c>
      <c r="Y956" s="1" t="s">
        <v>74</v>
      </c>
      <c r="Z956" s="1" t="s">
        <v>74</v>
      </c>
      <c r="AA956" s="1" t="s">
        <v>8694</v>
      </c>
      <c r="AB956" s="1" t="s">
        <v>7600</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8695</v>
      </c>
      <c r="AP956" s="1" t="s">
        <v>74</v>
      </c>
      <c r="AQ956" s="1" t="s">
        <v>8696</v>
      </c>
      <c r="AR956" s="1" t="s">
        <v>74</v>
      </c>
      <c r="AS956" s="1" t="s">
        <v>74</v>
      </c>
      <c r="AT956" s="1" t="s">
        <v>74</v>
      </c>
      <c r="AU956" s="1">
        <v>2020.0</v>
      </c>
      <c r="AV956" s="1" t="s">
        <v>74</v>
      </c>
      <c r="AW956" s="1" t="s">
        <v>74</v>
      </c>
      <c r="AX956" s="1" t="s">
        <v>74</v>
      </c>
      <c r="AY956" s="1" t="s">
        <v>74</v>
      </c>
      <c r="AZ956" s="1" t="s">
        <v>74</v>
      </c>
      <c r="BA956" s="1" t="s">
        <v>74</v>
      </c>
      <c r="BB956" s="1">
        <v>831.0</v>
      </c>
      <c r="BC956" s="1">
        <v>836.0</v>
      </c>
      <c r="BD956" s="1" t="s">
        <v>74</v>
      </c>
      <c r="BE956" s="1" t="s">
        <v>8697</v>
      </c>
      <c r="BF956" s="2" t="str">
        <f>HYPERLINK("http://dx.doi.org/10.1109/ICIT45562.2020.9067190","http://dx.doi.org/10.1109/ICIT45562.2020.9067190")</f>
        <v>http://dx.doi.org/10.1109/ICIT45562.2020.9067190</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8698</v>
      </c>
      <c r="BT956" s="1" t="str">
        <f>HYPERLINK("https%3A%2F%2Fwww.webofscience.com%2Fwos%2Fwoscc%2Ffull-record%2FWOS:000560681600126","View Full Record in Web of Science")</f>
        <v>View Full Record in Web of Science</v>
      </c>
    </row>
    <row r="957" ht="12.75" customHeight="1">
      <c r="A957" s="1" t="s">
        <v>241</v>
      </c>
      <c r="B957" s="1" t="s">
        <v>8699</v>
      </c>
      <c r="C957" s="1" t="s">
        <v>74</v>
      </c>
      <c r="D957" s="1" t="s">
        <v>74</v>
      </c>
      <c r="E957" s="1" t="s">
        <v>427</v>
      </c>
      <c r="F957" s="1" t="s">
        <v>8700</v>
      </c>
      <c r="G957" s="1" t="s">
        <v>74</v>
      </c>
      <c r="H957" s="1" t="s">
        <v>74</v>
      </c>
      <c r="I957" s="1" t="s">
        <v>8701</v>
      </c>
      <c r="J957" s="1" t="s">
        <v>4504</v>
      </c>
      <c r="K957" s="1" t="s">
        <v>74</v>
      </c>
      <c r="L957" s="1" t="s">
        <v>74</v>
      </c>
      <c r="M957" s="1" t="s">
        <v>74</v>
      </c>
      <c r="N957" s="1" t="s">
        <v>74</v>
      </c>
      <c r="O957" s="1" t="s">
        <v>4505</v>
      </c>
      <c r="P957" s="1" t="s">
        <v>4506</v>
      </c>
      <c r="Q957" s="1" t="s">
        <v>1265</v>
      </c>
      <c r="R957" s="1" t="s">
        <v>4507</v>
      </c>
      <c r="S957" s="1" t="s">
        <v>74</v>
      </c>
      <c r="T957" s="1" t="s">
        <v>74</v>
      </c>
      <c r="U957" s="1" t="s">
        <v>74</v>
      </c>
      <c r="V957" s="1" t="s">
        <v>8702</v>
      </c>
      <c r="W957" s="1" t="s">
        <v>74</v>
      </c>
      <c r="X957" s="1" t="s">
        <v>74</v>
      </c>
      <c r="Y957" s="1" t="s">
        <v>74</v>
      </c>
      <c r="Z957" s="1" t="s">
        <v>74</v>
      </c>
      <c r="AA957" s="1" t="s">
        <v>8703</v>
      </c>
      <c r="AB957" s="1" t="s">
        <v>8704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74</v>
      </c>
      <c r="AP957" s="1" t="s">
        <v>74</v>
      </c>
      <c r="AQ957" s="1" t="s">
        <v>4511</v>
      </c>
      <c r="AR957" s="1" t="s">
        <v>74</v>
      </c>
      <c r="AS957" s="1" t="s">
        <v>74</v>
      </c>
      <c r="AT957" s="1" t="s">
        <v>74</v>
      </c>
      <c r="AU957" s="1">
        <v>2020.0</v>
      </c>
      <c r="AV957" s="1" t="s">
        <v>74</v>
      </c>
      <c r="AW957" s="1" t="s">
        <v>74</v>
      </c>
      <c r="AX957" s="1" t="s">
        <v>74</v>
      </c>
      <c r="AY957" s="1" t="s">
        <v>74</v>
      </c>
      <c r="AZ957" s="1" t="s">
        <v>74</v>
      </c>
      <c r="BA957" s="1" t="s">
        <v>74</v>
      </c>
      <c r="BB957" s="1">
        <v>61.0</v>
      </c>
      <c r="BC957" s="1">
        <v>66.0</v>
      </c>
      <c r="BD957" s="1" t="s">
        <v>74</v>
      </c>
      <c r="BE957" s="1" t="s">
        <v>8705</v>
      </c>
      <c r="BF957" s="2" t="str">
        <f>HYPERLINK("http://dx.doi.org/10.1109/sacvlc50805.2020.9129866","http://dx.doi.org/10.1109/sacvlc50805.2020.9129866")</f>
        <v>http://dx.doi.org/10.1109/sacvlc50805.2020.9129866</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8706</v>
      </c>
      <c r="BT957" s="1" t="str">
        <f>HYPERLINK("https%3A%2F%2Fwww.webofscience.com%2Fwos%2Fwoscc%2Ffull-record%2FWOS:000856038700012","View Full Record in Web of Science")</f>
        <v>View Full Record in Web of Science</v>
      </c>
    </row>
    <row r="958" ht="12.75" customHeight="1">
      <c r="A958" s="1" t="s">
        <v>72</v>
      </c>
      <c r="B958" s="1" t="s">
        <v>8707</v>
      </c>
      <c r="C958" s="1" t="s">
        <v>74</v>
      </c>
      <c r="D958" s="1" t="s">
        <v>74</v>
      </c>
      <c r="E958" s="1" t="s">
        <v>74</v>
      </c>
      <c r="F958" s="1" t="s">
        <v>8708</v>
      </c>
      <c r="G958" s="1" t="s">
        <v>74</v>
      </c>
      <c r="H958" s="1" t="s">
        <v>74</v>
      </c>
      <c r="I958" s="1" t="s">
        <v>8709</v>
      </c>
      <c r="J958" s="1" t="s">
        <v>4739</v>
      </c>
      <c r="K958" s="1" t="s">
        <v>74</v>
      </c>
      <c r="L958" s="1" t="s">
        <v>74</v>
      </c>
      <c r="M958" s="1" t="s">
        <v>74</v>
      </c>
      <c r="N958" s="1" t="s">
        <v>74</v>
      </c>
      <c r="O958" s="1" t="s">
        <v>74</v>
      </c>
      <c r="P958" s="1" t="s">
        <v>74</v>
      </c>
      <c r="Q958" s="1" t="s">
        <v>74</v>
      </c>
      <c r="R958" s="1" t="s">
        <v>74</v>
      </c>
      <c r="S958" s="1" t="s">
        <v>74</v>
      </c>
      <c r="T958" s="1" t="s">
        <v>74</v>
      </c>
      <c r="U958" s="1" t="s">
        <v>74</v>
      </c>
      <c r="V958" s="1" t="s">
        <v>8710</v>
      </c>
      <c r="W958" s="1" t="s">
        <v>74</v>
      </c>
      <c r="X958" s="1" t="s">
        <v>74</v>
      </c>
      <c r="Y958" s="1" t="s">
        <v>74</v>
      </c>
      <c r="Z958" s="1" t="s">
        <v>74</v>
      </c>
      <c r="AA958" s="1" t="s">
        <v>8711</v>
      </c>
      <c r="AB958" s="1" t="s">
        <v>4462</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4742</v>
      </c>
      <c r="AP958" s="1" t="s">
        <v>4743</v>
      </c>
      <c r="AQ958" s="1" t="s">
        <v>74</v>
      </c>
      <c r="AR958" s="1" t="s">
        <v>74</v>
      </c>
      <c r="AS958" s="1" t="s">
        <v>74</v>
      </c>
      <c r="AT958" s="1" t="s">
        <v>607</v>
      </c>
      <c r="AU958" s="1">
        <v>2019.0</v>
      </c>
      <c r="AV958" s="1">
        <v>76.0</v>
      </c>
      <c r="AW958" s="1">
        <v>2.0</v>
      </c>
      <c r="AX958" s="1" t="s">
        <v>74</v>
      </c>
      <c r="AY958" s="1" t="s">
        <v>74</v>
      </c>
      <c r="AZ958" s="1" t="s">
        <v>74</v>
      </c>
      <c r="BA958" s="1" t="s">
        <v>74</v>
      </c>
      <c r="BB958" s="1">
        <v>539.0</v>
      </c>
      <c r="BC958" s="1">
        <v>552.0</v>
      </c>
      <c r="BD958" s="1" t="s">
        <v>74</v>
      </c>
      <c r="BE958" s="1" t="s">
        <v>8712</v>
      </c>
      <c r="BF958" s="2" t="str">
        <f>HYPERLINK("http://dx.doi.org/10.1007/s00289-018-2397-8","http://dx.doi.org/10.1007/s00289-018-2397-8")</f>
        <v>http://dx.doi.org/10.1007/s00289-018-2397-8</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8713</v>
      </c>
      <c r="BT958" s="1" t="str">
        <f>HYPERLINK("https%3A%2F%2Fwww.webofscience.com%2Fwos%2Fwoscc%2Ffull-record%2FWOS:000457419700002","View Full Record in Web of Science")</f>
        <v>View Full Record in Web of Science</v>
      </c>
    </row>
    <row r="959" ht="12.75" customHeight="1">
      <c r="A959" s="1" t="s">
        <v>241</v>
      </c>
      <c r="B959" s="1" t="s">
        <v>8634</v>
      </c>
      <c r="C959" s="1" t="s">
        <v>74</v>
      </c>
      <c r="D959" s="1" t="s">
        <v>8714</v>
      </c>
      <c r="E959" s="1" t="s">
        <v>74</v>
      </c>
      <c r="F959" s="1" t="s">
        <v>5798</v>
      </c>
      <c r="G959" s="1" t="s">
        <v>74</v>
      </c>
      <c r="H959" s="1" t="s">
        <v>74</v>
      </c>
      <c r="I959" s="1" t="s">
        <v>8715</v>
      </c>
      <c r="J959" s="1" t="s">
        <v>8716</v>
      </c>
      <c r="K959" s="1" t="s">
        <v>2574</v>
      </c>
      <c r="L959" s="1" t="s">
        <v>74</v>
      </c>
      <c r="M959" s="1" t="s">
        <v>74</v>
      </c>
      <c r="N959" s="1" t="s">
        <v>74</v>
      </c>
      <c r="O959" s="1" t="s">
        <v>8717</v>
      </c>
      <c r="P959" s="1" t="s">
        <v>8718</v>
      </c>
      <c r="Q959" s="1" t="s">
        <v>8719</v>
      </c>
      <c r="R959" s="1" t="s">
        <v>8720</v>
      </c>
      <c r="S959" s="1" t="s">
        <v>74</v>
      </c>
      <c r="T959" s="1" t="s">
        <v>74</v>
      </c>
      <c r="U959" s="1" t="s">
        <v>74</v>
      </c>
      <c r="V959" s="1" t="s">
        <v>8721</v>
      </c>
      <c r="W959" s="1" t="s">
        <v>74</v>
      </c>
      <c r="X959" s="1" t="s">
        <v>74</v>
      </c>
      <c r="Y959" s="1" t="s">
        <v>74</v>
      </c>
      <c r="Z959" s="1" t="s">
        <v>74</v>
      </c>
      <c r="AA959" s="1" t="s">
        <v>5802</v>
      </c>
      <c r="AB959" s="1" t="s">
        <v>8722</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2580</v>
      </c>
      <c r="AP959" s="1" t="s">
        <v>74</v>
      </c>
      <c r="AQ959" s="1" t="s">
        <v>8723</v>
      </c>
      <c r="AR959" s="1" t="s">
        <v>74</v>
      </c>
      <c r="AS959" s="1" t="s">
        <v>74</v>
      </c>
      <c r="AT959" s="1" t="s">
        <v>74</v>
      </c>
      <c r="AU959" s="1">
        <v>2019.0</v>
      </c>
      <c r="AV959" s="1">
        <v>2075.0</v>
      </c>
      <c r="AW959" s="1" t="s">
        <v>74</v>
      </c>
      <c r="AX959" s="1" t="s">
        <v>74</v>
      </c>
      <c r="AY959" s="1" t="s">
        <v>74</v>
      </c>
      <c r="AZ959" s="1" t="s">
        <v>74</v>
      </c>
      <c r="BA959" s="1" t="s">
        <v>74</v>
      </c>
      <c r="BB959" s="1" t="s">
        <v>74</v>
      </c>
      <c r="BC959" s="1" t="s">
        <v>74</v>
      </c>
      <c r="BD959" s="1">
        <v>90027.0</v>
      </c>
      <c r="BE959" s="1" t="s">
        <v>8724</v>
      </c>
      <c r="BF959" s="2" t="str">
        <f>HYPERLINK("http://dx.doi.org/10.1063/1.5091241","http://dx.doi.org/10.1063/1.5091241")</f>
        <v>http://dx.doi.org/10.1063/1.5091241</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8725</v>
      </c>
      <c r="BT959" s="1" t="str">
        <f>HYPERLINK("https%3A%2F%2Fwww.webofscience.com%2Fwos%2Fwoscc%2Ffull-record%2FWOS:000472653800124","View Full Record in Web of Science")</f>
        <v>View Full Record in Web of Science</v>
      </c>
    </row>
    <row r="960" ht="12.75" customHeight="1">
      <c r="A960" s="1" t="s">
        <v>241</v>
      </c>
      <c r="B960" s="1" t="s">
        <v>8726</v>
      </c>
      <c r="C960" s="1" t="s">
        <v>74</v>
      </c>
      <c r="D960" s="1" t="s">
        <v>74</v>
      </c>
      <c r="E960" s="1" t="s">
        <v>427</v>
      </c>
      <c r="F960" s="1" t="s">
        <v>8727</v>
      </c>
      <c r="G960" s="1" t="s">
        <v>74</v>
      </c>
      <c r="H960" s="1" t="s">
        <v>74</v>
      </c>
      <c r="I960" s="1" t="s">
        <v>8728</v>
      </c>
      <c r="J960" s="1" t="s">
        <v>782</v>
      </c>
      <c r="K960" s="1" t="s">
        <v>74</v>
      </c>
      <c r="L960" s="1" t="s">
        <v>74</v>
      </c>
      <c r="M960" s="1" t="s">
        <v>74</v>
      </c>
      <c r="N960" s="1" t="s">
        <v>74</v>
      </c>
      <c r="O960" s="1" t="s">
        <v>783</v>
      </c>
      <c r="P960" s="1" t="s">
        <v>784</v>
      </c>
      <c r="Q960" s="1" t="s">
        <v>785</v>
      </c>
      <c r="R960" s="1" t="s">
        <v>786</v>
      </c>
      <c r="S960" s="1" t="s">
        <v>74</v>
      </c>
      <c r="T960" s="1" t="s">
        <v>74</v>
      </c>
      <c r="U960" s="1" t="s">
        <v>74</v>
      </c>
      <c r="V960" s="1" t="s">
        <v>8729</v>
      </c>
      <c r="W960" s="1" t="s">
        <v>74</v>
      </c>
      <c r="X960" s="1" t="s">
        <v>74</v>
      </c>
      <c r="Y960" s="1" t="s">
        <v>74</v>
      </c>
      <c r="Z960" s="1" t="s">
        <v>74</v>
      </c>
      <c r="AA960" s="1" t="s">
        <v>8730</v>
      </c>
      <c r="AB960" s="1" t="s">
        <v>7600</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74</v>
      </c>
      <c r="AP960" s="1" t="s">
        <v>74</v>
      </c>
      <c r="AQ960" s="1" t="s">
        <v>789</v>
      </c>
      <c r="AR960" s="1" t="s">
        <v>74</v>
      </c>
      <c r="AS960" s="1" t="s">
        <v>74</v>
      </c>
      <c r="AT960" s="1" t="s">
        <v>74</v>
      </c>
      <c r="AU960" s="1">
        <v>2019.0</v>
      </c>
      <c r="AV960" s="1" t="s">
        <v>74</v>
      </c>
      <c r="AW960" s="1" t="s">
        <v>74</v>
      </c>
      <c r="AX960" s="1" t="s">
        <v>74</v>
      </c>
      <c r="AY960" s="1" t="s">
        <v>74</v>
      </c>
      <c r="AZ960" s="1" t="s">
        <v>74</v>
      </c>
      <c r="BA960" s="1" t="s">
        <v>74</v>
      </c>
      <c r="BB960" s="1" t="s">
        <v>74</v>
      </c>
      <c r="BC960" s="1" t="s">
        <v>74</v>
      </c>
      <c r="BD960" s="1" t="s">
        <v>74</v>
      </c>
      <c r="BE960" s="1" t="s">
        <v>8731</v>
      </c>
      <c r="BF960" s="2" t="str">
        <f>HYPERLINK("http://dx.doi.org/10.1109/chilecon47746.2019.8988098","http://dx.doi.org/10.1109/chilecon47746.2019.8988098")</f>
        <v>http://dx.doi.org/10.1109/chilecon47746.2019.8988098</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8732</v>
      </c>
      <c r="BT960" s="1" t="str">
        <f>HYPERLINK("https%3A%2F%2Fwww.webofscience.com%2Fwos%2Fwoscc%2Ffull-record%2FWOS:000542919100199","View Full Record in Web of Science")</f>
        <v>View Full Record in Web of Science</v>
      </c>
    </row>
    <row r="961" ht="12.75" customHeight="1">
      <c r="A961" s="1" t="s">
        <v>72</v>
      </c>
      <c r="B961" s="1" t="s">
        <v>8733</v>
      </c>
      <c r="C961" s="1" t="s">
        <v>74</v>
      </c>
      <c r="D961" s="1" t="s">
        <v>74</v>
      </c>
      <c r="E961" s="1" t="s">
        <v>74</v>
      </c>
      <c r="F961" s="1" t="s">
        <v>8734</v>
      </c>
      <c r="G961" s="1" t="s">
        <v>74</v>
      </c>
      <c r="H961" s="1" t="s">
        <v>74</v>
      </c>
      <c r="I961" s="1" t="s">
        <v>8735</v>
      </c>
      <c r="J961" s="1" t="s">
        <v>8736</v>
      </c>
      <c r="K961" s="1" t="s">
        <v>74</v>
      </c>
      <c r="L961" s="1" t="s">
        <v>74</v>
      </c>
      <c r="M961" s="1" t="s">
        <v>74</v>
      </c>
      <c r="N961" s="1" t="s">
        <v>74</v>
      </c>
      <c r="O961" s="1" t="s">
        <v>74</v>
      </c>
      <c r="P961" s="1" t="s">
        <v>74</v>
      </c>
      <c r="Q961" s="1" t="s">
        <v>74</v>
      </c>
      <c r="R961" s="1" t="s">
        <v>74</v>
      </c>
      <c r="S961" s="1" t="s">
        <v>74</v>
      </c>
      <c r="T961" s="1" t="s">
        <v>74</v>
      </c>
      <c r="U961" s="1" t="s">
        <v>74</v>
      </c>
      <c r="V961" s="1" t="s">
        <v>8737</v>
      </c>
      <c r="W961" s="1" t="s">
        <v>74</v>
      </c>
      <c r="X961" s="1" t="s">
        <v>74</v>
      </c>
      <c r="Y961" s="1" t="s">
        <v>74</v>
      </c>
      <c r="Z961" s="1" t="s">
        <v>74</v>
      </c>
      <c r="AA961" s="1" t="s">
        <v>8738</v>
      </c>
      <c r="AB961" s="1" t="s">
        <v>8739</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8740</v>
      </c>
      <c r="AP961" s="1" t="s">
        <v>74</v>
      </c>
      <c r="AQ961" s="1" t="s">
        <v>74</v>
      </c>
      <c r="AR961" s="1" t="s">
        <v>74</v>
      </c>
      <c r="AS961" s="1" t="s">
        <v>74</v>
      </c>
      <c r="AT961" s="1" t="s">
        <v>501</v>
      </c>
      <c r="AU961" s="1">
        <v>2018.0</v>
      </c>
      <c r="AV961" s="1">
        <v>36.0</v>
      </c>
      <c r="AW961" s="1">
        <v>6.0</v>
      </c>
      <c r="AX961" s="1" t="s">
        <v>74</v>
      </c>
      <c r="AY961" s="1" t="s">
        <v>74</v>
      </c>
      <c r="AZ961" s="1" t="s">
        <v>74</v>
      </c>
      <c r="BA961" s="1" t="s">
        <v>74</v>
      </c>
      <c r="BB961" s="1" t="s">
        <v>74</v>
      </c>
      <c r="BC961" s="1" t="s">
        <v>74</v>
      </c>
      <c r="BD961" s="1">
        <v>61803.0</v>
      </c>
      <c r="BE961" s="1" t="s">
        <v>8741</v>
      </c>
      <c r="BF961" s="2" t="str">
        <f>HYPERLINK("http://dx.doi.org/10.1116/1.5058706","http://dx.doi.org/10.1116/1.5058706")</f>
        <v>http://dx.doi.org/10.1116/1.5058706</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8742</v>
      </c>
      <c r="BT961" s="1" t="str">
        <f>HYPERLINK("https%3A%2F%2Fwww.webofscience.com%2Fwos%2Fwoscc%2Ffull-record%2FWOS:000452439100047","View Full Record in Web of Science")</f>
        <v>View Full Record in Web of Science</v>
      </c>
    </row>
    <row r="962" ht="12.75" customHeight="1">
      <c r="A962" s="1" t="s">
        <v>72</v>
      </c>
      <c r="B962" s="1" t="s">
        <v>8743</v>
      </c>
      <c r="C962" s="1" t="s">
        <v>74</v>
      </c>
      <c r="D962" s="1" t="s">
        <v>74</v>
      </c>
      <c r="E962" s="1" t="s">
        <v>74</v>
      </c>
      <c r="F962" s="1" t="s">
        <v>8744</v>
      </c>
      <c r="G962" s="1" t="s">
        <v>74</v>
      </c>
      <c r="H962" s="1" t="s">
        <v>74</v>
      </c>
      <c r="I962" s="1" t="s">
        <v>8745</v>
      </c>
      <c r="J962" s="1" t="s">
        <v>8746</v>
      </c>
      <c r="K962" s="1" t="s">
        <v>74</v>
      </c>
      <c r="L962" s="1" t="s">
        <v>74</v>
      </c>
      <c r="M962" s="1" t="s">
        <v>74</v>
      </c>
      <c r="N962" s="1" t="s">
        <v>74</v>
      </c>
      <c r="O962" s="1" t="s">
        <v>74</v>
      </c>
      <c r="P962" s="1" t="s">
        <v>74</v>
      </c>
      <c r="Q962" s="1" t="s">
        <v>74</v>
      </c>
      <c r="R962" s="1" t="s">
        <v>74</v>
      </c>
      <c r="S962" s="1" t="s">
        <v>74</v>
      </c>
      <c r="T962" s="1" t="s">
        <v>74</v>
      </c>
      <c r="U962" s="1" t="s">
        <v>74</v>
      </c>
      <c r="V962" s="1" t="s">
        <v>74</v>
      </c>
      <c r="W962" s="1" t="s">
        <v>74</v>
      </c>
      <c r="X962" s="1" t="s">
        <v>74</v>
      </c>
      <c r="Y962" s="1" t="s">
        <v>74</v>
      </c>
      <c r="Z962" s="1" t="s">
        <v>74</v>
      </c>
      <c r="AA962" s="1" t="s">
        <v>1468</v>
      </c>
      <c r="AB962" s="1" t="s">
        <v>8747</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8748</v>
      </c>
      <c r="AP962" s="1" t="s">
        <v>8749</v>
      </c>
      <c r="AQ962" s="1" t="s">
        <v>74</v>
      </c>
      <c r="AR962" s="1" t="s">
        <v>74</v>
      </c>
      <c r="AS962" s="1" t="s">
        <v>74</v>
      </c>
      <c r="AT962" s="1" t="s">
        <v>630</v>
      </c>
      <c r="AU962" s="1">
        <v>2018.0</v>
      </c>
      <c r="AV962" s="1">
        <v>392.0</v>
      </c>
      <c r="AW962" s="1">
        <v>10157.0</v>
      </c>
      <c r="AX962" s="1" t="s">
        <v>74</v>
      </c>
      <c r="AY962" s="1" t="s">
        <v>74</v>
      </c>
      <c r="AZ962" s="1" t="s">
        <v>74</v>
      </c>
      <c r="BA962" s="1" t="s">
        <v>74</v>
      </c>
      <c r="BB962" s="1">
        <v>1500.0</v>
      </c>
      <c r="BC962" s="1">
        <v>1502.0</v>
      </c>
      <c r="BD962" s="1" t="s">
        <v>74</v>
      </c>
      <c r="BE962" s="1" t="s">
        <v>8750</v>
      </c>
      <c r="BF962" s="2" t="str">
        <f>HYPERLINK("http://dx.doi.org/10.1016/S0140-6736(18)32619-9","http://dx.doi.org/10.1016/S0140-6736(18)32619-9")</f>
        <v>http://dx.doi.org/10.1016/S0140-6736(18)32619-9</v>
      </c>
      <c r="BG962" s="1" t="s">
        <v>74</v>
      </c>
      <c r="BH962" s="1" t="s">
        <v>74</v>
      </c>
      <c r="BI962" s="1" t="s">
        <v>74</v>
      </c>
      <c r="BJ962" s="1" t="s">
        <v>74</v>
      </c>
      <c r="BK962" s="1" t="s">
        <v>74</v>
      </c>
      <c r="BL962" s="1" t="s">
        <v>74</v>
      </c>
      <c r="BM962" s="1" t="s">
        <v>74</v>
      </c>
      <c r="BN962" s="1">
        <v>3.0496046E7</v>
      </c>
      <c r="BO962" s="1" t="s">
        <v>74</v>
      </c>
      <c r="BP962" s="1" t="s">
        <v>74</v>
      </c>
      <c r="BQ962" s="1" t="s">
        <v>74</v>
      </c>
      <c r="BR962" s="1" t="s">
        <v>74</v>
      </c>
      <c r="BS962" s="1" t="s">
        <v>8751</v>
      </c>
      <c r="BT962" s="1" t="str">
        <f>HYPERLINK("https%3A%2F%2Fwww.webofscience.com%2Fwos%2Fwoscc%2Ffull-record%2FWOS:000448414700011","View Full Record in Web of Science")</f>
        <v>View Full Record in Web of Science</v>
      </c>
    </row>
    <row r="963" ht="12.75" customHeight="1">
      <c r="A963" s="1" t="s">
        <v>72</v>
      </c>
      <c r="B963" s="1" t="s">
        <v>8752</v>
      </c>
      <c r="C963" s="1" t="s">
        <v>74</v>
      </c>
      <c r="D963" s="1" t="s">
        <v>74</v>
      </c>
      <c r="E963" s="1" t="s">
        <v>74</v>
      </c>
      <c r="F963" s="1" t="s">
        <v>8753</v>
      </c>
      <c r="G963" s="1" t="s">
        <v>74</v>
      </c>
      <c r="H963" s="1" t="s">
        <v>74</v>
      </c>
      <c r="I963" s="1" t="s">
        <v>8754</v>
      </c>
      <c r="J963" s="1" t="s">
        <v>8212</v>
      </c>
      <c r="K963" s="1" t="s">
        <v>74</v>
      </c>
      <c r="L963" s="1" t="s">
        <v>74</v>
      </c>
      <c r="M963" s="1" t="s">
        <v>74</v>
      </c>
      <c r="N963" s="1" t="s">
        <v>74</v>
      </c>
      <c r="O963" s="1" t="s">
        <v>74</v>
      </c>
      <c r="P963" s="1" t="s">
        <v>74</v>
      </c>
      <c r="Q963" s="1" t="s">
        <v>74</v>
      </c>
      <c r="R963" s="1" t="s">
        <v>74</v>
      </c>
      <c r="S963" s="1" t="s">
        <v>74</v>
      </c>
      <c r="T963" s="1" t="s">
        <v>74</v>
      </c>
      <c r="U963" s="1" t="s">
        <v>74</v>
      </c>
      <c r="V963" s="1" t="s">
        <v>8755</v>
      </c>
      <c r="W963" s="1" t="s">
        <v>74</v>
      </c>
      <c r="X963" s="1" t="s">
        <v>74</v>
      </c>
      <c r="Y963" s="1" t="s">
        <v>74</v>
      </c>
      <c r="Z963" s="1" t="s">
        <v>74</v>
      </c>
      <c r="AA963" s="1" t="s">
        <v>74</v>
      </c>
      <c r="AB963" s="1" t="s">
        <v>8756</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8215</v>
      </c>
      <c r="AP963" s="1" t="s">
        <v>8216</v>
      </c>
      <c r="AQ963" s="1" t="s">
        <v>74</v>
      </c>
      <c r="AR963" s="1" t="s">
        <v>74</v>
      </c>
      <c r="AS963" s="1" t="s">
        <v>74</v>
      </c>
      <c r="AT963" s="1" t="s">
        <v>353</v>
      </c>
      <c r="AU963" s="1">
        <v>2018.0</v>
      </c>
      <c r="AV963" s="1">
        <v>19.0</v>
      </c>
      <c r="AW963" s="1">
        <v>10.0</v>
      </c>
      <c r="AX963" s="1" t="s">
        <v>74</v>
      </c>
      <c r="AY963" s="1" t="s">
        <v>74</v>
      </c>
      <c r="AZ963" s="1" t="s">
        <v>74</v>
      </c>
      <c r="BA963" s="1" t="s">
        <v>74</v>
      </c>
      <c r="BB963" s="1">
        <v>3031.0</v>
      </c>
      <c r="BC963" s="1">
        <v>3051.0</v>
      </c>
      <c r="BD963" s="1" t="s">
        <v>74</v>
      </c>
      <c r="BE963" s="1" t="s">
        <v>8757</v>
      </c>
      <c r="BF963" s="2" t="str">
        <f>HYPERLINK("http://dx.doi.org/10.1007/s00023-018-0714-2","http://dx.doi.org/10.1007/s00023-018-0714-2")</f>
        <v>http://dx.doi.org/10.1007/s00023-018-0714-2</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8758</v>
      </c>
      <c r="BT963" s="1" t="str">
        <f>HYPERLINK("https%3A%2F%2Fwww.webofscience.com%2Fwos%2Fwoscc%2Ffull-record%2FWOS:000444031500005","View Full Record in Web of Science")</f>
        <v>View Full Record in Web of Science</v>
      </c>
    </row>
    <row r="964" ht="12.75" customHeight="1">
      <c r="A964" s="1" t="s">
        <v>72</v>
      </c>
      <c r="B964" s="1" t="s">
        <v>8759</v>
      </c>
      <c r="C964" s="1" t="s">
        <v>74</v>
      </c>
      <c r="D964" s="1" t="s">
        <v>74</v>
      </c>
      <c r="E964" s="1" t="s">
        <v>74</v>
      </c>
      <c r="F964" s="1" t="s">
        <v>8760</v>
      </c>
      <c r="G964" s="1" t="s">
        <v>74</v>
      </c>
      <c r="H964" s="1" t="s">
        <v>74</v>
      </c>
      <c r="I964" s="1" t="s">
        <v>8761</v>
      </c>
      <c r="J964" s="1" t="s">
        <v>7562</v>
      </c>
      <c r="K964" s="1" t="s">
        <v>74</v>
      </c>
      <c r="L964" s="1" t="s">
        <v>74</v>
      </c>
      <c r="M964" s="1" t="s">
        <v>74</v>
      </c>
      <c r="N964" s="1" t="s">
        <v>74</v>
      </c>
      <c r="O964" s="1" t="s">
        <v>74</v>
      </c>
      <c r="P964" s="1" t="s">
        <v>74</v>
      </c>
      <c r="Q964" s="1" t="s">
        <v>74</v>
      </c>
      <c r="R964" s="1" t="s">
        <v>74</v>
      </c>
      <c r="S964" s="1" t="s">
        <v>74</v>
      </c>
      <c r="T964" s="1" t="s">
        <v>74</v>
      </c>
      <c r="U964" s="1" t="s">
        <v>74</v>
      </c>
      <c r="V964" s="1" t="s">
        <v>8762</v>
      </c>
      <c r="W964" s="1" t="s">
        <v>74</v>
      </c>
      <c r="X964" s="1" t="s">
        <v>74</v>
      </c>
      <c r="Y964" s="1" t="s">
        <v>74</v>
      </c>
      <c r="Z964" s="1" t="s">
        <v>74</v>
      </c>
      <c r="AA964" s="1" t="s">
        <v>8763</v>
      </c>
      <c r="AB964" s="1" t="s">
        <v>6398</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7566</v>
      </c>
      <c r="AP964" s="1" t="s">
        <v>7567</v>
      </c>
      <c r="AQ964" s="1" t="s">
        <v>74</v>
      </c>
      <c r="AR964" s="1" t="s">
        <v>74</v>
      </c>
      <c r="AS964" s="1" t="s">
        <v>74</v>
      </c>
      <c r="AT964" s="1" t="s">
        <v>82</v>
      </c>
      <c r="AU964" s="1">
        <v>2018.0</v>
      </c>
      <c r="AV964" s="1">
        <v>21.0</v>
      </c>
      <c r="AW964" s="1">
        <v>3.0</v>
      </c>
      <c r="AX964" s="1" t="s">
        <v>74</v>
      </c>
      <c r="AY964" s="1" t="s">
        <v>74</v>
      </c>
      <c r="AZ964" s="1" t="s">
        <v>74</v>
      </c>
      <c r="BA964" s="1" t="s">
        <v>74</v>
      </c>
      <c r="BB964" s="1">
        <v>696.0</v>
      </c>
      <c r="BC964" s="1">
        <v>715.0</v>
      </c>
      <c r="BD964" s="1" t="s">
        <v>74</v>
      </c>
      <c r="BE964" s="1" t="s">
        <v>8764</v>
      </c>
      <c r="BF964" s="2" t="str">
        <f>HYPERLINK("http://dx.doi.org/10.1515/fca-2018-0037","http://dx.doi.org/10.1515/fca-2018-0037")</f>
        <v>http://dx.doi.org/10.1515/fca-2018-0037</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8765</v>
      </c>
      <c r="BT964" s="1" t="str">
        <f>HYPERLINK("https%3A%2F%2Fwww.webofscience.com%2Fwos%2Fwoscc%2Ffull-record%2FWOS:000438790600007","View Full Record in Web of Science")</f>
        <v>View Full Record in Web of Science</v>
      </c>
    </row>
    <row r="965" ht="12.75" customHeight="1">
      <c r="A965" s="1" t="s">
        <v>72</v>
      </c>
      <c r="B965" s="1" t="s">
        <v>8766</v>
      </c>
      <c r="C965" s="1" t="s">
        <v>74</v>
      </c>
      <c r="D965" s="1" t="s">
        <v>74</v>
      </c>
      <c r="E965" s="1" t="s">
        <v>74</v>
      </c>
      <c r="F965" s="1" t="s">
        <v>8767</v>
      </c>
      <c r="G965" s="1" t="s">
        <v>74</v>
      </c>
      <c r="H965" s="1" t="s">
        <v>74</v>
      </c>
      <c r="I965" s="1" t="s">
        <v>8768</v>
      </c>
      <c r="J965" s="1" t="s">
        <v>8769</v>
      </c>
      <c r="K965" s="1" t="s">
        <v>74</v>
      </c>
      <c r="L965" s="1" t="s">
        <v>74</v>
      </c>
      <c r="M965" s="1" t="s">
        <v>74</v>
      </c>
      <c r="N965" s="1" t="s">
        <v>74</v>
      </c>
      <c r="O965" s="1" t="s">
        <v>74</v>
      </c>
      <c r="P965" s="1" t="s">
        <v>74</v>
      </c>
      <c r="Q965" s="1" t="s">
        <v>74</v>
      </c>
      <c r="R965" s="1" t="s">
        <v>74</v>
      </c>
      <c r="S965" s="1" t="s">
        <v>74</v>
      </c>
      <c r="T965" s="1" t="s">
        <v>74</v>
      </c>
      <c r="U965" s="1" t="s">
        <v>74</v>
      </c>
      <c r="V965" s="1" t="s">
        <v>8770</v>
      </c>
      <c r="W965" s="1" t="s">
        <v>74</v>
      </c>
      <c r="X965" s="1" t="s">
        <v>74</v>
      </c>
      <c r="Y965" s="1" t="s">
        <v>74</v>
      </c>
      <c r="Z965" s="1" t="s">
        <v>74</v>
      </c>
      <c r="AA965" s="1" t="s">
        <v>8771</v>
      </c>
      <c r="AB965" s="1" t="s">
        <v>8772</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8773</v>
      </c>
      <c r="AP965" s="1" t="s">
        <v>8774</v>
      </c>
      <c r="AQ965" s="1" t="s">
        <v>74</v>
      </c>
      <c r="AR965" s="1" t="s">
        <v>74</v>
      </c>
      <c r="AS965" s="1" t="s">
        <v>74</v>
      </c>
      <c r="AT965" s="1" t="s">
        <v>74</v>
      </c>
      <c r="AU965" s="1">
        <v>2018.0</v>
      </c>
      <c r="AV965" s="1">
        <v>33.0</v>
      </c>
      <c r="AW965" s="1">
        <v>2.0</v>
      </c>
      <c r="AX965" s="1" t="s">
        <v>74</v>
      </c>
      <c r="AY965" s="1" t="s">
        <v>74</v>
      </c>
      <c r="AZ965" s="1" t="s">
        <v>74</v>
      </c>
      <c r="BA965" s="1" t="s">
        <v>74</v>
      </c>
      <c r="BB965" s="1">
        <v>240.0</v>
      </c>
      <c r="BC965" s="1">
        <v>274.0</v>
      </c>
      <c r="BD965" s="1" t="s">
        <v>74</v>
      </c>
      <c r="BE965" s="1" t="s">
        <v>8775</v>
      </c>
      <c r="BF965" s="2" t="str">
        <f>HYPERLINK("http://dx.doi.org/10.1080/02134748.2018.1446393","http://dx.doi.org/10.1080/02134748.2018.1446393")</f>
        <v>http://dx.doi.org/10.1080/02134748.2018.1446393</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8776</v>
      </c>
      <c r="BT965" s="1" t="str">
        <f>HYPERLINK("https%3A%2F%2Fwww.webofscience.com%2Fwos%2Fwoscc%2Ffull-record%2FWOS:000430727800002","View Full Record in Web of Science")</f>
        <v>View Full Record in Web of Science</v>
      </c>
    </row>
    <row r="966" ht="12.75" customHeight="1">
      <c r="A966" s="1" t="s">
        <v>72</v>
      </c>
      <c r="B966" s="1" t="s">
        <v>8777</v>
      </c>
      <c r="C966" s="1" t="s">
        <v>74</v>
      </c>
      <c r="D966" s="1" t="s">
        <v>74</v>
      </c>
      <c r="E966" s="1" t="s">
        <v>74</v>
      </c>
      <c r="F966" s="1" t="s">
        <v>8778</v>
      </c>
      <c r="G966" s="1" t="s">
        <v>74</v>
      </c>
      <c r="H966" s="1" t="s">
        <v>74</v>
      </c>
      <c r="I966" s="1" t="s">
        <v>8779</v>
      </c>
      <c r="J966" s="1" t="s">
        <v>8780</v>
      </c>
      <c r="K966" s="1" t="s">
        <v>74</v>
      </c>
      <c r="L966" s="1" t="s">
        <v>74</v>
      </c>
      <c r="M966" s="1" t="s">
        <v>74</v>
      </c>
      <c r="N966" s="1" t="s">
        <v>74</v>
      </c>
      <c r="O966" s="1" t="s">
        <v>74</v>
      </c>
      <c r="P966" s="1" t="s">
        <v>74</v>
      </c>
      <c r="Q966" s="1" t="s">
        <v>74</v>
      </c>
      <c r="R966" s="1" t="s">
        <v>74</v>
      </c>
      <c r="S966" s="1" t="s">
        <v>74</v>
      </c>
      <c r="T966" s="1" t="s">
        <v>74</v>
      </c>
      <c r="U966" s="1" t="s">
        <v>74</v>
      </c>
      <c r="V966" s="1" t="s">
        <v>8781</v>
      </c>
      <c r="W966" s="1" t="s">
        <v>74</v>
      </c>
      <c r="X966" s="1" t="s">
        <v>74</v>
      </c>
      <c r="Y966" s="1" t="s">
        <v>74</v>
      </c>
      <c r="Z966" s="1" t="s">
        <v>74</v>
      </c>
      <c r="AA966" s="1" t="s">
        <v>8782</v>
      </c>
      <c r="AB966" s="1" t="s">
        <v>8783</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8784</v>
      </c>
      <c r="AP966" s="1" t="s">
        <v>8785</v>
      </c>
      <c r="AQ966" s="1" t="s">
        <v>74</v>
      </c>
      <c r="AR966" s="1" t="s">
        <v>74</v>
      </c>
      <c r="AS966" s="1" t="s">
        <v>74</v>
      </c>
      <c r="AT966" s="1" t="s">
        <v>74</v>
      </c>
      <c r="AU966" s="1">
        <v>2018.0</v>
      </c>
      <c r="AV966" s="1">
        <v>2018.0</v>
      </c>
      <c r="AW966" s="1" t="s">
        <v>74</v>
      </c>
      <c r="AX966" s="1" t="s">
        <v>74</v>
      </c>
      <c r="AY966" s="1" t="s">
        <v>74</v>
      </c>
      <c r="AZ966" s="1" t="s">
        <v>74</v>
      </c>
      <c r="BA966" s="1" t="s">
        <v>74</v>
      </c>
      <c r="BB966" s="1" t="s">
        <v>74</v>
      </c>
      <c r="BC966" s="1" t="s">
        <v>74</v>
      </c>
      <c r="BD966" s="1">
        <v>7219732.0</v>
      </c>
      <c r="BE966" s="1" t="s">
        <v>8786</v>
      </c>
      <c r="BF966" s="2" t="str">
        <f>HYPERLINK("http://dx.doi.org/10.1155/2018/7219732","http://dx.doi.org/10.1155/2018/7219732")</f>
        <v>http://dx.doi.org/10.1155/2018/7219732</v>
      </c>
      <c r="BG966" s="1" t="s">
        <v>74</v>
      </c>
      <c r="BH966" s="1" t="s">
        <v>74</v>
      </c>
      <c r="BI966" s="1" t="s">
        <v>74</v>
      </c>
      <c r="BJ966" s="1" t="s">
        <v>74</v>
      </c>
      <c r="BK966" s="1" t="s">
        <v>74</v>
      </c>
      <c r="BL966" s="1" t="s">
        <v>74</v>
      </c>
      <c r="BM966" s="1" t="s">
        <v>74</v>
      </c>
      <c r="BN966" s="1">
        <v>3.0363571E7</v>
      </c>
      <c r="BO966" s="1" t="s">
        <v>74</v>
      </c>
      <c r="BP966" s="1" t="s">
        <v>74</v>
      </c>
      <c r="BQ966" s="1" t="s">
        <v>74</v>
      </c>
      <c r="BR966" s="1" t="s">
        <v>74</v>
      </c>
      <c r="BS966" s="1" t="s">
        <v>8787</v>
      </c>
      <c r="BT966" s="1" t="str">
        <f>HYPERLINK("https%3A%2F%2Fwww.webofscience.com%2Fwos%2Fwoscc%2Ffull-record%2FWOS:000446780800001","View Full Record in Web of Science")</f>
        <v>View Full Record in Web of Science</v>
      </c>
    </row>
    <row r="967" ht="12.75" customHeight="1">
      <c r="A967" s="1" t="s">
        <v>72</v>
      </c>
      <c r="B967" s="1" t="s">
        <v>8788</v>
      </c>
      <c r="C967" s="1" t="s">
        <v>74</v>
      </c>
      <c r="D967" s="1" t="s">
        <v>74</v>
      </c>
      <c r="E967" s="1" t="s">
        <v>74</v>
      </c>
      <c r="F967" s="1" t="s">
        <v>8789</v>
      </c>
      <c r="G967" s="1" t="s">
        <v>74</v>
      </c>
      <c r="H967" s="1" t="s">
        <v>74</v>
      </c>
      <c r="I967" s="1" t="s">
        <v>8790</v>
      </c>
      <c r="J967" s="1" t="s">
        <v>8791</v>
      </c>
      <c r="K967" s="1" t="s">
        <v>74</v>
      </c>
      <c r="L967" s="1" t="s">
        <v>74</v>
      </c>
      <c r="M967" s="1" t="s">
        <v>74</v>
      </c>
      <c r="N967" s="1" t="s">
        <v>74</v>
      </c>
      <c r="O967" s="1" t="s">
        <v>74</v>
      </c>
      <c r="P967" s="1" t="s">
        <v>74</v>
      </c>
      <c r="Q967" s="1" t="s">
        <v>74</v>
      </c>
      <c r="R967" s="1" t="s">
        <v>74</v>
      </c>
      <c r="S967" s="1" t="s">
        <v>74</v>
      </c>
      <c r="T967" s="1" t="s">
        <v>74</v>
      </c>
      <c r="U967" s="1" t="s">
        <v>74</v>
      </c>
      <c r="V967" s="1" t="s">
        <v>8792</v>
      </c>
      <c r="W967" s="1" t="s">
        <v>74</v>
      </c>
      <c r="X967" s="1" t="s">
        <v>74</v>
      </c>
      <c r="Y967" s="1" t="s">
        <v>74</v>
      </c>
      <c r="Z967" s="1" t="s">
        <v>74</v>
      </c>
      <c r="AA967" s="1" t="s">
        <v>8793</v>
      </c>
      <c r="AB967" s="1" t="s">
        <v>8794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8795</v>
      </c>
      <c r="AP967" s="1" t="s">
        <v>8796</v>
      </c>
      <c r="AQ967" s="1" t="s">
        <v>74</v>
      </c>
      <c r="AR967" s="1" t="s">
        <v>74</v>
      </c>
      <c r="AS967" s="1" t="s">
        <v>74</v>
      </c>
      <c r="AT967" s="1" t="s">
        <v>74</v>
      </c>
      <c r="AU967" s="1">
        <v>2018.0</v>
      </c>
      <c r="AV967" s="1">
        <v>2018.0</v>
      </c>
      <c r="AW967" s="1" t="s">
        <v>74</v>
      </c>
      <c r="AX967" s="1" t="s">
        <v>74</v>
      </c>
      <c r="AY967" s="1" t="s">
        <v>74</v>
      </c>
      <c r="AZ967" s="1" t="s">
        <v>74</v>
      </c>
      <c r="BA967" s="1" t="s">
        <v>74</v>
      </c>
      <c r="BB967" s="1" t="s">
        <v>74</v>
      </c>
      <c r="BC967" s="1" t="s">
        <v>74</v>
      </c>
      <c r="BD967" s="1">
        <v>5813514.0</v>
      </c>
      <c r="BE967" s="1" t="s">
        <v>8797</v>
      </c>
      <c r="BF967" s="2" t="str">
        <f>HYPERLINK("http://dx.doi.org/10.1155/2018/5813514","http://dx.doi.org/10.1155/2018/5813514")</f>
        <v>http://dx.doi.org/10.1155/2018/5813514</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8798</v>
      </c>
      <c r="BT967" s="1" t="str">
        <f>HYPERLINK("https%3A%2F%2Fwww.webofscience.com%2Fwos%2Fwoscc%2Ffull-record%2FWOS:000424829600001","View Full Record in Web of Science")</f>
        <v>View Full Record in Web of Science</v>
      </c>
    </row>
    <row r="968" ht="12.75" customHeight="1">
      <c r="A968" s="1" t="s">
        <v>72</v>
      </c>
      <c r="B968" s="1" t="s">
        <v>8799</v>
      </c>
      <c r="C968" s="1" t="s">
        <v>74</v>
      </c>
      <c r="D968" s="1" t="s">
        <v>74</v>
      </c>
      <c r="E968" s="1" t="s">
        <v>74</v>
      </c>
      <c r="F968" s="1" t="s">
        <v>8800</v>
      </c>
      <c r="G968" s="1" t="s">
        <v>74</v>
      </c>
      <c r="H968" s="1" t="s">
        <v>74</v>
      </c>
      <c r="I968" s="1" t="s">
        <v>8801</v>
      </c>
      <c r="J968" s="1" t="s">
        <v>8802</v>
      </c>
      <c r="K968" s="1" t="s">
        <v>74</v>
      </c>
      <c r="L968" s="1" t="s">
        <v>74</v>
      </c>
      <c r="M968" s="1" t="s">
        <v>74</v>
      </c>
      <c r="N968" s="1" t="s">
        <v>74</v>
      </c>
      <c r="O968" s="1" t="s">
        <v>74</v>
      </c>
      <c r="P968" s="1" t="s">
        <v>74</v>
      </c>
      <c r="Q968" s="1" t="s">
        <v>74</v>
      </c>
      <c r="R968" s="1" t="s">
        <v>74</v>
      </c>
      <c r="S968" s="1" t="s">
        <v>74</v>
      </c>
      <c r="T968" s="1" t="s">
        <v>74</v>
      </c>
      <c r="U968" s="1" t="s">
        <v>74</v>
      </c>
      <c r="V968" s="1" t="s">
        <v>8803</v>
      </c>
      <c r="W968" s="1" t="s">
        <v>74</v>
      </c>
      <c r="X968" s="1" t="s">
        <v>74</v>
      </c>
      <c r="Y968" s="1" t="s">
        <v>74</v>
      </c>
      <c r="Z968" s="1" t="s">
        <v>74</v>
      </c>
      <c r="AA968" s="1" t="s">
        <v>8804</v>
      </c>
      <c r="AB968" s="1" t="s">
        <v>8805</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8806</v>
      </c>
      <c r="AP968" s="1" t="s">
        <v>8807</v>
      </c>
      <c r="AQ968" s="1" t="s">
        <v>74</v>
      </c>
      <c r="AR968" s="1" t="s">
        <v>74</v>
      </c>
      <c r="AS968" s="1" t="s">
        <v>74</v>
      </c>
      <c r="AT968" s="1" t="s">
        <v>160</v>
      </c>
      <c r="AU968" s="1">
        <v>2017.0</v>
      </c>
      <c r="AV968" s="1">
        <v>73.0</v>
      </c>
      <c r="AW968" s="1" t="s">
        <v>74</v>
      </c>
      <c r="AX968" s="1" t="s">
        <v>74</v>
      </c>
      <c r="AY968" s="1" t="s">
        <v>74</v>
      </c>
      <c r="AZ968" s="1" t="s">
        <v>74</v>
      </c>
      <c r="BA968" s="1" t="s">
        <v>74</v>
      </c>
      <c r="BB968" s="1">
        <v>243.0</v>
      </c>
      <c r="BC968" s="1">
        <v>254.0</v>
      </c>
      <c r="BD968" s="1" t="s">
        <v>74</v>
      </c>
      <c r="BE968" s="1" t="s">
        <v>8808</v>
      </c>
      <c r="BF968" s="2" t="str">
        <f>HYPERLINK("http://dx.doi.org/10.1016/j.foodhyd.2017.07.010","http://dx.doi.org/10.1016/j.foodhyd.2017.07.010")</f>
        <v>http://dx.doi.org/10.1016/j.foodhyd.2017.07.010</v>
      </c>
      <c r="BG968" s="1" t="s">
        <v>74</v>
      </c>
      <c r="BH968" s="1" t="s">
        <v>74</v>
      </c>
      <c r="BI968" s="1" t="s">
        <v>74</v>
      </c>
      <c r="BJ968" s="1" t="s">
        <v>74</v>
      </c>
      <c r="BK968" s="1" t="s">
        <v>74</v>
      </c>
      <c r="BL968" s="1" t="s">
        <v>74</v>
      </c>
      <c r="BM968" s="1" t="s">
        <v>74</v>
      </c>
      <c r="BN968" s="1" t="s">
        <v>74</v>
      </c>
      <c r="BO968" s="1" t="s">
        <v>74</v>
      </c>
      <c r="BP968" s="1" t="s">
        <v>74</v>
      </c>
      <c r="BQ968" s="1" t="s">
        <v>74</v>
      </c>
      <c r="BR968" s="1" t="s">
        <v>74</v>
      </c>
      <c r="BS968" s="1" t="s">
        <v>8809</v>
      </c>
      <c r="BT968" s="1" t="str">
        <f>HYPERLINK("https%3A%2F%2Fwww.webofscience.com%2Fwos%2Fwoscc%2Ffull-record%2FWOS:000407027100026","View Full Record in Web of Science")</f>
        <v>View Full Record in Web of Science</v>
      </c>
    </row>
    <row r="969" ht="12.75" customHeight="1">
      <c r="A969" s="1" t="s">
        <v>72</v>
      </c>
      <c r="B969" s="1" t="s">
        <v>8810</v>
      </c>
      <c r="C969" s="1" t="s">
        <v>74</v>
      </c>
      <c r="D969" s="1" t="s">
        <v>74</v>
      </c>
      <c r="E969" s="1" t="s">
        <v>74</v>
      </c>
      <c r="F969" s="1" t="s">
        <v>8811</v>
      </c>
      <c r="G969" s="1" t="s">
        <v>74</v>
      </c>
      <c r="H969" s="1" t="s">
        <v>74</v>
      </c>
      <c r="I969" s="1" t="s">
        <v>8812</v>
      </c>
      <c r="J969" s="1" t="s">
        <v>8813</v>
      </c>
      <c r="K969" s="1" t="s">
        <v>74</v>
      </c>
      <c r="L969" s="1" t="s">
        <v>74</v>
      </c>
      <c r="M969" s="1" t="s">
        <v>74</v>
      </c>
      <c r="N969" s="1" t="s">
        <v>74</v>
      </c>
      <c r="O969" s="1" t="s">
        <v>8814</v>
      </c>
      <c r="P969" s="1" t="s">
        <v>8815</v>
      </c>
      <c r="Q969" s="1" t="s">
        <v>8816</v>
      </c>
      <c r="R969" s="1" t="s">
        <v>8817</v>
      </c>
      <c r="S969" s="1" t="s">
        <v>74</v>
      </c>
      <c r="T969" s="1" t="s">
        <v>74</v>
      </c>
      <c r="U969" s="1" t="s">
        <v>74</v>
      </c>
      <c r="V969" s="1" t="s">
        <v>74</v>
      </c>
      <c r="W969" s="1" t="s">
        <v>74</v>
      </c>
      <c r="X969" s="1" t="s">
        <v>74</v>
      </c>
      <c r="Y969" s="1" t="s">
        <v>74</v>
      </c>
      <c r="Z969" s="1" t="s">
        <v>74</v>
      </c>
      <c r="AA969" s="1" t="s">
        <v>8818</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8819</v>
      </c>
      <c r="AP969" s="1" t="s">
        <v>8820</v>
      </c>
      <c r="AQ969" s="1" t="s">
        <v>74</v>
      </c>
      <c r="AR969" s="1" t="s">
        <v>74</v>
      </c>
      <c r="AS969" s="1" t="s">
        <v>74</v>
      </c>
      <c r="AT969" s="1" t="s">
        <v>574</v>
      </c>
      <c r="AU969" s="1">
        <v>2017.0</v>
      </c>
      <c r="AV969" s="1">
        <v>472.0</v>
      </c>
      <c r="AW969" s="1" t="s">
        <v>74</v>
      </c>
      <c r="AX969" s="1" t="s">
        <v>74</v>
      </c>
      <c r="AY969" s="1" t="s">
        <v>1857</v>
      </c>
      <c r="AZ969" s="1" t="s">
        <v>2319</v>
      </c>
      <c r="BA969" s="1" t="s">
        <v>74</v>
      </c>
      <c r="BB969" s="1">
        <v>110.0</v>
      </c>
      <c r="BC969" s="1">
        <v>110.0</v>
      </c>
      <c r="BD969" s="1" t="s">
        <v>74</v>
      </c>
      <c r="BE969" s="1" t="s">
        <v>74</v>
      </c>
      <c r="BF969" s="1" t="s">
        <v>74</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8821</v>
      </c>
      <c r="BT969" s="1" t="str">
        <f>HYPERLINK("https%3A%2F%2Fwww.webofscience.com%2Fwos%2Fwoscc%2Ffull-record%2FWOS:000411454500087","View Full Record in Web of Science")</f>
        <v>View Full Record in Web of Science</v>
      </c>
    </row>
    <row r="970" ht="12.75" customHeight="1">
      <c r="A970" s="1" t="s">
        <v>72</v>
      </c>
      <c r="B970" s="1" t="s">
        <v>8822</v>
      </c>
      <c r="C970" s="1" t="s">
        <v>74</v>
      </c>
      <c r="D970" s="1" t="s">
        <v>74</v>
      </c>
      <c r="E970" s="1" t="s">
        <v>74</v>
      </c>
      <c r="F970" s="1" t="s">
        <v>8823</v>
      </c>
      <c r="G970" s="1" t="s">
        <v>74</v>
      </c>
      <c r="H970" s="1" t="s">
        <v>74</v>
      </c>
      <c r="I970" s="1" t="s">
        <v>8824</v>
      </c>
      <c r="J970" s="1" t="s">
        <v>8825</v>
      </c>
      <c r="K970" s="1" t="s">
        <v>74</v>
      </c>
      <c r="L970" s="1" t="s">
        <v>74</v>
      </c>
      <c r="M970" s="1" t="s">
        <v>74</v>
      </c>
      <c r="N970" s="1" t="s">
        <v>74</v>
      </c>
      <c r="O970" s="1" t="s">
        <v>74</v>
      </c>
      <c r="P970" s="1" t="s">
        <v>74</v>
      </c>
      <c r="Q970" s="1" t="s">
        <v>74</v>
      </c>
      <c r="R970" s="1" t="s">
        <v>74</v>
      </c>
      <c r="S970" s="1" t="s">
        <v>74</v>
      </c>
      <c r="T970" s="1" t="s">
        <v>74</v>
      </c>
      <c r="U970" s="1" t="s">
        <v>74</v>
      </c>
      <c r="V970" s="1" t="s">
        <v>8826</v>
      </c>
      <c r="W970" s="1" t="s">
        <v>74</v>
      </c>
      <c r="X970" s="1" t="s">
        <v>74</v>
      </c>
      <c r="Y970" s="1" t="s">
        <v>74</v>
      </c>
      <c r="Z970" s="1" t="s">
        <v>74</v>
      </c>
      <c r="AA970" s="1" t="s">
        <v>8827</v>
      </c>
      <c r="AB970" s="1" t="s">
        <v>8828</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8829</v>
      </c>
      <c r="AP970" s="1" t="s">
        <v>8830</v>
      </c>
      <c r="AQ970" s="1" t="s">
        <v>74</v>
      </c>
      <c r="AR970" s="1" t="s">
        <v>74</v>
      </c>
      <c r="AS970" s="1" t="s">
        <v>74</v>
      </c>
      <c r="AT970" s="1" t="s">
        <v>3646</v>
      </c>
      <c r="AU970" s="1">
        <v>2016.0</v>
      </c>
      <c r="AV970" s="1">
        <v>154.0</v>
      </c>
      <c r="AW970" s="1" t="s">
        <v>74</v>
      </c>
      <c r="AX970" s="1" t="s">
        <v>74</v>
      </c>
      <c r="AY970" s="1" t="s">
        <v>74</v>
      </c>
      <c r="AZ970" s="1" t="s">
        <v>74</v>
      </c>
      <c r="BA970" s="1" t="s">
        <v>74</v>
      </c>
      <c r="BB970" s="1">
        <v>1.0</v>
      </c>
      <c r="BC970" s="1">
        <v>10.0</v>
      </c>
      <c r="BD970" s="1" t="s">
        <v>74</v>
      </c>
      <c r="BE970" s="1" t="s">
        <v>8831</v>
      </c>
      <c r="BF970" s="2" t="str">
        <f>HYPERLINK("http://dx.doi.org/10.1016/j.compstruct.2016.06.050","http://dx.doi.org/10.1016/j.compstruct.2016.06.050")</f>
        <v>http://dx.doi.org/10.1016/j.compstruct.2016.06.050</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8832</v>
      </c>
      <c r="BT970" s="1" t="str">
        <f>HYPERLINK("https%3A%2F%2Fwww.webofscience.com%2Fwos%2Fwoscc%2Ffull-record%2FWOS:000382413700001","View Full Record in Web of Science")</f>
        <v>View Full Record in Web of Science</v>
      </c>
    </row>
    <row r="971" ht="12.75" customHeight="1">
      <c r="A971" s="1" t="s">
        <v>72</v>
      </c>
      <c r="B971" s="1" t="s">
        <v>8833</v>
      </c>
      <c r="C971" s="1" t="s">
        <v>74</v>
      </c>
      <c r="D971" s="1" t="s">
        <v>74</v>
      </c>
      <c r="E971" s="1" t="s">
        <v>74</v>
      </c>
      <c r="F971" s="1" t="s">
        <v>8834</v>
      </c>
      <c r="G971" s="1" t="s">
        <v>74</v>
      </c>
      <c r="H971" s="1" t="s">
        <v>74</v>
      </c>
      <c r="I971" s="1" t="s">
        <v>8835</v>
      </c>
      <c r="J971" s="1" t="s">
        <v>8361</v>
      </c>
      <c r="K971" s="1" t="s">
        <v>74</v>
      </c>
      <c r="L971" s="1" t="s">
        <v>74</v>
      </c>
      <c r="M971" s="1" t="s">
        <v>74</v>
      </c>
      <c r="N971" s="1" t="s">
        <v>74</v>
      </c>
      <c r="O971" s="1" t="s">
        <v>74</v>
      </c>
      <c r="P971" s="1" t="s">
        <v>74</v>
      </c>
      <c r="Q971" s="1" t="s">
        <v>74</v>
      </c>
      <c r="R971" s="1" t="s">
        <v>74</v>
      </c>
      <c r="S971" s="1" t="s">
        <v>74</v>
      </c>
      <c r="T971" s="1" t="s">
        <v>74</v>
      </c>
      <c r="U971" s="1" t="s">
        <v>74</v>
      </c>
      <c r="V971" s="1" t="s">
        <v>8836</v>
      </c>
      <c r="W971" s="1" t="s">
        <v>74</v>
      </c>
      <c r="X971" s="1" t="s">
        <v>74</v>
      </c>
      <c r="Y971" s="1" t="s">
        <v>74</v>
      </c>
      <c r="Z971" s="1" t="s">
        <v>74</v>
      </c>
      <c r="AA971" s="1" t="s">
        <v>8837</v>
      </c>
      <c r="AB971" s="1" t="s">
        <v>8838</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8364</v>
      </c>
      <c r="AP971" s="1" t="s">
        <v>8365</v>
      </c>
      <c r="AQ971" s="1" t="s">
        <v>74</v>
      </c>
      <c r="AR971" s="1" t="s">
        <v>74</v>
      </c>
      <c r="AS971" s="1" t="s">
        <v>74</v>
      </c>
      <c r="AT971" s="1" t="s">
        <v>353</v>
      </c>
      <c r="AU971" s="1">
        <v>2016.0</v>
      </c>
      <c r="AV971" s="1">
        <v>32.0</v>
      </c>
      <c r="AW971" s="1">
        <v>3.0</v>
      </c>
      <c r="AX971" s="1" t="s">
        <v>74</v>
      </c>
      <c r="AY971" s="1" t="s">
        <v>74</v>
      </c>
      <c r="AZ971" s="1" t="s">
        <v>74</v>
      </c>
      <c r="BA971" s="1" t="s">
        <v>74</v>
      </c>
      <c r="BB971" s="1">
        <v>717.0</v>
      </c>
      <c r="BC971" s="1">
        <v>727.0</v>
      </c>
      <c r="BD971" s="1" t="s">
        <v>74</v>
      </c>
      <c r="BE971" s="1" t="s">
        <v>8839</v>
      </c>
      <c r="BF971" s="2" t="str">
        <f>HYPERLINK("http://dx.doi.org/10.6018/analesps.32.3.261651","http://dx.doi.org/10.6018/analesps.32.3.261651")</f>
        <v>http://dx.doi.org/10.6018/analesps.32.3.261651</v>
      </c>
      <c r="BG971" s="1" t="s">
        <v>74</v>
      </c>
      <c r="BH971" s="1" t="s">
        <v>74</v>
      </c>
      <c r="BI971" s="1" t="s">
        <v>74</v>
      </c>
      <c r="BJ971" s="1" t="s">
        <v>74</v>
      </c>
      <c r="BK971" s="1" t="s">
        <v>74</v>
      </c>
      <c r="BL971" s="1" t="s">
        <v>74</v>
      </c>
      <c r="BM971" s="1" t="s">
        <v>74</v>
      </c>
      <c r="BN971" s="1" t="s">
        <v>74</v>
      </c>
      <c r="BO971" s="1" t="s">
        <v>74</v>
      </c>
      <c r="BP971" s="1" t="s">
        <v>74</v>
      </c>
      <c r="BQ971" s="1" t="s">
        <v>74</v>
      </c>
      <c r="BR971" s="1" t="s">
        <v>74</v>
      </c>
      <c r="BS971" s="1" t="s">
        <v>8840</v>
      </c>
      <c r="BT971" s="1" t="str">
        <f>HYPERLINK("https%3A%2F%2Fwww.webofscience.com%2Fwos%2Fwoscc%2Ffull-record%2FWOS:000380624100013","View Full Record in Web of Science")</f>
        <v>View Full Record in Web of Science</v>
      </c>
    </row>
    <row r="972" ht="12.75" customHeight="1">
      <c r="A972" s="1" t="s">
        <v>241</v>
      </c>
      <c r="B972" s="1" t="s">
        <v>8841</v>
      </c>
      <c r="C972" s="1" t="s">
        <v>74</v>
      </c>
      <c r="D972" s="1" t="s">
        <v>8842</v>
      </c>
      <c r="E972" s="1" t="s">
        <v>74</v>
      </c>
      <c r="F972" s="1" t="s">
        <v>8843</v>
      </c>
      <c r="G972" s="1" t="s">
        <v>74</v>
      </c>
      <c r="H972" s="1" t="s">
        <v>74</v>
      </c>
      <c r="I972" s="1" t="s">
        <v>8844</v>
      </c>
      <c r="J972" s="1" t="s">
        <v>8845</v>
      </c>
      <c r="K972" s="1" t="s">
        <v>74</v>
      </c>
      <c r="L972" s="1" t="s">
        <v>74</v>
      </c>
      <c r="M972" s="1" t="s">
        <v>74</v>
      </c>
      <c r="N972" s="1" t="s">
        <v>74</v>
      </c>
      <c r="O972" s="1" t="s">
        <v>8846</v>
      </c>
      <c r="P972" s="1" t="s">
        <v>8847</v>
      </c>
      <c r="Q972" s="1" t="s">
        <v>8848</v>
      </c>
      <c r="R972" s="1" t="s">
        <v>8849</v>
      </c>
      <c r="S972" s="1" t="s">
        <v>74</v>
      </c>
      <c r="T972" s="1" t="s">
        <v>74</v>
      </c>
      <c r="U972" s="1" t="s">
        <v>74</v>
      </c>
      <c r="V972" s="1" t="s">
        <v>8850</v>
      </c>
      <c r="W972" s="1" t="s">
        <v>74</v>
      </c>
      <c r="X972" s="1" t="s">
        <v>74</v>
      </c>
      <c r="Y972" s="1" t="s">
        <v>74</v>
      </c>
      <c r="Z972" s="1" t="s">
        <v>74</v>
      </c>
      <c r="AA972" s="1" t="s">
        <v>8851</v>
      </c>
      <c r="AB972" s="1" t="s">
        <v>8852</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74</v>
      </c>
      <c r="AP972" s="1" t="s">
        <v>74</v>
      </c>
      <c r="AQ972" s="1" t="s">
        <v>8853</v>
      </c>
      <c r="AR972" s="1" t="s">
        <v>74</v>
      </c>
      <c r="AS972" s="1" t="s">
        <v>74</v>
      </c>
      <c r="AT972" s="1" t="s">
        <v>74</v>
      </c>
      <c r="AU972" s="1">
        <v>2016.0</v>
      </c>
      <c r="AV972" s="1" t="s">
        <v>74</v>
      </c>
      <c r="AW972" s="1" t="s">
        <v>74</v>
      </c>
      <c r="AX972" s="1" t="s">
        <v>74</v>
      </c>
      <c r="AY972" s="1" t="s">
        <v>74</v>
      </c>
      <c r="AZ972" s="1" t="s">
        <v>74</v>
      </c>
      <c r="BA972" s="1" t="s">
        <v>74</v>
      </c>
      <c r="BB972" s="1" t="s">
        <v>74</v>
      </c>
      <c r="BC972" s="1" t="s">
        <v>74</v>
      </c>
      <c r="BD972" s="1">
        <v>10805.0</v>
      </c>
      <c r="BE972" s="1" t="s">
        <v>8854</v>
      </c>
      <c r="BF972" s="2" t="str">
        <f>HYPERLINK("http://dx.doi.org/10.7566/JPSCP.14.010805","http://dx.doi.org/10.7566/JPSCP.14.010805")</f>
        <v>http://dx.doi.org/10.7566/JPSCP.14.010805</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8855</v>
      </c>
      <c r="BT972" s="1" t="str">
        <f>HYPERLINK("https%3A%2F%2Fwww.webofscience.com%2Fwos%2Fwoscc%2Ffull-record%2FWOS:000566261100055","View Full Record in Web of Science")</f>
        <v>View Full Record in Web of Science</v>
      </c>
    </row>
    <row r="973" ht="12.75" customHeight="1">
      <c r="A973" s="1" t="s">
        <v>72</v>
      </c>
      <c r="B973" s="1" t="s">
        <v>8856</v>
      </c>
      <c r="C973" s="1" t="s">
        <v>74</v>
      </c>
      <c r="D973" s="1" t="s">
        <v>74</v>
      </c>
      <c r="E973" s="1" t="s">
        <v>74</v>
      </c>
      <c r="F973" s="1" t="s">
        <v>8857</v>
      </c>
      <c r="G973" s="1" t="s">
        <v>74</v>
      </c>
      <c r="H973" s="1" t="s">
        <v>74</v>
      </c>
      <c r="I973" s="1" t="s">
        <v>8858</v>
      </c>
      <c r="J973" s="1" t="s">
        <v>8859</v>
      </c>
      <c r="K973" s="1" t="s">
        <v>74</v>
      </c>
      <c r="L973" s="1" t="s">
        <v>74</v>
      </c>
      <c r="M973" s="1" t="s">
        <v>74</v>
      </c>
      <c r="N973" s="1" t="s">
        <v>74</v>
      </c>
      <c r="O973" s="1" t="s">
        <v>74</v>
      </c>
      <c r="P973" s="1" t="s">
        <v>74</v>
      </c>
      <c r="Q973" s="1" t="s">
        <v>74</v>
      </c>
      <c r="R973" s="1" t="s">
        <v>74</v>
      </c>
      <c r="S973" s="1" t="s">
        <v>74</v>
      </c>
      <c r="T973" s="1" t="s">
        <v>74</v>
      </c>
      <c r="U973" s="1" t="s">
        <v>74</v>
      </c>
      <c r="V973" s="1" t="s">
        <v>8860</v>
      </c>
      <c r="W973" s="1" t="s">
        <v>74</v>
      </c>
      <c r="X973" s="1" t="s">
        <v>74</v>
      </c>
      <c r="Y973" s="1" t="s">
        <v>74</v>
      </c>
      <c r="Z973" s="1" t="s">
        <v>74</v>
      </c>
      <c r="AA973" s="1" t="s">
        <v>74</v>
      </c>
      <c r="AB973" s="1" t="s">
        <v>8861</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8862</v>
      </c>
      <c r="AP973" s="1" t="s">
        <v>8863</v>
      </c>
      <c r="AQ973" s="1" t="s">
        <v>74</v>
      </c>
      <c r="AR973" s="1" t="s">
        <v>74</v>
      </c>
      <c r="AS973" s="1" t="s">
        <v>74</v>
      </c>
      <c r="AT973" s="1" t="s">
        <v>74</v>
      </c>
      <c r="AU973" s="1">
        <v>2016.0</v>
      </c>
      <c r="AV973" s="1">
        <v>10.0</v>
      </c>
      <c r="AW973" s="1">
        <v>1.0</v>
      </c>
      <c r="AX973" s="1" t="s">
        <v>74</v>
      </c>
      <c r="AY973" s="1" t="s">
        <v>74</v>
      </c>
      <c r="AZ973" s="1" t="s">
        <v>74</v>
      </c>
      <c r="BA973" s="1" t="s">
        <v>74</v>
      </c>
      <c r="BB973" s="1">
        <v>65.0</v>
      </c>
      <c r="BC973" s="1">
        <v>90.0</v>
      </c>
      <c r="BD973" s="1" t="s">
        <v>74</v>
      </c>
      <c r="BE973" s="1" t="s">
        <v>8864</v>
      </c>
      <c r="BF973" s="2" t="str">
        <f>HYPERLINK("http://dx.doi.org/10.4171/GGD/343","http://dx.doi.org/10.4171/GGD/343")</f>
        <v>http://dx.doi.org/10.4171/GGD/343</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8865</v>
      </c>
      <c r="BT973" s="1" t="str">
        <f>HYPERLINK("https%3A%2F%2Fwww.webofscience.com%2Fwos%2Fwoscc%2Ffull-record%2FWOS:000370249900003","View Full Record in Web of Science")</f>
        <v>View Full Record in Web of Science</v>
      </c>
    </row>
    <row r="974" ht="12.75" customHeight="1">
      <c r="A974" s="1" t="s">
        <v>72</v>
      </c>
      <c r="B974" s="1" t="s">
        <v>8866</v>
      </c>
      <c r="C974" s="1" t="s">
        <v>74</v>
      </c>
      <c r="D974" s="1" t="s">
        <v>74</v>
      </c>
      <c r="E974" s="1" t="s">
        <v>74</v>
      </c>
      <c r="F974" s="1" t="s">
        <v>8867</v>
      </c>
      <c r="G974" s="1" t="s">
        <v>74</v>
      </c>
      <c r="H974" s="1" t="s">
        <v>74</v>
      </c>
      <c r="I974" s="1" t="s">
        <v>8868</v>
      </c>
      <c r="J974" s="1" t="s">
        <v>7662</v>
      </c>
      <c r="K974" s="1" t="s">
        <v>74</v>
      </c>
      <c r="L974" s="1" t="s">
        <v>74</v>
      </c>
      <c r="M974" s="1" t="s">
        <v>74</v>
      </c>
      <c r="N974" s="1" t="s">
        <v>74</v>
      </c>
      <c r="O974" s="1" t="s">
        <v>74</v>
      </c>
      <c r="P974" s="1" t="s">
        <v>74</v>
      </c>
      <c r="Q974" s="1" t="s">
        <v>74</v>
      </c>
      <c r="R974" s="1" t="s">
        <v>74</v>
      </c>
      <c r="S974" s="1" t="s">
        <v>74</v>
      </c>
      <c r="T974" s="1" t="s">
        <v>74</v>
      </c>
      <c r="U974" s="1" t="s">
        <v>74</v>
      </c>
      <c r="V974" s="1" t="s">
        <v>8869</v>
      </c>
      <c r="W974" s="1" t="s">
        <v>74</v>
      </c>
      <c r="X974" s="1" t="s">
        <v>74</v>
      </c>
      <c r="Y974" s="1" t="s">
        <v>74</v>
      </c>
      <c r="Z974" s="1" t="s">
        <v>74</v>
      </c>
      <c r="AA974" s="1" t="s">
        <v>8870</v>
      </c>
      <c r="AB974" s="1" t="s">
        <v>8871</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7665</v>
      </c>
      <c r="AP974" s="1" t="s">
        <v>74</v>
      </c>
      <c r="AQ974" s="1" t="s">
        <v>74</v>
      </c>
      <c r="AR974" s="1" t="s">
        <v>74</v>
      </c>
      <c r="AS974" s="1" t="s">
        <v>74</v>
      </c>
      <c r="AT974" s="1" t="s">
        <v>74</v>
      </c>
      <c r="AU974" s="1">
        <v>2015.0</v>
      </c>
      <c r="AV974" s="1">
        <v>33.0</v>
      </c>
      <c r="AW974" s="1">
        <v>2.0</v>
      </c>
      <c r="AX974" s="1" t="s">
        <v>74</v>
      </c>
      <c r="AY974" s="1" t="s">
        <v>74</v>
      </c>
      <c r="AZ974" s="1" t="s">
        <v>74</v>
      </c>
      <c r="BA974" s="1" t="s">
        <v>74</v>
      </c>
      <c r="BB974" s="1">
        <v>127.0</v>
      </c>
      <c r="BC974" s="1">
        <v>138.0</v>
      </c>
      <c r="BD974" s="1" t="s">
        <v>74</v>
      </c>
      <c r="BE974" s="1" t="s">
        <v>8872</v>
      </c>
      <c r="BF974" s="2" t="str">
        <f>HYPERLINK("http://dx.doi.org/10.4067/S0718-48082015000200007","http://dx.doi.org/10.4067/S0718-48082015000200007")</f>
        <v>http://dx.doi.org/10.4067/S0718-48082015000200007</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8873</v>
      </c>
      <c r="BT974" s="1" t="str">
        <f>HYPERLINK("https%3A%2F%2Fwww.webofscience.com%2Fwos%2Fwoscc%2Ffull-record%2FWOS:000365408400007","View Full Record in Web of Science")</f>
        <v>View Full Record in Web of Science</v>
      </c>
    </row>
    <row r="975" ht="12.75" customHeight="1">
      <c r="A975" s="1" t="s">
        <v>72</v>
      </c>
      <c r="B975" s="1" t="s">
        <v>8874</v>
      </c>
      <c r="C975" s="1" t="s">
        <v>74</v>
      </c>
      <c r="D975" s="1" t="s">
        <v>74</v>
      </c>
      <c r="E975" s="1" t="s">
        <v>74</v>
      </c>
      <c r="F975" s="1" t="s">
        <v>8875</v>
      </c>
      <c r="G975" s="1" t="s">
        <v>74</v>
      </c>
      <c r="H975" s="1" t="s">
        <v>74</v>
      </c>
      <c r="I975" s="1" t="s">
        <v>8876</v>
      </c>
      <c r="J975" s="1" t="s">
        <v>8877</v>
      </c>
      <c r="K975" s="1" t="s">
        <v>74</v>
      </c>
      <c r="L975" s="1" t="s">
        <v>74</v>
      </c>
      <c r="M975" s="1" t="s">
        <v>74</v>
      </c>
      <c r="N975" s="1" t="s">
        <v>74</v>
      </c>
      <c r="O975" s="1" t="s">
        <v>74</v>
      </c>
      <c r="P975" s="1" t="s">
        <v>74</v>
      </c>
      <c r="Q975" s="1" t="s">
        <v>74</v>
      </c>
      <c r="R975" s="1" t="s">
        <v>74</v>
      </c>
      <c r="S975" s="1" t="s">
        <v>74</v>
      </c>
      <c r="T975" s="1" t="s">
        <v>74</v>
      </c>
      <c r="U975" s="1" t="s">
        <v>74</v>
      </c>
      <c r="V975" s="1" t="s">
        <v>8878</v>
      </c>
      <c r="W975" s="1" t="s">
        <v>74</v>
      </c>
      <c r="X975" s="1" t="s">
        <v>74</v>
      </c>
      <c r="Y975" s="1" t="s">
        <v>74</v>
      </c>
      <c r="Z975" s="1" t="s">
        <v>74</v>
      </c>
      <c r="AA975" s="1" t="s">
        <v>8879</v>
      </c>
      <c r="AB975" s="1" t="s">
        <v>8880</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8881</v>
      </c>
      <c r="AP975" s="1" t="s">
        <v>8882</v>
      </c>
      <c r="AQ975" s="1" t="s">
        <v>74</v>
      </c>
      <c r="AR975" s="1" t="s">
        <v>74</v>
      </c>
      <c r="AS975" s="1" t="s">
        <v>74</v>
      </c>
      <c r="AT975" s="1" t="s">
        <v>353</v>
      </c>
      <c r="AU975" s="1">
        <v>2013.0</v>
      </c>
      <c r="AV975" s="1">
        <v>145.0</v>
      </c>
      <c r="AW975" s="1">
        <v>2.0</v>
      </c>
      <c r="AX975" s="1" t="s">
        <v>74</v>
      </c>
      <c r="AY975" s="1" t="s">
        <v>74</v>
      </c>
      <c r="AZ975" s="1" t="s">
        <v>74</v>
      </c>
      <c r="BA975" s="1" t="s">
        <v>74</v>
      </c>
      <c r="BB975" s="1">
        <v>541.0</v>
      </c>
      <c r="BC975" s="1">
        <v>546.0</v>
      </c>
      <c r="BD975" s="1" t="s">
        <v>74</v>
      </c>
      <c r="BE975" s="1" t="s">
        <v>8883</v>
      </c>
      <c r="BF975" s="2" t="str">
        <f>HYPERLINK("http://dx.doi.org/10.1016/j.ijpe.2013.04.047","http://dx.doi.org/10.1016/j.ijpe.2013.04.047")</f>
        <v>http://dx.doi.org/10.1016/j.ijpe.2013.04.047</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8884</v>
      </c>
      <c r="BT975" s="1" t="str">
        <f>HYPERLINK("https%3A%2F%2Fwww.webofscience.com%2Fwos%2Fwoscc%2Ffull-record%2FWOS:000324844300009","View Full Record in Web of Science")</f>
        <v>View Full Record in Web of Science</v>
      </c>
    </row>
    <row r="976" ht="12.75" customHeight="1">
      <c r="A976" s="1" t="s">
        <v>72</v>
      </c>
      <c r="B976" s="1" t="s">
        <v>8885</v>
      </c>
      <c r="C976" s="1" t="s">
        <v>74</v>
      </c>
      <c r="D976" s="1" t="s">
        <v>74</v>
      </c>
      <c r="E976" s="1" t="s">
        <v>74</v>
      </c>
      <c r="F976" s="1" t="s">
        <v>8886</v>
      </c>
      <c r="G976" s="1" t="s">
        <v>74</v>
      </c>
      <c r="H976" s="1" t="s">
        <v>74</v>
      </c>
      <c r="I976" s="1" t="s">
        <v>8887</v>
      </c>
      <c r="J976" s="1" t="s">
        <v>8888</v>
      </c>
      <c r="K976" s="1" t="s">
        <v>74</v>
      </c>
      <c r="L976" s="1" t="s">
        <v>74</v>
      </c>
      <c r="M976" s="1" t="s">
        <v>74</v>
      </c>
      <c r="N976" s="1" t="s">
        <v>74</v>
      </c>
      <c r="O976" s="1" t="s">
        <v>74</v>
      </c>
      <c r="P976" s="1" t="s">
        <v>74</v>
      </c>
      <c r="Q976" s="1" t="s">
        <v>74</v>
      </c>
      <c r="R976" s="1" t="s">
        <v>74</v>
      </c>
      <c r="S976" s="1" t="s">
        <v>74</v>
      </c>
      <c r="T976" s="1" t="s">
        <v>74</v>
      </c>
      <c r="U976" s="1" t="s">
        <v>74</v>
      </c>
      <c r="V976" s="1" t="s">
        <v>8889</v>
      </c>
      <c r="W976" s="1" t="s">
        <v>74</v>
      </c>
      <c r="X976" s="1" t="s">
        <v>74</v>
      </c>
      <c r="Y976" s="1" t="s">
        <v>74</v>
      </c>
      <c r="Z976" s="1" t="s">
        <v>74</v>
      </c>
      <c r="AA976" s="1" t="s">
        <v>5389</v>
      </c>
      <c r="AB976" s="1" t="s">
        <v>8890</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8891</v>
      </c>
      <c r="AP976" s="1" t="s">
        <v>8892</v>
      </c>
      <c r="AQ976" s="1" t="s">
        <v>74</v>
      </c>
      <c r="AR976" s="1" t="s">
        <v>74</v>
      </c>
      <c r="AS976" s="1" t="s">
        <v>74</v>
      </c>
      <c r="AT976" s="1" t="s">
        <v>1558</v>
      </c>
      <c r="AU976" s="1">
        <v>2013.0</v>
      </c>
      <c r="AV976" s="1">
        <v>51.0</v>
      </c>
      <c r="AW976" s="1" t="s">
        <v>8893</v>
      </c>
      <c r="AX976" s="1" t="s">
        <v>74</v>
      </c>
      <c r="AY976" s="1" t="s">
        <v>74</v>
      </c>
      <c r="AZ976" s="1" t="s">
        <v>74</v>
      </c>
      <c r="BA976" s="1" t="s">
        <v>74</v>
      </c>
      <c r="BB976" s="1">
        <v>5649.0</v>
      </c>
      <c r="BC976" s="1">
        <v>5663.0</v>
      </c>
      <c r="BD976" s="1" t="s">
        <v>74</v>
      </c>
      <c r="BE976" s="1" t="s">
        <v>8894</v>
      </c>
      <c r="BF976" s="2" t="str">
        <f>HYPERLINK("http://dx.doi.org/10.1080/19443994.2013.769603","http://dx.doi.org/10.1080/19443994.2013.769603")</f>
        <v>http://dx.doi.org/10.1080/19443994.2013.769603</v>
      </c>
      <c r="BG976" s="1" t="s">
        <v>74</v>
      </c>
      <c r="BH976" s="1" t="s">
        <v>74</v>
      </c>
      <c r="BI976" s="1" t="s">
        <v>74</v>
      </c>
      <c r="BJ976" s="1" t="s">
        <v>74</v>
      </c>
      <c r="BK976" s="1" t="s">
        <v>74</v>
      </c>
      <c r="BL976" s="1" t="s">
        <v>74</v>
      </c>
      <c r="BM976" s="1" t="s">
        <v>74</v>
      </c>
      <c r="BN976" s="1" t="s">
        <v>74</v>
      </c>
      <c r="BO976" s="1" t="s">
        <v>74</v>
      </c>
      <c r="BP976" s="1" t="s">
        <v>74</v>
      </c>
      <c r="BQ976" s="1" t="s">
        <v>74</v>
      </c>
      <c r="BR976" s="1" t="s">
        <v>74</v>
      </c>
      <c r="BS976" s="1" t="s">
        <v>8895</v>
      </c>
      <c r="BT976" s="1" t="str">
        <f>HYPERLINK("https%3A%2F%2Fwww.webofscience.com%2Fwos%2Fwoscc%2Ffull-record%2FWOS:000323194300030","View Full Record in Web of Science")</f>
        <v>View Full Record in Web of Science</v>
      </c>
    </row>
    <row r="977" ht="12.75" customHeight="1">
      <c r="A977" s="1" t="s">
        <v>72</v>
      </c>
      <c r="B977" s="1" t="s">
        <v>8896</v>
      </c>
      <c r="C977" s="1" t="s">
        <v>74</v>
      </c>
      <c r="D977" s="1" t="s">
        <v>74</v>
      </c>
      <c r="E977" s="1" t="s">
        <v>74</v>
      </c>
      <c r="F977" s="1" t="s">
        <v>8897</v>
      </c>
      <c r="G977" s="1" t="s">
        <v>74</v>
      </c>
      <c r="H977" s="1" t="s">
        <v>74</v>
      </c>
      <c r="I977" s="1" t="s">
        <v>8898</v>
      </c>
      <c r="J977" s="1" t="s">
        <v>1282</v>
      </c>
      <c r="K977" s="1" t="s">
        <v>74</v>
      </c>
      <c r="L977" s="1" t="s">
        <v>74</v>
      </c>
      <c r="M977" s="1" t="s">
        <v>74</v>
      </c>
      <c r="N977" s="1" t="s">
        <v>74</v>
      </c>
      <c r="O977" s="1" t="s">
        <v>74</v>
      </c>
      <c r="P977" s="1" t="s">
        <v>74</v>
      </c>
      <c r="Q977" s="1" t="s">
        <v>74</v>
      </c>
      <c r="R977" s="1" t="s">
        <v>74</v>
      </c>
      <c r="S977" s="1" t="s">
        <v>74</v>
      </c>
      <c r="T977" s="1" t="s">
        <v>74</v>
      </c>
      <c r="U977" s="1" t="s">
        <v>74</v>
      </c>
      <c r="V977" s="1" t="s">
        <v>8899</v>
      </c>
      <c r="W977" s="1" t="s">
        <v>74</v>
      </c>
      <c r="X977" s="1" t="s">
        <v>74</v>
      </c>
      <c r="Y977" s="1" t="s">
        <v>74</v>
      </c>
      <c r="Z977" s="1" t="s">
        <v>74</v>
      </c>
      <c r="AA977" s="1" t="s">
        <v>8900</v>
      </c>
      <c r="AB977" s="1" t="s">
        <v>8901</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1285</v>
      </c>
      <c r="AP977" s="1" t="s">
        <v>3637</v>
      </c>
      <c r="AQ977" s="1" t="s">
        <v>74</v>
      </c>
      <c r="AR977" s="1" t="s">
        <v>74</v>
      </c>
      <c r="AS977" s="1" t="s">
        <v>74</v>
      </c>
      <c r="AT977" s="1" t="s">
        <v>607</v>
      </c>
      <c r="AU977" s="1">
        <v>2013.0</v>
      </c>
      <c r="AV977" s="1">
        <v>65.0</v>
      </c>
      <c r="AW977" s="1" t="s">
        <v>74</v>
      </c>
      <c r="AX977" s="1" t="s">
        <v>74</v>
      </c>
      <c r="AY977" s="1" t="s">
        <v>74</v>
      </c>
      <c r="AZ977" s="1" t="s">
        <v>74</v>
      </c>
      <c r="BA977" s="1" t="s">
        <v>74</v>
      </c>
      <c r="BB977" s="1">
        <v>153.0</v>
      </c>
      <c r="BC977" s="1">
        <v>163.0</v>
      </c>
      <c r="BD977" s="1" t="s">
        <v>74</v>
      </c>
      <c r="BE977" s="1" t="s">
        <v>8902</v>
      </c>
      <c r="BF977" s="2" t="str">
        <f>HYPERLINK("http://dx.doi.org/10.1016/j.atmosenv.2012.10.006","http://dx.doi.org/10.1016/j.atmosenv.2012.10.006")</f>
        <v>http://dx.doi.org/10.1016/j.atmosenv.2012.10.006</v>
      </c>
      <c r="BG977" s="1" t="s">
        <v>74</v>
      </c>
      <c r="BH977" s="1" t="s">
        <v>74</v>
      </c>
      <c r="BI977" s="1" t="s">
        <v>74</v>
      </c>
      <c r="BJ977" s="1" t="s">
        <v>74</v>
      </c>
      <c r="BK977" s="1" t="s">
        <v>74</v>
      </c>
      <c r="BL977" s="1" t="s">
        <v>74</v>
      </c>
      <c r="BM977" s="1" t="s">
        <v>74</v>
      </c>
      <c r="BN977" s="1" t="s">
        <v>74</v>
      </c>
      <c r="BO977" s="1" t="s">
        <v>74</v>
      </c>
      <c r="BP977" s="1" t="s">
        <v>74</v>
      </c>
      <c r="BQ977" s="1" t="s">
        <v>74</v>
      </c>
      <c r="BR977" s="1" t="s">
        <v>74</v>
      </c>
      <c r="BS977" s="1" t="s">
        <v>8903</v>
      </c>
      <c r="BT977" s="1" t="str">
        <f>HYPERLINK("https%3A%2F%2Fwww.webofscience.com%2Fwos%2Fwoscc%2Ffull-record%2FWOS:000313840500016","View Full Record in Web of Science")</f>
        <v>View Full Record in Web of Science</v>
      </c>
    </row>
    <row r="978" ht="12.75" customHeight="1">
      <c r="A978" s="1" t="s">
        <v>72</v>
      </c>
      <c r="B978" s="1" t="s">
        <v>8904</v>
      </c>
      <c r="C978" s="1" t="s">
        <v>74</v>
      </c>
      <c r="D978" s="1" t="s">
        <v>74</v>
      </c>
      <c r="E978" s="1" t="s">
        <v>74</v>
      </c>
      <c r="F978" s="1" t="s">
        <v>8905</v>
      </c>
      <c r="G978" s="1" t="s">
        <v>74</v>
      </c>
      <c r="H978" s="1" t="s">
        <v>74</v>
      </c>
      <c r="I978" s="1" t="s">
        <v>8906</v>
      </c>
      <c r="J978" s="1" t="s">
        <v>8907</v>
      </c>
      <c r="K978" s="1" t="s">
        <v>74</v>
      </c>
      <c r="L978" s="1" t="s">
        <v>74</v>
      </c>
      <c r="M978" s="1" t="s">
        <v>74</v>
      </c>
      <c r="N978" s="1" t="s">
        <v>74</v>
      </c>
      <c r="O978" s="1" t="s">
        <v>74</v>
      </c>
      <c r="P978" s="1" t="s">
        <v>74</v>
      </c>
      <c r="Q978" s="1" t="s">
        <v>74</v>
      </c>
      <c r="R978" s="1" t="s">
        <v>74</v>
      </c>
      <c r="S978" s="1" t="s">
        <v>74</v>
      </c>
      <c r="T978" s="1" t="s">
        <v>74</v>
      </c>
      <c r="U978" s="1" t="s">
        <v>74</v>
      </c>
      <c r="V978" s="1" t="s">
        <v>8908</v>
      </c>
      <c r="W978" s="1" t="s">
        <v>74</v>
      </c>
      <c r="X978" s="1" t="s">
        <v>74</v>
      </c>
      <c r="Y978" s="1" t="s">
        <v>74</v>
      </c>
      <c r="Z978" s="1" t="s">
        <v>74</v>
      </c>
      <c r="AA978" s="1" t="s">
        <v>8909</v>
      </c>
      <c r="AB978" s="1" t="s">
        <v>8910</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8911</v>
      </c>
      <c r="AP978" s="1" t="s">
        <v>74</v>
      </c>
      <c r="AQ978" s="1" t="s">
        <v>74</v>
      </c>
      <c r="AR978" s="1" t="s">
        <v>74</v>
      </c>
      <c r="AS978" s="1" t="s">
        <v>74</v>
      </c>
      <c r="AT978" s="1" t="s">
        <v>607</v>
      </c>
      <c r="AU978" s="1">
        <v>2013.0</v>
      </c>
      <c r="AV978" s="1">
        <v>288.0</v>
      </c>
      <c r="AW978" s="1" t="s">
        <v>1569</v>
      </c>
      <c r="AX978" s="1" t="s">
        <v>74</v>
      </c>
      <c r="AY978" s="1" t="s">
        <v>74</v>
      </c>
      <c r="AZ978" s="1" t="s">
        <v>74</v>
      </c>
      <c r="BA978" s="1" t="s">
        <v>74</v>
      </c>
      <c r="BB978" s="1">
        <v>49.0</v>
      </c>
      <c r="BC978" s="1">
        <v>61.0</v>
      </c>
      <c r="BD978" s="1" t="s">
        <v>74</v>
      </c>
      <c r="BE978" s="1" t="s">
        <v>8912</v>
      </c>
      <c r="BF978" s="2" t="str">
        <f>HYPERLINK("http://dx.doi.org/10.1007/s00438-012-0730-8","http://dx.doi.org/10.1007/s00438-012-0730-8")</f>
        <v>http://dx.doi.org/10.1007/s00438-012-0730-8</v>
      </c>
      <c r="BG978" s="1" t="s">
        <v>74</v>
      </c>
      <c r="BH978" s="1" t="s">
        <v>74</v>
      </c>
      <c r="BI978" s="1" t="s">
        <v>74</v>
      </c>
      <c r="BJ978" s="1" t="s">
        <v>74</v>
      </c>
      <c r="BK978" s="1" t="s">
        <v>74</v>
      </c>
      <c r="BL978" s="1" t="s">
        <v>74</v>
      </c>
      <c r="BM978" s="1" t="s">
        <v>74</v>
      </c>
      <c r="BN978" s="1">
        <v>2.3296985E7</v>
      </c>
      <c r="BO978" s="1" t="s">
        <v>74</v>
      </c>
      <c r="BP978" s="1" t="s">
        <v>74</v>
      </c>
      <c r="BQ978" s="1" t="s">
        <v>74</v>
      </c>
      <c r="BR978" s="1" t="s">
        <v>74</v>
      </c>
      <c r="BS978" s="1" t="s">
        <v>8913</v>
      </c>
      <c r="BT978" s="1" t="str">
        <f>HYPERLINK("https%3A%2F%2Fwww.webofscience.com%2Fwos%2Fwoscc%2Ffull-record%2FWOS:000314411300004","View Full Record in Web of Science")</f>
        <v>View Full Record in Web of Science</v>
      </c>
    </row>
    <row r="979" ht="12.75" customHeight="1">
      <c r="A979" s="1" t="s">
        <v>72</v>
      </c>
      <c r="B979" s="1" t="s">
        <v>8914</v>
      </c>
      <c r="C979" s="1" t="s">
        <v>74</v>
      </c>
      <c r="D979" s="1" t="s">
        <v>74</v>
      </c>
      <c r="E979" s="1" t="s">
        <v>74</v>
      </c>
      <c r="F979" s="1" t="s">
        <v>8915</v>
      </c>
      <c r="G979" s="1" t="s">
        <v>74</v>
      </c>
      <c r="H979" s="1" t="s">
        <v>74</v>
      </c>
      <c r="I979" s="1" t="s">
        <v>8916</v>
      </c>
      <c r="J979" s="1" t="s">
        <v>8917</v>
      </c>
      <c r="K979" s="1" t="s">
        <v>74</v>
      </c>
      <c r="L979" s="1" t="s">
        <v>74</v>
      </c>
      <c r="M979" s="1" t="s">
        <v>74</v>
      </c>
      <c r="N979" s="1" t="s">
        <v>74</v>
      </c>
      <c r="O979" s="1" t="s">
        <v>74</v>
      </c>
      <c r="P979" s="1" t="s">
        <v>74</v>
      </c>
      <c r="Q979" s="1" t="s">
        <v>74</v>
      </c>
      <c r="R979" s="1" t="s">
        <v>74</v>
      </c>
      <c r="S979" s="1" t="s">
        <v>74</v>
      </c>
      <c r="T979" s="1" t="s">
        <v>74</v>
      </c>
      <c r="U979" s="1" t="s">
        <v>74</v>
      </c>
      <c r="V979" s="1" t="s">
        <v>8918</v>
      </c>
      <c r="W979" s="1" t="s">
        <v>74</v>
      </c>
      <c r="X979" s="1" t="s">
        <v>74</v>
      </c>
      <c r="Y979" s="1" t="s">
        <v>74</v>
      </c>
      <c r="Z979" s="1" t="s">
        <v>74</v>
      </c>
      <c r="AA979" s="1" t="s">
        <v>5306</v>
      </c>
      <c r="AB979" s="1" t="s">
        <v>5307</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8919</v>
      </c>
      <c r="AP979" s="1" t="s">
        <v>8920</v>
      </c>
      <c r="AQ979" s="1" t="s">
        <v>74</v>
      </c>
      <c r="AR979" s="1" t="s">
        <v>74</v>
      </c>
      <c r="AS979" s="1" t="s">
        <v>74</v>
      </c>
      <c r="AT979" s="1" t="s">
        <v>343</v>
      </c>
      <c r="AU979" s="1">
        <v>2012.0</v>
      </c>
      <c r="AV979" s="1">
        <v>32.0</v>
      </c>
      <c r="AW979" s="1">
        <v>2.0</v>
      </c>
      <c r="AX979" s="1" t="s">
        <v>74</v>
      </c>
      <c r="AY979" s="1" t="s">
        <v>74</v>
      </c>
      <c r="AZ979" s="1" t="s">
        <v>74</v>
      </c>
      <c r="BA979" s="1" t="s">
        <v>74</v>
      </c>
      <c r="BB979" s="1">
        <v>79.0</v>
      </c>
      <c r="BC979" s="1">
        <v>82.0</v>
      </c>
      <c r="BD979" s="1" t="s">
        <v>74</v>
      </c>
      <c r="BE979" s="1" t="s">
        <v>74</v>
      </c>
      <c r="BF979" s="1" t="s">
        <v>74</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8921</v>
      </c>
      <c r="BT979" s="1" t="str">
        <f>HYPERLINK("https%3A%2F%2Fwww.webofscience.com%2Fwos%2Fwoscc%2Ffull-record%2FWOS:000315793700015","View Full Record in Web of Science")</f>
        <v>View Full Record in Web of Science</v>
      </c>
    </row>
    <row r="980" ht="12.75" customHeight="1">
      <c r="A980" s="1" t="s">
        <v>72</v>
      </c>
      <c r="B980" s="1" t="s">
        <v>7823</v>
      </c>
      <c r="C980" s="1" t="s">
        <v>74</v>
      </c>
      <c r="D980" s="1" t="s">
        <v>74</v>
      </c>
      <c r="E980" s="1" t="s">
        <v>74</v>
      </c>
      <c r="F980" s="1" t="s">
        <v>7826</v>
      </c>
      <c r="G980" s="1" t="s">
        <v>74</v>
      </c>
      <c r="H980" s="1" t="s">
        <v>74</v>
      </c>
      <c r="I980" s="1" t="s">
        <v>8922</v>
      </c>
      <c r="J980" s="1" t="s">
        <v>2820</v>
      </c>
      <c r="K980" s="1" t="s">
        <v>74</v>
      </c>
      <c r="L980" s="1" t="s">
        <v>74</v>
      </c>
      <c r="M980" s="1" t="s">
        <v>74</v>
      </c>
      <c r="N980" s="1" t="s">
        <v>74</v>
      </c>
      <c r="O980" s="1" t="s">
        <v>74</v>
      </c>
      <c r="P980" s="1" t="s">
        <v>74</v>
      </c>
      <c r="Q980" s="1" t="s">
        <v>74</v>
      </c>
      <c r="R980" s="1" t="s">
        <v>74</v>
      </c>
      <c r="S980" s="1" t="s">
        <v>74</v>
      </c>
      <c r="T980" s="1" t="s">
        <v>74</v>
      </c>
      <c r="U980" s="1" t="s">
        <v>74</v>
      </c>
      <c r="V980" s="1" t="s">
        <v>8923</v>
      </c>
      <c r="W980" s="1" t="s">
        <v>74</v>
      </c>
      <c r="X980" s="1" t="s">
        <v>74</v>
      </c>
      <c r="Y980" s="1" t="s">
        <v>74</v>
      </c>
      <c r="Z980" s="1" t="s">
        <v>74</v>
      </c>
      <c r="AA980" s="1" t="s">
        <v>7833</v>
      </c>
      <c r="AB980" s="1" t="s">
        <v>8924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2822</v>
      </c>
      <c r="AP980" s="1" t="s">
        <v>2823</v>
      </c>
      <c r="AQ980" s="1" t="s">
        <v>74</v>
      </c>
      <c r="AR980" s="1" t="s">
        <v>74</v>
      </c>
      <c r="AS980" s="1" t="s">
        <v>74</v>
      </c>
      <c r="AT980" s="1" t="s">
        <v>8925</v>
      </c>
      <c r="AU980" s="1">
        <v>2012.0</v>
      </c>
      <c r="AV980" s="1">
        <v>29.0</v>
      </c>
      <c r="AW980" s="1">
        <v>6.0</v>
      </c>
      <c r="AX980" s="1" t="s">
        <v>74</v>
      </c>
      <c r="AY980" s="1" t="s">
        <v>74</v>
      </c>
      <c r="AZ980" s="1" t="s">
        <v>74</v>
      </c>
      <c r="BA980" s="1" t="s">
        <v>74</v>
      </c>
      <c r="BB980" s="1" t="s">
        <v>74</v>
      </c>
      <c r="BC980" s="1" t="s">
        <v>74</v>
      </c>
      <c r="BD980" s="1">
        <v>65017.0</v>
      </c>
      <c r="BE980" s="1" t="s">
        <v>8926</v>
      </c>
      <c r="BF980" s="2" t="str">
        <f>HYPERLINK("http://dx.doi.org/10.1088/0264-9381/29/6/065017","http://dx.doi.org/10.1088/0264-9381/29/6/065017")</f>
        <v>http://dx.doi.org/10.1088/0264-9381/29/6/065017</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8927</v>
      </c>
      <c r="BT980" s="1" t="str">
        <f>HYPERLINK("https%3A%2F%2Fwww.webofscience.com%2Fwos%2Fwoscc%2Ffull-record%2FWOS:000301175600018","View Full Record in Web of Science")</f>
        <v>View Full Record in Web of Science</v>
      </c>
    </row>
    <row r="981" ht="12.75" customHeight="1">
      <c r="A981" s="1" t="s">
        <v>72</v>
      </c>
      <c r="B981" s="1" t="s">
        <v>8928</v>
      </c>
      <c r="C981" s="1" t="s">
        <v>74</v>
      </c>
      <c r="D981" s="1" t="s">
        <v>74</v>
      </c>
      <c r="E981" s="1" t="s">
        <v>74</v>
      </c>
      <c r="F981" s="1" t="s">
        <v>8929</v>
      </c>
      <c r="G981" s="1" t="s">
        <v>74</v>
      </c>
      <c r="H981" s="1" t="s">
        <v>74</v>
      </c>
      <c r="I981" s="1" t="s">
        <v>8930</v>
      </c>
      <c r="J981" s="1" t="s">
        <v>8931</v>
      </c>
      <c r="K981" s="1" t="s">
        <v>74</v>
      </c>
      <c r="L981" s="1" t="s">
        <v>74</v>
      </c>
      <c r="M981" s="1" t="s">
        <v>74</v>
      </c>
      <c r="N981" s="1" t="s">
        <v>74</v>
      </c>
      <c r="O981" s="1" t="s">
        <v>74</v>
      </c>
      <c r="P981" s="1" t="s">
        <v>74</v>
      </c>
      <c r="Q981" s="1" t="s">
        <v>74</v>
      </c>
      <c r="R981" s="1" t="s">
        <v>74</v>
      </c>
      <c r="S981" s="1" t="s">
        <v>74</v>
      </c>
      <c r="T981" s="1" t="s">
        <v>74</v>
      </c>
      <c r="U981" s="1" t="s">
        <v>74</v>
      </c>
      <c r="V981" s="1" t="s">
        <v>8932</v>
      </c>
      <c r="W981" s="1" t="s">
        <v>74</v>
      </c>
      <c r="X981" s="1" t="s">
        <v>74</v>
      </c>
      <c r="Y981" s="1" t="s">
        <v>74</v>
      </c>
      <c r="Z981" s="1" t="s">
        <v>74</v>
      </c>
      <c r="AA981" s="1" t="s">
        <v>8933</v>
      </c>
      <c r="AB981" s="1" t="s">
        <v>8934</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8935</v>
      </c>
      <c r="AP981" s="1" t="s">
        <v>74</v>
      </c>
      <c r="AQ981" s="1" t="s">
        <v>74</v>
      </c>
      <c r="AR981" s="1" t="s">
        <v>74</v>
      </c>
      <c r="AS981" s="1" t="s">
        <v>74</v>
      </c>
      <c r="AT981" s="1" t="s">
        <v>160</v>
      </c>
      <c r="AU981" s="1">
        <v>2011.0</v>
      </c>
      <c r="AV981" s="1">
        <v>5.0</v>
      </c>
      <c r="AW981" s="1">
        <v>12.0</v>
      </c>
      <c r="AX981" s="1" t="s">
        <v>74</v>
      </c>
      <c r="AY981" s="1" t="s">
        <v>74</v>
      </c>
      <c r="AZ981" s="1" t="s">
        <v>74</v>
      </c>
      <c r="BA981" s="1" t="s">
        <v>74</v>
      </c>
      <c r="BB981" s="1">
        <v>1041.0</v>
      </c>
      <c r="BC981" s="1">
        <v>1049.0</v>
      </c>
      <c r="BD981" s="1" t="s">
        <v>74</v>
      </c>
      <c r="BE981" s="1" t="s">
        <v>8936</v>
      </c>
      <c r="BF981" s="2" t="str">
        <f>HYPERLINK("http://dx.doi.org/10.3144/expresspolymlett.2011.102","http://dx.doi.org/10.3144/expresspolymlett.2011.102")</f>
        <v>http://dx.doi.org/10.3144/expresspolymlett.2011.102</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8937</v>
      </c>
      <c r="BT981" s="1" t="str">
        <f>HYPERLINK("https%3A%2F%2Fwww.webofscience.com%2Fwos%2Fwoscc%2Ffull-record%2FWOS:000296092700003","View Full Record in Web of Science")</f>
        <v>View Full Record in Web of Science</v>
      </c>
    </row>
    <row r="982" ht="12.75" customHeight="1">
      <c r="A982" s="1" t="s">
        <v>72</v>
      </c>
      <c r="B982" s="1" t="s">
        <v>8938</v>
      </c>
      <c r="C982" s="1" t="s">
        <v>74</v>
      </c>
      <c r="D982" s="1" t="s">
        <v>74</v>
      </c>
      <c r="E982" s="1" t="s">
        <v>74</v>
      </c>
      <c r="F982" s="1" t="s">
        <v>8939</v>
      </c>
      <c r="G982" s="1" t="s">
        <v>74</v>
      </c>
      <c r="H982" s="1" t="s">
        <v>74</v>
      </c>
      <c r="I982" s="1" t="s">
        <v>8940</v>
      </c>
      <c r="J982" s="1" t="s">
        <v>7396</v>
      </c>
      <c r="K982" s="1" t="s">
        <v>74</v>
      </c>
      <c r="L982" s="1" t="s">
        <v>74</v>
      </c>
      <c r="M982" s="1" t="s">
        <v>74</v>
      </c>
      <c r="N982" s="1" t="s">
        <v>74</v>
      </c>
      <c r="O982" s="1" t="s">
        <v>74</v>
      </c>
      <c r="P982" s="1" t="s">
        <v>74</v>
      </c>
      <c r="Q982" s="1" t="s">
        <v>74</v>
      </c>
      <c r="R982" s="1" t="s">
        <v>74</v>
      </c>
      <c r="S982" s="1" t="s">
        <v>74</v>
      </c>
      <c r="T982" s="1" t="s">
        <v>74</v>
      </c>
      <c r="U982" s="1" t="s">
        <v>74</v>
      </c>
      <c r="V982" s="1" t="s">
        <v>8941</v>
      </c>
      <c r="W982" s="1" t="s">
        <v>74</v>
      </c>
      <c r="X982" s="1" t="s">
        <v>74</v>
      </c>
      <c r="Y982" s="1" t="s">
        <v>74</v>
      </c>
      <c r="Z982" s="1" t="s">
        <v>74</v>
      </c>
      <c r="AA982" s="1" t="s">
        <v>8942</v>
      </c>
      <c r="AB982" s="1" t="s">
        <v>8943</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7400</v>
      </c>
      <c r="AP982" s="1" t="s">
        <v>74</v>
      </c>
      <c r="AQ982" s="1" t="s">
        <v>74</v>
      </c>
      <c r="AR982" s="1" t="s">
        <v>74</v>
      </c>
      <c r="AS982" s="1" t="s">
        <v>74</v>
      </c>
      <c r="AT982" s="1" t="s">
        <v>74</v>
      </c>
      <c r="AU982" s="1">
        <v>2011.0</v>
      </c>
      <c r="AV982" s="1">
        <v>43.0</v>
      </c>
      <c r="AW982" s="1">
        <v>1.0</v>
      </c>
      <c r="AX982" s="1" t="s">
        <v>74</v>
      </c>
      <c r="AY982" s="1" t="s">
        <v>74</v>
      </c>
      <c r="AZ982" s="1" t="s">
        <v>74</v>
      </c>
      <c r="BA982" s="1" t="s">
        <v>74</v>
      </c>
      <c r="BB982" s="1">
        <v>95.0</v>
      </c>
      <c r="BC982" s="1">
        <v>104.0</v>
      </c>
      <c r="BD982" s="1" t="s">
        <v>74</v>
      </c>
      <c r="BE982" s="1" t="s">
        <v>74</v>
      </c>
      <c r="BF982" s="1" t="s">
        <v>74</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8944</v>
      </c>
      <c r="BT982" s="1" t="str">
        <f>HYPERLINK("https%3A%2F%2Fwww.webofscience.com%2Fwos%2Fwoscc%2Ffull-record%2FWOS:000289610800009","View Full Record in Web of Science")</f>
        <v>View Full Record in Web of Science</v>
      </c>
    </row>
    <row r="983" ht="12.75" customHeight="1">
      <c r="A983" s="1" t="s">
        <v>72</v>
      </c>
      <c r="B983" s="1" t="s">
        <v>8945</v>
      </c>
      <c r="C983" s="1" t="s">
        <v>74</v>
      </c>
      <c r="D983" s="1" t="s">
        <v>74</v>
      </c>
      <c r="E983" s="1" t="s">
        <v>74</v>
      </c>
      <c r="F983" s="1" t="s">
        <v>8946</v>
      </c>
      <c r="G983" s="1" t="s">
        <v>74</v>
      </c>
      <c r="H983" s="1" t="s">
        <v>74</v>
      </c>
      <c r="I983" s="1" t="s">
        <v>8947</v>
      </c>
      <c r="J983" s="1" t="s">
        <v>828</v>
      </c>
      <c r="K983" s="1" t="s">
        <v>74</v>
      </c>
      <c r="L983" s="1" t="s">
        <v>74</v>
      </c>
      <c r="M983" s="1" t="s">
        <v>74</v>
      </c>
      <c r="N983" s="1" t="s">
        <v>74</v>
      </c>
      <c r="O983" s="1" t="s">
        <v>74</v>
      </c>
      <c r="P983" s="1" t="s">
        <v>74</v>
      </c>
      <c r="Q983" s="1" t="s">
        <v>74</v>
      </c>
      <c r="R983" s="1" t="s">
        <v>74</v>
      </c>
      <c r="S983" s="1" t="s">
        <v>74</v>
      </c>
      <c r="T983" s="1" t="s">
        <v>74</v>
      </c>
      <c r="U983" s="1" t="s">
        <v>74</v>
      </c>
      <c r="V983" s="1" t="s">
        <v>8948</v>
      </c>
      <c r="W983" s="1" t="s">
        <v>74</v>
      </c>
      <c r="X983" s="1" t="s">
        <v>74</v>
      </c>
      <c r="Y983" s="1" t="s">
        <v>74</v>
      </c>
      <c r="Z983" s="1" t="s">
        <v>74</v>
      </c>
      <c r="AA983" s="1" t="s">
        <v>8949</v>
      </c>
      <c r="AB983" s="1" t="s">
        <v>8950</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832</v>
      </c>
      <c r="AP983" s="1" t="s">
        <v>74</v>
      </c>
      <c r="AQ983" s="1" t="s">
        <v>74</v>
      </c>
      <c r="AR983" s="1" t="s">
        <v>74</v>
      </c>
      <c r="AS983" s="1" t="s">
        <v>74</v>
      </c>
      <c r="AT983" s="1" t="s">
        <v>501</v>
      </c>
      <c r="AU983" s="1">
        <v>2010.0</v>
      </c>
      <c r="AV983" s="1">
        <v>9.0</v>
      </c>
      <c r="AW983" s="1">
        <v>6.0</v>
      </c>
      <c r="AX983" s="1" t="s">
        <v>74</v>
      </c>
      <c r="AY983" s="1" t="s">
        <v>74</v>
      </c>
      <c r="AZ983" s="1" t="s">
        <v>74</v>
      </c>
      <c r="BA983" s="1" t="s">
        <v>74</v>
      </c>
      <c r="BB983" s="1">
        <v>465.0</v>
      </c>
      <c r="BC983" s="1">
        <v>469.0</v>
      </c>
      <c r="BD983" s="1" t="s">
        <v>74</v>
      </c>
      <c r="BE983" s="1" t="s">
        <v>74</v>
      </c>
      <c r="BF983" s="1" t="s">
        <v>74</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8951</v>
      </c>
      <c r="BT983" s="1" t="str">
        <f>HYPERLINK("https%3A%2F%2Fwww.webofscience.com%2Fwos%2Fwoscc%2Ffull-record%2FWOS:000287739700005","View Full Record in Web of Science")</f>
        <v>View Full Record in Web of Science</v>
      </c>
    </row>
    <row r="984" ht="12.75" customHeight="1">
      <c r="A984" s="1" t="s">
        <v>72</v>
      </c>
      <c r="B984" s="1" t="s">
        <v>8952</v>
      </c>
      <c r="C984" s="1" t="s">
        <v>74</v>
      </c>
      <c r="D984" s="1" t="s">
        <v>74</v>
      </c>
      <c r="E984" s="1" t="s">
        <v>74</v>
      </c>
      <c r="F984" s="1" t="s">
        <v>8953</v>
      </c>
      <c r="G984" s="1" t="s">
        <v>74</v>
      </c>
      <c r="H984" s="1" t="s">
        <v>74</v>
      </c>
      <c r="I984" s="1" t="s">
        <v>8954</v>
      </c>
      <c r="J984" s="1" t="s">
        <v>8955</v>
      </c>
      <c r="K984" s="1" t="s">
        <v>74</v>
      </c>
      <c r="L984" s="1" t="s">
        <v>74</v>
      </c>
      <c r="M984" s="1" t="s">
        <v>74</v>
      </c>
      <c r="N984" s="1" t="s">
        <v>74</v>
      </c>
      <c r="O984" s="1" t="s">
        <v>74</v>
      </c>
      <c r="P984" s="1" t="s">
        <v>74</v>
      </c>
      <c r="Q984" s="1" t="s">
        <v>74</v>
      </c>
      <c r="R984" s="1" t="s">
        <v>74</v>
      </c>
      <c r="S984" s="1" t="s">
        <v>74</v>
      </c>
      <c r="T984" s="1" t="s">
        <v>74</v>
      </c>
      <c r="U984" s="1" t="s">
        <v>74</v>
      </c>
      <c r="V984" s="1" t="s">
        <v>8956</v>
      </c>
      <c r="W984" s="1" t="s">
        <v>74</v>
      </c>
      <c r="X984" s="1" t="s">
        <v>74</v>
      </c>
      <c r="Y984" s="1" t="s">
        <v>74</v>
      </c>
      <c r="Z984" s="1" t="s">
        <v>74</v>
      </c>
      <c r="AA984" s="1" t="s">
        <v>8957</v>
      </c>
      <c r="AB984" s="1" t="s">
        <v>8958</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8959</v>
      </c>
      <c r="AP984" s="1" t="s">
        <v>74</v>
      </c>
      <c r="AQ984" s="1" t="s">
        <v>74</v>
      </c>
      <c r="AR984" s="1" t="s">
        <v>74</v>
      </c>
      <c r="AS984" s="1" t="s">
        <v>74</v>
      </c>
      <c r="AT984" s="1" t="s">
        <v>5912</v>
      </c>
      <c r="AU984" s="1">
        <v>2009.0</v>
      </c>
      <c r="AV984" s="1">
        <v>18.0</v>
      </c>
      <c r="AW984" s="1">
        <v>4.0</v>
      </c>
      <c r="AX984" s="1" t="s">
        <v>74</v>
      </c>
      <c r="AY984" s="1" t="s">
        <v>74</v>
      </c>
      <c r="AZ984" s="1" t="s">
        <v>74</v>
      </c>
      <c r="BA984" s="1" t="s">
        <v>74</v>
      </c>
      <c r="BB984" s="1">
        <v>497.0</v>
      </c>
      <c r="BC984" s="1">
        <v>511.0</v>
      </c>
      <c r="BD984" s="1" t="s">
        <v>74</v>
      </c>
      <c r="BE984" s="1" t="s">
        <v>8960</v>
      </c>
      <c r="BF984" s="2" t="str">
        <f>HYPERLINK("http://dx.doi.org/10.1080/15320380902962320","http://dx.doi.org/10.1080/15320380902962320")</f>
        <v>http://dx.doi.org/10.1080/15320380902962320</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8961</v>
      </c>
      <c r="BT984" s="1" t="str">
        <f>HYPERLINK("https%3A%2F%2Fwww.webofscience.com%2Fwos%2Fwoscc%2Ffull-record%2FWOS:000268240200008","View Full Record in Web of Science")</f>
        <v>View Full Record in Web of Science</v>
      </c>
    </row>
    <row r="985" ht="12.75" customHeight="1">
      <c r="A985" s="1" t="s">
        <v>72</v>
      </c>
      <c r="B985" s="1" t="s">
        <v>334</v>
      </c>
      <c r="C985" s="1" t="s">
        <v>74</v>
      </c>
      <c r="D985" s="1" t="s">
        <v>74</v>
      </c>
      <c r="E985" s="1" t="s">
        <v>74</v>
      </c>
      <c r="F985" s="1" t="s">
        <v>335</v>
      </c>
      <c r="G985" s="1" t="s">
        <v>74</v>
      </c>
      <c r="H985" s="1" t="s">
        <v>74</v>
      </c>
      <c r="I985" s="1" t="s">
        <v>8962</v>
      </c>
      <c r="J985" s="1" t="s">
        <v>1262</v>
      </c>
      <c r="K985" s="1" t="s">
        <v>74</v>
      </c>
      <c r="L985" s="1" t="s">
        <v>74</v>
      </c>
      <c r="M985" s="1" t="s">
        <v>74</v>
      </c>
      <c r="N985" s="1" t="s">
        <v>74</v>
      </c>
      <c r="O985" s="1" t="s">
        <v>8963</v>
      </c>
      <c r="P985" s="1" t="s">
        <v>8964</v>
      </c>
      <c r="Q985" s="1" t="s">
        <v>8965</v>
      </c>
      <c r="R985" s="1" t="s">
        <v>74</v>
      </c>
      <c r="S985" s="1" t="s">
        <v>74</v>
      </c>
      <c r="T985" s="1" t="s">
        <v>74</v>
      </c>
      <c r="U985" s="1" t="s">
        <v>74</v>
      </c>
      <c r="V985" s="1" t="s">
        <v>8966</v>
      </c>
      <c r="W985" s="1" t="s">
        <v>74</v>
      </c>
      <c r="X985" s="1" t="s">
        <v>74</v>
      </c>
      <c r="Y985" s="1" t="s">
        <v>74</v>
      </c>
      <c r="Z985" s="1" t="s">
        <v>74</v>
      </c>
      <c r="AA985" s="1" t="s">
        <v>8967</v>
      </c>
      <c r="AB985" s="1" t="s">
        <v>8968</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1268</v>
      </c>
      <c r="AP985" s="1" t="s">
        <v>8969</v>
      </c>
      <c r="AQ985" s="1" t="s">
        <v>74</v>
      </c>
      <c r="AR985" s="1" t="s">
        <v>74</v>
      </c>
      <c r="AS985" s="1" t="s">
        <v>74</v>
      </c>
      <c r="AT985" s="1" t="s">
        <v>501</v>
      </c>
      <c r="AU985" s="1">
        <v>2008.0</v>
      </c>
      <c r="AV985" s="1">
        <v>48.0</v>
      </c>
      <c r="AW985" s="1" t="s">
        <v>5597</v>
      </c>
      <c r="AX985" s="1" t="s">
        <v>74</v>
      </c>
      <c r="AY985" s="1" t="s">
        <v>74</v>
      </c>
      <c r="AZ985" s="1" t="s">
        <v>74</v>
      </c>
      <c r="BA985" s="1" t="s">
        <v>74</v>
      </c>
      <c r="BB985" s="1">
        <v>506.0</v>
      </c>
      <c r="BC985" s="1">
        <v>514.0</v>
      </c>
      <c r="BD985" s="1" t="s">
        <v>74</v>
      </c>
      <c r="BE985" s="1" t="s">
        <v>8970</v>
      </c>
      <c r="BF985" s="2" t="str">
        <f>HYPERLINK("http://dx.doi.org/10.1016/j.ultras.2008.03.006","http://dx.doi.org/10.1016/j.ultras.2008.03.006")</f>
        <v>http://dx.doi.org/10.1016/j.ultras.2008.03.006</v>
      </c>
      <c r="BG985" s="1" t="s">
        <v>74</v>
      </c>
      <c r="BH985" s="1" t="s">
        <v>74</v>
      </c>
      <c r="BI985" s="1" t="s">
        <v>74</v>
      </c>
      <c r="BJ985" s="1" t="s">
        <v>74</v>
      </c>
      <c r="BK985" s="1" t="s">
        <v>74</v>
      </c>
      <c r="BL985" s="1" t="s">
        <v>74</v>
      </c>
      <c r="BM985" s="1" t="s">
        <v>74</v>
      </c>
      <c r="BN985" s="1">
        <v>1.8468652E7</v>
      </c>
      <c r="BO985" s="1" t="s">
        <v>74</v>
      </c>
      <c r="BP985" s="1" t="s">
        <v>74</v>
      </c>
      <c r="BQ985" s="1" t="s">
        <v>74</v>
      </c>
      <c r="BR985" s="1" t="s">
        <v>74</v>
      </c>
      <c r="BS985" s="1" t="s">
        <v>8971</v>
      </c>
      <c r="BT985" s="1" t="str">
        <f>HYPERLINK("https%3A%2F%2Fwww.webofscience.com%2Fwos%2Fwoscc%2Ffull-record%2FWOS:000260739300008","View Full Record in Web of Science")</f>
        <v>View Full Record in Web of Science</v>
      </c>
    </row>
    <row r="986" ht="12.75" customHeight="1">
      <c r="A986" s="1" t="s">
        <v>72</v>
      </c>
      <c r="B986" s="1" t="s">
        <v>8972</v>
      </c>
      <c r="C986" s="1" t="s">
        <v>74</v>
      </c>
      <c r="D986" s="1" t="s">
        <v>74</v>
      </c>
      <c r="E986" s="1" t="s">
        <v>74</v>
      </c>
      <c r="F986" s="1" t="s">
        <v>8973</v>
      </c>
      <c r="G986" s="1" t="s">
        <v>74</v>
      </c>
      <c r="H986" s="1" t="s">
        <v>74</v>
      </c>
      <c r="I986" s="1" t="s">
        <v>8974</v>
      </c>
      <c r="J986" s="1" t="s">
        <v>8055</v>
      </c>
      <c r="K986" s="1" t="s">
        <v>74</v>
      </c>
      <c r="L986" s="1" t="s">
        <v>74</v>
      </c>
      <c r="M986" s="1" t="s">
        <v>74</v>
      </c>
      <c r="N986" s="1" t="s">
        <v>74</v>
      </c>
      <c r="O986" s="1" t="s">
        <v>74</v>
      </c>
      <c r="P986" s="1" t="s">
        <v>74</v>
      </c>
      <c r="Q986" s="1" t="s">
        <v>74</v>
      </c>
      <c r="R986" s="1" t="s">
        <v>74</v>
      </c>
      <c r="S986" s="1" t="s">
        <v>74</v>
      </c>
      <c r="T986" s="1" t="s">
        <v>74</v>
      </c>
      <c r="U986" s="1" t="s">
        <v>74</v>
      </c>
      <c r="V986" s="1" t="s">
        <v>8975</v>
      </c>
      <c r="W986" s="1" t="s">
        <v>74</v>
      </c>
      <c r="X986" s="1" t="s">
        <v>74</v>
      </c>
      <c r="Y986" s="1" t="s">
        <v>74</v>
      </c>
      <c r="Z986" s="1" t="s">
        <v>74</v>
      </c>
      <c r="AA986" s="1" t="s">
        <v>8976</v>
      </c>
      <c r="AB986" s="1" t="s">
        <v>5850</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8059</v>
      </c>
      <c r="AP986" s="1" t="s">
        <v>8060</v>
      </c>
      <c r="AQ986" s="1" t="s">
        <v>74</v>
      </c>
      <c r="AR986" s="1" t="s">
        <v>74</v>
      </c>
      <c r="AS986" s="1" t="s">
        <v>74</v>
      </c>
      <c r="AT986" s="1" t="s">
        <v>74</v>
      </c>
      <c r="AU986" s="1">
        <v>2008.0</v>
      </c>
      <c r="AV986" s="1">
        <v>197.0</v>
      </c>
      <c r="AW986" s="1" t="s">
        <v>8977</v>
      </c>
      <c r="AX986" s="1" t="s">
        <v>74</v>
      </c>
      <c r="AY986" s="1" t="s">
        <v>74</v>
      </c>
      <c r="AZ986" s="1" t="s">
        <v>74</v>
      </c>
      <c r="BA986" s="1" t="s">
        <v>74</v>
      </c>
      <c r="BB986" s="1">
        <v>2823.0</v>
      </c>
      <c r="BC986" s="1">
        <v>2835.0</v>
      </c>
      <c r="BD986" s="1" t="s">
        <v>74</v>
      </c>
      <c r="BE986" s="1" t="s">
        <v>8978</v>
      </c>
      <c r="BF986" s="2" t="str">
        <f>HYPERLINK("http://dx.doi.org/10.1016/j.cma.2008.01.014","http://dx.doi.org/10.1016/j.cma.2008.01.014")</f>
        <v>http://dx.doi.org/10.1016/j.cma.2008.01.014</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8979</v>
      </c>
      <c r="BT986" s="1" t="str">
        <f>HYPERLINK("https%3A%2F%2Fwww.webofscience.com%2Fwos%2Fwoscc%2Ffull-record%2FWOS:000257666400011","View Full Record in Web of Science")</f>
        <v>View Full Record in Web of Science</v>
      </c>
    </row>
    <row r="987" ht="12.75" customHeight="1">
      <c r="A987" s="1" t="s">
        <v>241</v>
      </c>
      <c r="B987" s="1" t="s">
        <v>8980</v>
      </c>
      <c r="C987" s="1" t="s">
        <v>74</v>
      </c>
      <c r="D987" s="1" t="s">
        <v>8981</v>
      </c>
      <c r="E987" s="1" t="s">
        <v>74</v>
      </c>
      <c r="F987" s="1" t="s">
        <v>8982</v>
      </c>
      <c r="G987" s="1" t="s">
        <v>74</v>
      </c>
      <c r="H987" s="1" t="s">
        <v>74</v>
      </c>
      <c r="I987" s="1" t="s">
        <v>8983</v>
      </c>
      <c r="J987" s="1" t="s">
        <v>8984</v>
      </c>
      <c r="K987" s="1" t="s">
        <v>8985</v>
      </c>
      <c r="L987" s="1" t="s">
        <v>74</v>
      </c>
      <c r="M987" s="1" t="s">
        <v>74</v>
      </c>
      <c r="N987" s="1" t="s">
        <v>74</v>
      </c>
      <c r="O987" s="1" t="s">
        <v>8986</v>
      </c>
      <c r="P987" s="1" t="s">
        <v>8987</v>
      </c>
      <c r="Q987" s="1" t="s">
        <v>8988</v>
      </c>
      <c r="R987" s="1" t="s">
        <v>8989</v>
      </c>
      <c r="S987" s="1" t="s">
        <v>74</v>
      </c>
      <c r="T987" s="1" t="s">
        <v>74</v>
      </c>
      <c r="U987" s="1" t="s">
        <v>74</v>
      </c>
      <c r="V987" s="1" t="s">
        <v>8990</v>
      </c>
      <c r="W987" s="1" t="s">
        <v>74</v>
      </c>
      <c r="X987" s="1" t="s">
        <v>74</v>
      </c>
      <c r="Y987" s="1" t="s">
        <v>74</v>
      </c>
      <c r="Z987" s="1" t="s">
        <v>74</v>
      </c>
      <c r="AA987" s="1" t="s">
        <v>8991</v>
      </c>
      <c r="AB987" s="1" t="s">
        <v>8992</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8993</v>
      </c>
      <c r="AP987" s="1" t="s">
        <v>74</v>
      </c>
      <c r="AQ987" s="1" t="s">
        <v>8994</v>
      </c>
      <c r="AR987" s="1" t="s">
        <v>74</v>
      </c>
      <c r="AS987" s="1" t="s">
        <v>74</v>
      </c>
      <c r="AT987" s="1" t="s">
        <v>74</v>
      </c>
      <c r="AU987" s="1">
        <v>2008.0</v>
      </c>
      <c r="AV987" s="1">
        <v>276.0</v>
      </c>
      <c r="AW987" s="1" t="s">
        <v>74</v>
      </c>
      <c r="AX987" s="1" t="s">
        <v>74</v>
      </c>
      <c r="AY987" s="1" t="s">
        <v>74</v>
      </c>
      <c r="AZ987" s="1" t="s">
        <v>74</v>
      </c>
      <c r="BA987" s="1" t="s">
        <v>74</v>
      </c>
      <c r="BB987" s="1">
        <v>433.0</v>
      </c>
      <c r="BC987" s="1" t="s">
        <v>1748</v>
      </c>
      <c r="BD987" s="1" t="s">
        <v>74</v>
      </c>
      <c r="BE987" s="1" t="s">
        <v>74</v>
      </c>
      <c r="BF987" s="1" t="s">
        <v>74</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8995</v>
      </c>
      <c r="BT987" s="1" t="str">
        <f>HYPERLINK("https%3A%2F%2Fwww.webofscience.com%2Fwos%2Fwoscc%2Ffull-record%2FWOS:000259037000043","View Full Record in Web of Science")</f>
        <v>View Full Record in Web of Science</v>
      </c>
    </row>
    <row r="988" ht="12.75" customHeight="1">
      <c r="A988" s="1" t="s">
        <v>72</v>
      </c>
      <c r="B988" s="1" t="s">
        <v>8996</v>
      </c>
      <c r="C988" s="1" t="s">
        <v>74</v>
      </c>
      <c r="D988" s="1" t="s">
        <v>74</v>
      </c>
      <c r="E988" s="1" t="s">
        <v>74</v>
      </c>
      <c r="F988" s="1" t="s">
        <v>8997</v>
      </c>
      <c r="G988" s="1" t="s">
        <v>74</v>
      </c>
      <c r="H988" s="1" t="s">
        <v>74</v>
      </c>
      <c r="I988" s="1" t="s">
        <v>8998</v>
      </c>
      <c r="J988" s="1" t="s">
        <v>2808</v>
      </c>
      <c r="K988" s="1" t="s">
        <v>74</v>
      </c>
      <c r="L988" s="1" t="s">
        <v>74</v>
      </c>
      <c r="M988" s="1" t="s">
        <v>74</v>
      </c>
      <c r="N988" s="1" t="s">
        <v>74</v>
      </c>
      <c r="O988" s="1" t="s">
        <v>74</v>
      </c>
      <c r="P988" s="1" t="s">
        <v>74</v>
      </c>
      <c r="Q988" s="1" t="s">
        <v>74</v>
      </c>
      <c r="R988" s="1" t="s">
        <v>74</v>
      </c>
      <c r="S988" s="1" t="s">
        <v>74</v>
      </c>
      <c r="T988" s="1" t="s">
        <v>74</v>
      </c>
      <c r="U988" s="1" t="s">
        <v>74</v>
      </c>
      <c r="V988" s="1" t="s">
        <v>8999</v>
      </c>
      <c r="W988" s="1" t="s">
        <v>74</v>
      </c>
      <c r="X988" s="1" t="s">
        <v>74</v>
      </c>
      <c r="Y988" s="1" t="s">
        <v>74</v>
      </c>
      <c r="Z988" s="1" t="s">
        <v>74</v>
      </c>
      <c r="AA988" s="1" t="s">
        <v>2050</v>
      </c>
      <c r="AB988" s="1" t="s">
        <v>9000</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2810</v>
      </c>
      <c r="AP988" s="1" t="s">
        <v>9001</v>
      </c>
      <c r="AQ988" s="1" t="s">
        <v>74</v>
      </c>
      <c r="AR988" s="1" t="s">
        <v>74</v>
      </c>
      <c r="AS988" s="1" t="s">
        <v>74</v>
      </c>
      <c r="AT988" s="1" t="s">
        <v>353</v>
      </c>
      <c r="AU988" s="1">
        <v>2006.0</v>
      </c>
      <c r="AV988" s="1">
        <v>41.0</v>
      </c>
      <c r="AW988" s="1">
        <v>10.0</v>
      </c>
      <c r="AX988" s="1" t="s">
        <v>74</v>
      </c>
      <c r="AY988" s="1" t="s">
        <v>74</v>
      </c>
      <c r="AZ988" s="1" t="s">
        <v>74</v>
      </c>
      <c r="BA988" s="1" t="s">
        <v>74</v>
      </c>
      <c r="BB988" s="1">
        <v>947.0</v>
      </c>
      <c r="BC988" s="1">
        <v>953.0</v>
      </c>
      <c r="BD988" s="1" t="s">
        <v>74</v>
      </c>
      <c r="BE988" s="1" t="s">
        <v>9002</v>
      </c>
      <c r="BF988" s="2" t="str">
        <f>HYPERLINK("http://dx.doi.org/10.1002/ppul.20472","http://dx.doi.org/10.1002/ppul.20472")</f>
        <v>http://dx.doi.org/10.1002/ppul.20472</v>
      </c>
      <c r="BG988" s="1" t="s">
        <v>74</v>
      </c>
      <c r="BH988" s="1" t="s">
        <v>74</v>
      </c>
      <c r="BI988" s="1" t="s">
        <v>74</v>
      </c>
      <c r="BJ988" s="1" t="s">
        <v>74</v>
      </c>
      <c r="BK988" s="1" t="s">
        <v>74</v>
      </c>
      <c r="BL988" s="1" t="s">
        <v>74</v>
      </c>
      <c r="BM988" s="1" t="s">
        <v>74</v>
      </c>
      <c r="BN988" s="1">
        <v>1.6871594E7</v>
      </c>
      <c r="BO988" s="1" t="s">
        <v>74</v>
      </c>
      <c r="BP988" s="1" t="s">
        <v>74</v>
      </c>
      <c r="BQ988" s="1" t="s">
        <v>74</v>
      </c>
      <c r="BR988" s="1" t="s">
        <v>74</v>
      </c>
      <c r="BS988" s="1" t="s">
        <v>9003</v>
      </c>
      <c r="BT988" s="1" t="str">
        <f>HYPERLINK("https%3A%2F%2Fwww.webofscience.com%2Fwos%2Fwoscc%2Ffull-record%2FWOS:000241169600006","View Full Record in Web of Science")</f>
        <v>View Full Record in Web of Science</v>
      </c>
    </row>
    <row r="989" ht="12.75" customHeight="1">
      <c r="A989" s="1" t="s">
        <v>72</v>
      </c>
      <c r="B989" s="1" t="s">
        <v>9004</v>
      </c>
      <c r="C989" s="1" t="s">
        <v>74</v>
      </c>
      <c r="D989" s="1" t="s">
        <v>74</v>
      </c>
      <c r="E989" s="1" t="s">
        <v>74</v>
      </c>
      <c r="F989" s="1" t="s">
        <v>9004</v>
      </c>
      <c r="G989" s="1" t="s">
        <v>74</v>
      </c>
      <c r="H989" s="1" t="s">
        <v>74</v>
      </c>
      <c r="I989" s="1" t="s">
        <v>9005</v>
      </c>
      <c r="J989" s="1" t="s">
        <v>9006</v>
      </c>
      <c r="K989" s="1" t="s">
        <v>74</v>
      </c>
      <c r="L989" s="1" t="s">
        <v>74</v>
      </c>
      <c r="M989" s="1" t="s">
        <v>74</v>
      </c>
      <c r="N989" s="1" t="s">
        <v>74</v>
      </c>
      <c r="O989" s="1" t="s">
        <v>74</v>
      </c>
      <c r="P989" s="1" t="s">
        <v>74</v>
      </c>
      <c r="Q989" s="1" t="s">
        <v>74</v>
      </c>
      <c r="R989" s="1" t="s">
        <v>74</v>
      </c>
      <c r="S989" s="1" t="s">
        <v>74</v>
      </c>
      <c r="T989" s="1" t="s">
        <v>74</v>
      </c>
      <c r="U989" s="1" t="s">
        <v>74</v>
      </c>
      <c r="V989" s="1" t="s">
        <v>9007</v>
      </c>
      <c r="W989" s="1" t="s">
        <v>74</v>
      </c>
      <c r="X989" s="1" t="s">
        <v>74</v>
      </c>
      <c r="Y989" s="1" t="s">
        <v>74</v>
      </c>
      <c r="Z989" s="1" t="s">
        <v>74</v>
      </c>
      <c r="AA989" s="1" t="s">
        <v>74</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9008</v>
      </c>
      <c r="AP989" s="1" t="s">
        <v>74</v>
      </c>
      <c r="AQ989" s="1" t="s">
        <v>74</v>
      </c>
      <c r="AR989" s="1" t="s">
        <v>74</v>
      </c>
      <c r="AS989" s="1" t="s">
        <v>74</v>
      </c>
      <c r="AT989" s="1" t="s">
        <v>3602</v>
      </c>
      <c r="AU989" s="1">
        <v>2005.0</v>
      </c>
      <c r="AV989" s="1">
        <v>38.0</v>
      </c>
      <c r="AW989" s="1">
        <v>34.0</v>
      </c>
      <c r="AX989" s="1" t="s">
        <v>74</v>
      </c>
      <c r="AY989" s="1" t="s">
        <v>74</v>
      </c>
      <c r="AZ989" s="1" t="s">
        <v>74</v>
      </c>
      <c r="BA989" s="1" t="s">
        <v>74</v>
      </c>
      <c r="BB989" s="1">
        <v>7509.0</v>
      </c>
      <c r="BC989" s="1">
        <v>7518.0</v>
      </c>
      <c r="BD989" s="1" t="s">
        <v>74</v>
      </c>
      <c r="BE989" s="1" t="s">
        <v>9009</v>
      </c>
      <c r="BF989" s="2" t="str">
        <f>HYPERLINK("http://dx.doi.org/10.1088/0305-4470/38/34/005","http://dx.doi.org/10.1088/0305-4470/38/34/005")</f>
        <v>http://dx.doi.org/10.1088/0305-4470/38/34/005</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9010</v>
      </c>
      <c r="BT989" s="1" t="str">
        <f>HYPERLINK("https%3A%2F%2Fwww.webofscience.com%2Fwos%2Fwoscc%2Ffull-record%2FWOS:000231933500008","View Full Record in Web of Science")</f>
        <v>View Full Record in Web of Science</v>
      </c>
    </row>
    <row r="990" ht="12.75" customHeight="1">
      <c r="A990" s="1" t="s">
        <v>72</v>
      </c>
      <c r="B990" s="1" t="s">
        <v>9011</v>
      </c>
      <c r="C990" s="1" t="s">
        <v>74</v>
      </c>
      <c r="D990" s="1" t="s">
        <v>74</v>
      </c>
      <c r="E990" s="1" t="s">
        <v>74</v>
      </c>
      <c r="F990" s="1" t="s">
        <v>9011</v>
      </c>
      <c r="G990" s="1" t="s">
        <v>74</v>
      </c>
      <c r="H990" s="1" t="s">
        <v>74</v>
      </c>
      <c r="I990" s="1" t="s">
        <v>9012</v>
      </c>
      <c r="J990" s="1" t="s">
        <v>9013</v>
      </c>
      <c r="K990" s="1" t="s">
        <v>74</v>
      </c>
      <c r="L990" s="1" t="s">
        <v>74</v>
      </c>
      <c r="M990" s="1" t="s">
        <v>74</v>
      </c>
      <c r="N990" s="1" t="s">
        <v>74</v>
      </c>
      <c r="O990" s="1" t="s">
        <v>74</v>
      </c>
      <c r="P990" s="1" t="s">
        <v>74</v>
      </c>
      <c r="Q990" s="1" t="s">
        <v>74</v>
      </c>
      <c r="R990" s="1" t="s">
        <v>74</v>
      </c>
      <c r="S990" s="1" t="s">
        <v>74</v>
      </c>
      <c r="T990" s="1" t="s">
        <v>74</v>
      </c>
      <c r="U990" s="1" t="s">
        <v>74</v>
      </c>
      <c r="V990" s="1" t="s">
        <v>9014</v>
      </c>
      <c r="W990" s="1" t="s">
        <v>74</v>
      </c>
      <c r="X990" s="1" t="s">
        <v>74</v>
      </c>
      <c r="Y990" s="1" t="s">
        <v>74</v>
      </c>
      <c r="Z990" s="1" t="s">
        <v>74</v>
      </c>
      <c r="AA990" s="1" t="s">
        <v>9015</v>
      </c>
      <c r="AB990" s="1" t="s">
        <v>9016</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9017</v>
      </c>
      <c r="AP990" s="1" t="s">
        <v>9018</v>
      </c>
      <c r="AQ990" s="1" t="s">
        <v>74</v>
      </c>
      <c r="AR990" s="1" t="s">
        <v>74</v>
      </c>
      <c r="AS990" s="1" t="s">
        <v>74</v>
      </c>
      <c r="AT990" s="1" t="s">
        <v>319</v>
      </c>
      <c r="AU990" s="1">
        <v>2005.0</v>
      </c>
      <c r="AV990" s="1">
        <v>71.0</v>
      </c>
      <c r="AW990" s="1">
        <v>10.0</v>
      </c>
      <c r="AX990" s="1" t="s">
        <v>74</v>
      </c>
      <c r="AY990" s="1" t="s">
        <v>74</v>
      </c>
      <c r="AZ990" s="1" t="s">
        <v>74</v>
      </c>
      <c r="BA990" s="1" t="s">
        <v>74</v>
      </c>
      <c r="BB990" s="1" t="s">
        <v>74</v>
      </c>
      <c r="BC990" s="1" t="s">
        <v>74</v>
      </c>
      <c r="BD990" s="1">
        <v>104422.0</v>
      </c>
      <c r="BE990" s="1" t="s">
        <v>9019</v>
      </c>
      <c r="BF990" s="2" t="str">
        <f>HYPERLINK("http://dx.doi.org/10.1103/PhysRevB.71.104422","http://dx.doi.org/10.1103/PhysRevB.71.104422")</f>
        <v>http://dx.doi.org/10.1103/PhysRevB.71.104422</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9020</v>
      </c>
      <c r="BT990" s="1" t="str">
        <f>HYPERLINK("https%3A%2F%2Fwww.webofscience.com%2Fwos%2Fwoscc%2Ffull-record%2FWOS:000228065400058","View Full Record in Web of Science")</f>
        <v>View Full Record in Web of Science</v>
      </c>
    </row>
    <row r="991" ht="12.75" customHeight="1">
      <c r="A991" s="1" t="s">
        <v>72</v>
      </c>
      <c r="B991" s="1" t="s">
        <v>9021</v>
      </c>
      <c r="C991" s="1" t="s">
        <v>74</v>
      </c>
      <c r="D991" s="1" t="s">
        <v>74</v>
      </c>
      <c r="E991" s="1" t="s">
        <v>74</v>
      </c>
      <c r="F991" s="1" t="s">
        <v>9021</v>
      </c>
      <c r="G991" s="1" t="s">
        <v>74</v>
      </c>
      <c r="H991" s="1" t="s">
        <v>74</v>
      </c>
      <c r="I991" s="1" t="s">
        <v>9022</v>
      </c>
      <c r="J991" s="1" t="s">
        <v>9023</v>
      </c>
      <c r="K991" s="1" t="s">
        <v>74</v>
      </c>
      <c r="L991" s="1" t="s">
        <v>74</v>
      </c>
      <c r="M991" s="1" t="s">
        <v>74</v>
      </c>
      <c r="N991" s="1" t="s">
        <v>74</v>
      </c>
      <c r="O991" s="1" t="s">
        <v>74</v>
      </c>
      <c r="P991" s="1" t="s">
        <v>74</v>
      </c>
      <c r="Q991" s="1" t="s">
        <v>74</v>
      </c>
      <c r="R991" s="1" t="s">
        <v>74</v>
      </c>
      <c r="S991" s="1" t="s">
        <v>74</v>
      </c>
      <c r="T991" s="1" t="s">
        <v>74</v>
      </c>
      <c r="U991" s="1" t="s">
        <v>74</v>
      </c>
      <c r="V991" s="1" t="s">
        <v>9024</v>
      </c>
      <c r="W991" s="1" t="s">
        <v>74</v>
      </c>
      <c r="X991" s="1" t="s">
        <v>74</v>
      </c>
      <c r="Y991" s="1" t="s">
        <v>74</v>
      </c>
      <c r="Z991" s="1" t="s">
        <v>74</v>
      </c>
      <c r="AA991" s="1" t="s">
        <v>5512</v>
      </c>
      <c r="AB991" s="1" t="s">
        <v>5513</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9025</v>
      </c>
      <c r="AP991" s="1" t="s">
        <v>9026</v>
      </c>
      <c r="AQ991" s="1" t="s">
        <v>74</v>
      </c>
      <c r="AR991" s="1" t="s">
        <v>74</v>
      </c>
      <c r="AS991" s="1" t="s">
        <v>74</v>
      </c>
      <c r="AT991" s="1" t="s">
        <v>343</v>
      </c>
      <c r="AU991" s="1">
        <v>2004.0</v>
      </c>
      <c r="AV991" s="1">
        <v>35.0</v>
      </c>
      <c r="AW991" s="1">
        <v>3.0</v>
      </c>
      <c r="AX991" s="1" t="s">
        <v>74</v>
      </c>
      <c r="AY991" s="1" t="s">
        <v>74</v>
      </c>
      <c r="AZ991" s="1" t="s">
        <v>74</v>
      </c>
      <c r="BA991" s="1" t="s">
        <v>74</v>
      </c>
      <c r="BB991" s="1">
        <v>277.0</v>
      </c>
      <c r="BC991" s="1">
        <v>291.0</v>
      </c>
      <c r="BD991" s="1" t="s">
        <v>74</v>
      </c>
      <c r="BE991" s="1" t="s">
        <v>9027</v>
      </c>
      <c r="BF991" s="2" t="str">
        <f>HYPERLINK("http://dx.doi.org/10.1111/j.1745-4603.2004.tb00838.x","http://dx.doi.org/10.1111/j.1745-4603.2004.tb00838.x")</f>
        <v>http://dx.doi.org/10.1111/j.1745-4603.2004.tb00838.x</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9028</v>
      </c>
      <c r="BT991" s="1" t="str">
        <f>HYPERLINK("https%3A%2F%2Fwww.webofscience.com%2Fwos%2Fwoscc%2Ffull-record%2FWOS:000224078500004","View Full Record in Web of Science")</f>
        <v>View Full Record in Web of Science</v>
      </c>
    </row>
    <row r="992" ht="12.75" customHeight="1">
      <c r="A992" s="1" t="s">
        <v>72</v>
      </c>
      <c r="B992" s="1" t="s">
        <v>9029</v>
      </c>
      <c r="C992" s="1" t="s">
        <v>74</v>
      </c>
      <c r="D992" s="1" t="s">
        <v>74</v>
      </c>
      <c r="E992" s="1" t="s">
        <v>74</v>
      </c>
      <c r="F992" s="1" t="s">
        <v>9029</v>
      </c>
      <c r="G992" s="1" t="s">
        <v>74</v>
      </c>
      <c r="H992" s="1" t="s">
        <v>74</v>
      </c>
      <c r="I992" s="1" t="s">
        <v>9030</v>
      </c>
      <c r="J992" s="1" t="s">
        <v>8524</v>
      </c>
      <c r="K992" s="1" t="s">
        <v>74</v>
      </c>
      <c r="L992" s="1" t="s">
        <v>74</v>
      </c>
      <c r="M992" s="1" t="s">
        <v>74</v>
      </c>
      <c r="N992" s="1" t="s">
        <v>74</v>
      </c>
      <c r="O992" s="1" t="s">
        <v>74</v>
      </c>
      <c r="P992" s="1" t="s">
        <v>74</v>
      </c>
      <c r="Q992" s="1" t="s">
        <v>74</v>
      </c>
      <c r="R992" s="1" t="s">
        <v>74</v>
      </c>
      <c r="S992" s="1" t="s">
        <v>74</v>
      </c>
      <c r="T992" s="1" t="s">
        <v>74</v>
      </c>
      <c r="U992" s="1" t="s">
        <v>74</v>
      </c>
      <c r="V992" s="1" t="s">
        <v>9031</v>
      </c>
      <c r="W992" s="1" t="s">
        <v>74</v>
      </c>
      <c r="X992" s="1" t="s">
        <v>74</v>
      </c>
      <c r="Y992" s="1" t="s">
        <v>74</v>
      </c>
      <c r="Z992" s="1" t="s">
        <v>74</v>
      </c>
      <c r="AA992" s="1" t="s">
        <v>74</v>
      </c>
      <c r="AB992" s="1" t="s">
        <v>9032</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8525</v>
      </c>
      <c r="AP992" s="1" t="s">
        <v>9033</v>
      </c>
      <c r="AQ992" s="1" t="s">
        <v>74</v>
      </c>
      <c r="AR992" s="1" t="s">
        <v>74</v>
      </c>
      <c r="AS992" s="1" t="s">
        <v>74</v>
      </c>
      <c r="AT992" s="1" t="s">
        <v>183</v>
      </c>
      <c r="AU992" s="1">
        <v>2003.0</v>
      </c>
      <c r="AV992" s="1">
        <v>63.0</v>
      </c>
      <c r="AW992" s="1">
        <v>1.0</v>
      </c>
      <c r="AX992" s="1" t="s">
        <v>74</v>
      </c>
      <c r="AY992" s="1" t="s">
        <v>74</v>
      </c>
      <c r="AZ992" s="1" t="s">
        <v>74</v>
      </c>
      <c r="BA992" s="1" t="s">
        <v>74</v>
      </c>
      <c r="BB992" s="1">
        <v>7.0</v>
      </c>
      <c r="BC992" s="1">
        <v>14.0</v>
      </c>
      <c r="BD992" s="1" t="s">
        <v>74</v>
      </c>
      <c r="BE992" s="1" t="s">
        <v>9034</v>
      </c>
      <c r="BF992" s="2" t="str">
        <f>HYPERLINK("http://dx.doi.org/10.1016/S0031-9422(02)00672-6","http://dx.doi.org/10.1016/S0031-9422(02)00672-6")</f>
        <v>http://dx.doi.org/10.1016/S0031-9422(02)00672-6</v>
      </c>
      <c r="BG992" s="1" t="s">
        <v>74</v>
      </c>
      <c r="BH992" s="1" t="s">
        <v>74</v>
      </c>
      <c r="BI992" s="1" t="s">
        <v>74</v>
      </c>
      <c r="BJ992" s="1" t="s">
        <v>74</v>
      </c>
      <c r="BK992" s="1" t="s">
        <v>74</v>
      </c>
      <c r="BL992" s="1" t="s">
        <v>74</v>
      </c>
      <c r="BM992" s="1" t="s">
        <v>74</v>
      </c>
      <c r="BN992" s="1">
        <v>1.2657291E7</v>
      </c>
      <c r="BO992" s="1" t="s">
        <v>74</v>
      </c>
      <c r="BP992" s="1" t="s">
        <v>74</v>
      </c>
      <c r="BQ992" s="1" t="s">
        <v>74</v>
      </c>
      <c r="BR992" s="1" t="s">
        <v>74</v>
      </c>
      <c r="BS992" s="1" t="s">
        <v>9035</v>
      </c>
      <c r="BT992" s="1" t="str">
        <f>HYPERLINK("https%3A%2F%2Fwww.webofscience.com%2Fwos%2Fwoscc%2Ffull-record%2FWOS:000182286700002","View Full Record in Web of Science")</f>
        <v>View Full Record in Web of Science</v>
      </c>
    </row>
    <row r="993" ht="12.75" customHeight="1">
      <c r="A993" s="1" t="s">
        <v>72</v>
      </c>
      <c r="B993" s="1" t="s">
        <v>9036</v>
      </c>
      <c r="C993" s="1" t="s">
        <v>74</v>
      </c>
      <c r="D993" s="1" t="s">
        <v>74</v>
      </c>
      <c r="E993" s="1" t="s">
        <v>74</v>
      </c>
      <c r="F993" s="1" t="s">
        <v>9036</v>
      </c>
      <c r="G993" s="1" t="s">
        <v>74</v>
      </c>
      <c r="H993" s="1" t="s">
        <v>74</v>
      </c>
      <c r="I993" s="1" t="s">
        <v>9037</v>
      </c>
      <c r="J993" s="1" t="s">
        <v>7396</v>
      </c>
      <c r="K993" s="1" t="s">
        <v>74</v>
      </c>
      <c r="L993" s="1" t="s">
        <v>74</v>
      </c>
      <c r="M993" s="1" t="s">
        <v>74</v>
      </c>
      <c r="N993" s="1" t="s">
        <v>74</v>
      </c>
      <c r="O993" s="1" t="s">
        <v>74</v>
      </c>
      <c r="P993" s="1" t="s">
        <v>74</v>
      </c>
      <c r="Q993" s="1" t="s">
        <v>74</v>
      </c>
      <c r="R993" s="1" t="s">
        <v>74</v>
      </c>
      <c r="S993" s="1" t="s">
        <v>74</v>
      </c>
      <c r="T993" s="1" t="s">
        <v>74</v>
      </c>
      <c r="U993" s="1" t="s">
        <v>74</v>
      </c>
      <c r="V993" s="1" t="s">
        <v>9038</v>
      </c>
      <c r="W993" s="1" t="s">
        <v>74</v>
      </c>
      <c r="X993" s="1" t="s">
        <v>74</v>
      </c>
      <c r="Y993" s="1" t="s">
        <v>74</v>
      </c>
      <c r="Z993" s="1" t="s">
        <v>74</v>
      </c>
      <c r="AA993" s="1" t="s">
        <v>9039</v>
      </c>
      <c r="AB993" s="1" t="s">
        <v>7399</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7400</v>
      </c>
      <c r="AP993" s="1" t="s">
        <v>74</v>
      </c>
      <c r="AQ993" s="1" t="s">
        <v>74</v>
      </c>
      <c r="AR993" s="1" t="s">
        <v>74</v>
      </c>
      <c r="AS993" s="1" t="s">
        <v>74</v>
      </c>
      <c r="AT993" s="1" t="s">
        <v>74</v>
      </c>
      <c r="AU993" s="1">
        <v>2003.0</v>
      </c>
      <c r="AV993" s="1">
        <v>35.0</v>
      </c>
      <c r="AW993" s="1">
        <v>2.0</v>
      </c>
      <c r="AX993" s="1" t="s">
        <v>74</v>
      </c>
      <c r="AY993" s="1" t="s">
        <v>74</v>
      </c>
      <c r="AZ993" s="1" t="s">
        <v>74</v>
      </c>
      <c r="BA993" s="1" t="s">
        <v>74</v>
      </c>
      <c r="BB993" s="1">
        <v>151.0</v>
      </c>
      <c r="BC993" s="1">
        <v>160.0</v>
      </c>
      <c r="BD993" s="1" t="s">
        <v>74</v>
      </c>
      <c r="BE993" s="1" t="s">
        <v>74</v>
      </c>
      <c r="BF993" s="1" t="s">
        <v>74</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9040</v>
      </c>
      <c r="BT993" s="1" t="str">
        <f>HYPERLINK("https%3A%2F%2Fwww.webofscience.com%2Fwos%2Fwoscc%2Ffull-record%2FWOS:000185129600002","View Full Record in Web of Science")</f>
        <v>View Full Record in Web of Science</v>
      </c>
    </row>
    <row r="994" ht="12.75" customHeight="1">
      <c r="A994" s="1" t="s">
        <v>72</v>
      </c>
      <c r="B994" s="1" t="s">
        <v>9041</v>
      </c>
      <c r="C994" s="1" t="s">
        <v>74</v>
      </c>
      <c r="D994" s="1" t="s">
        <v>74</v>
      </c>
      <c r="E994" s="1" t="s">
        <v>74</v>
      </c>
      <c r="F994" s="1" t="s">
        <v>9041</v>
      </c>
      <c r="G994" s="1" t="s">
        <v>74</v>
      </c>
      <c r="H994" s="1" t="s">
        <v>74</v>
      </c>
      <c r="I994" s="1" t="s">
        <v>9042</v>
      </c>
      <c r="J994" s="1" t="s">
        <v>890</v>
      </c>
      <c r="K994" s="1" t="s">
        <v>74</v>
      </c>
      <c r="L994" s="1" t="s">
        <v>74</v>
      </c>
      <c r="M994" s="1" t="s">
        <v>74</v>
      </c>
      <c r="N994" s="1" t="s">
        <v>74</v>
      </c>
      <c r="O994" s="1" t="s">
        <v>74</v>
      </c>
      <c r="P994" s="1" t="s">
        <v>74</v>
      </c>
      <c r="Q994" s="1" t="s">
        <v>74</v>
      </c>
      <c r="R994" s="1" t="s">
        <v>74</v>
      </c>
      <c r="S994" s="1" t="s">
        <v>74</v>
      </c>
      <c r="T994" s="1" t="s">
        <v>74</v>
      </c>
      <c r="U994" s="1" t="s">
        <v>74</v>
      </c>
      <c r="V994" s="1" t="s">
        <v>74</v>
      </c>
      <c r="W994" s="1" t="s">
        <v>74</v>
      </c>
      <c r="X994" s="1" t="s">
        <v>74</v>
      </c>
      <c r="Y994" s="1" t="s">
        <v>74</v>
      </c>
      <c r="Z994" s="1" t="s">
        <v>74</v>
      </c>
      <c r="AA994" s="1" t="s">
        <v>74</v>
      </c>
      <c r="AB994" s="1" t="s">
        <v>9043</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892</v>
      </c>
      <c r="AP994" s="1" t="s">
        <v>74</v>
      </c>
      <c r="AQ994" s="1" t="s">
        <v>74</v>
      </c>
      <c r="AR994" s="1" t="s">
        <v>74</v>
      </c>
      <c r="AS994" s="1" t="s">
        <v>74</v>
      </c>
      <c r="AT994" s="1" t="s">
        <v>4578</v>
      </c>
      <c r="AU994" s="1">
        <v>1998.0</v>
      </c>
      <c r="AV994" s="1">
        <v>14.0</v>
      </c>
      <c r="AW994" s="1">
        <v>18.0</v>
      </c>
      <c r="AX994" s="1" t="s">
        <v>74</v>
      </c>
      <c r="AY994" s="1" t="s">
        <v>74</v>
      </c>
      <c r="AZ994" s="1" t="s">
        <v>74</v>
      </c>
      <c r="BA994" s="1" t="s">
        <v>74</v>
      </c>
      <c r="BB994" s="1">
        <v>5314.0</v>
      </c>
      <c r="BC994" s="1">
        <v>5316.0</v>
      </c>
      <c r="BD994" s="1" t="s">
        <v>74</v>
      </c>
      <c r="BE994" s="1" t="s">
        <v>9044</v>
      </c>
      <c r="BF994" s="2" t="str">
        <f>HYPERLINK("http://dx.doi.org/10.1021/la970800w","http://dx.doi.org/10.1021/la970800w")</f>
        <v>http://dx.doi.org/10.1021/la970800w</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9045</v>
      </c>
      <c r="BT994" s="1" t="str">
        <f>HYPERLINK("https%3A%2F%2Fwww.webofscience.com%2Fwos%2Fwoscc%2Ffull-record%2FWOS:000075753800052","View Full Record in Web of Science")</f>
        <v>View Full Record in Web of Science</v>
      </c>
    </row>
    <row r="995" ht="12.75" customHeight="1">
      <c r="A995" s="1" t="s">
        <v>72</v>
      </c>
      <c r="B995" s="1" t="s">
        <v>9046</v>
      </c>
      <c r="C995" s="1" t="s">
        <v>74</v>
      </c>
      <c r="D995" s="1" t="s">
        <v>74</v>
      </c>
      <c r="E995" s="1" t="s">
        <v>74</v>
      </c>
      <c r="F995" s="1" t="s">
        <v>9046</v>
      </c>
      <c r="G995" s="1" t="s">
        <v>74</v>
      </c>
      <c r="H995" s="1" t="s">
        <v>74</v>
      </c>
      <c r="I995" s="1" t="s">
        <v>9047</v>
      </c>
      <c r="J995" s="1" t="s">
        <v>8269</v>
      </c>
      <c r="K995" s="1" t="s">
        <v>74</v>
      </c>
      <c r="L995" s="1" t="s">
        <v>74</v>
      </c>
      <c r="M995" s="1" t="s">
        <v>74</v>
      </c>
      <c r="N995" s="1" t="s">
        <v>74</v>
      </c>
      <c r="O995" s="1" t="s">
        <v>74</v>
      </c>
      <c r="P995" s="1" t="s">
        <v>74</v>
      </c>
      <c r="Q995" s="1" t="s">
        <v>74</v>
      </c>
      <c r="R995" s="1" t="s">
        <v>74</v>
      </c>
      <c r="S995" s="1" t="s">
        <v>74</v>
      </c>
      <c r="T995" s="1" t="s">
        <v>74</v>
      </c>
      <c r="U995" s="1" t="s">
        <v>74</v>
      </c>
      <c r="V995" s="1" t="s">
        <v>9048</v>
      </c>
      <c r="W995" s="1" t="s">
        <v>74</v>
      </c>
      <c r="X995" s="1" t="s">
        <v>74</v>
      </c>
      <c r="Y995" s="1" t="s">
        <v>74</v>
      </c>
      <c r="Z995" s="1" t="s">
        <v>74</v>
      </c>
      <c r="AA995" s="1" t="s">
        <v>74</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8273</v>
      </c>
      <c r="AP995" s="1" t="s">
        <v>8274</v>
      </c>
      <c r="AQ995" s="1" t="s">
        <v>74</v>
      </c>
      <c r="AR995" s="1" t="s">
        <v>74</v>
      </c>
      <c r="AS995" s="1" t="s">
        <v>74</v>
      </c>
      <c r="AT995" s="1" t="s">
        <v>74</v>
      </c>
      <c r="AU995" s="1">
        <v>1996.0</v>
      </c>
      <c r="AV995" s="1">
        <v>8.0</v>
      </c>
      <c r="AW995" s="1">
        <v>6.0</v>
      </c>
      <c r="AX995" s="1" t="s">
        <v>74</v>
      </c>
      <c r="AY995" s="1" t="s">
        <v>74</v>
      </c>
      <c r="AZ995" s="1" t="s">
        <v>74</v>
      </c>
      <c r="BA995" s="1" t="s">
        <v>74</v>
      </c>
      <c r="BB995" s="1">
        <v>523.0</v>
      </c>
      <c r="BC995" s="1">
        <v>527.0</v>
      </c>
      <c r="BD995" s="1" t="s">
        <v>74</v>
      </c>
      <c r="BE995" s="1" t="s">
        <v>9049</v>
      </c>
      <c r="BF995" s="2" t="str">
        <f>HYPERLINK("http://dx.doi.org/10.1007/BF02186331","http://dx.doi.org/10.1007/BF02186331")</f>
        <v>http://dx.doi.org/10.1007/BF02186331</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9050</v>
      </c>
      <c r="BT995" s="1" t="str">
        <f>HYPERLINK("https%3A%2F%2Fwww.webofscience.com%2Fwos%2Fwoscc%2Ffull-record%2FWOS:A1996WV46200008","View Full Record in Web of Science")</f>
        <v>View Full Record in Web of Science</v>
      </c>
    </row>
    <row r="996" ht="12.75" customHeight="1">
      <c r="A996" s="1" t="s">
        <v>72</v>
      </c>
      <c r="B996" s="1" t="s">
        <v>9051</v>
      </c>
      <c r="C996" s="1" t="s">
        <v>74</v>
      </c>
      <c r="D996" s="1" t="s">
        <v>74</v>
      </c>
      <c r="E996" s="1" t="s">
        <v>74</v>
      </c>
      <c r="F996" s="1" t="s">
        <v>9051</v>
      </c>
      <c r="G996" s="1" t="s">
        <v>74</v>
      </c>
      <c r="H996" s="1" t="s">
        <v>74</v>
      </c>
      <c r="I996" s="1" t="s">
        <v>9052</v>
      </c>
      <c r="J996" s="1" t="s">
        <v>4054</v>
      </c>
      <c r="K996" s="1" t="s">
        <v>74</v>
      </c>
      <c r="L996" s="1" t="s">
        <v>74</v>
      </c>
      <c r="M996" s="1" t="s">
        <v>74</v>
      </c>
      <c r="N996" s="1" t="s">
        <v>74</v>
      </c>
      <c r="O996" s="1" t="s">
        <v>74</v>
      </c>
      <c r="P996" s="1" t="s">
        <v>74</v>
      </c>
      <c r="Q996" s="1" t="s">
        <v>74</v>
      </c>
      <c r="R996" s="1" t="s">
        <v>74</v>
      </c>
      <c r="S996" s="1" t="s">
        <v>74</v>
      </c>
      <c r="T996" s="1" t="s">
        <v>74</v>
      </c>
      <c r="U996" s="1" t="s">
        <v>74</v>
      </c>
      <c r="V996" s="1" t="s">
        <v>74</v>
      </c>
      <c r="W996" s="1" t="s">
        <v>74</v>
      </c>
      <c r="X996" s="1" t="s">
        <v>74</v>
      </c>
      <c r="Y996" s="1" t="s">
        <v>74</v>
      </c>
      <c r="Z996" s="1" t="s">
        <v>74</v>
      </c>
      <c r="AA996" s="1" t="s">
        <v>9053</v>
      </c>
      <c r="AB996" s="1" t="s">
        <v>74</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4057</v>
      </c>
      <c r="AP996" s="1" t="s">
        <v>74</v>
      </c>
      <c r="AQ996" s="1" t="s">
        <v>74</v>
      </c>
      <c r="AR996" s="1" t="s">
        <v>74</v>
      </c>
      <c r="AS996" s="1" t="s">
        <v>74</v>
      </c>
      <c r="AT996" s="1" t="s">
        <v>9054</v>
      </c>
      <c r="AU996" s="1">
        <v>1995.0</v>
      </c>
      <c r="AV996" s="1">
        <v>74.0</v>
      </c>
      <c r="AW996" s="1">
        <v>11.0</v>
      </c>
      <c r="AX996" s="1" t="s">
        <v>74</v>
      </c>
      <c r="AY996" s="1" t="s">
        <v>74</v>
      </c>
      <c r="AZ996" s="1" t="s">
        <v>74</v>
      </c>
      <c r="BA996" s="1" t="s">
        <v>74</v>
      </c>
      <c r="BB996" s="1">
        <v>1900.0</v>
      </c>
      <c r="BC996" s="1">
        <v>1903.0</v>
      </c>
      <c r="BD996" s="1" t="s">
        <v>74</v>
      </c>
      <c r="BE996" s="1" t="s">
        <v>9055</v>
      </c>
      <c r="BF996" s="2" t="str">
        <f>HYPERLINK("http://dx.doi.org/10.1103/PhysRevLett.74.1900","http://dx.doi.org/10.1103/PhysRevLett.74.1900")</f>
        <v>http://dx.doi.org/10.1103/PhysRevLett.74.1900</v>
      </c>
      <c r="BG996" s="1" t="s">
        <v>74</v>
      </c>
      <c r="BH996" s="1" t="s">
        <v>74</v>
      </c>
      <c r="BI996" s="1" t="s">
        <v>74</v>
      </c>
      <c r="BJ996" s="1" t="s">
        <v>74</v>
      </c>
      <c r="BK996" s="1" t="s">
        <v>74</v>
      </c>
      <c r="BL996" s="1" t="s">
        <v>74</v>
      </c>
      <c r="BM996" s="1" t="s">
        <v>74</v>
      </c>
      <c r="BN996" s="1">
        <v>1.0057792E7</v>
      </c>
      <c r="BO996" s="1" t="s">
        <v>74</v>
      </c>
      <c r="BP996" s="1" t="s">
        <v>74</v>
      </c>
      <c r="BQ996" s="1" t="s">
        <v>74</v>
      </c>
      <c r="BR996" s="1" t="s">
        <v>74</v>
      </c>
      <c r="BS996" s="1" t="s">
        <v>9056</v>
      </c>
      <c r="BT996" s="1" t="str">
        <f>HYPERLINK("https%3A%2F%2Fwww.webofscience.com%2Fwos%2Fwoscc%2Ffull-record%2FWOS:A1995QL58400002","View Full Record in Web of Science")</f>
        <v>View Full Record in Web of Science</v>
      </c>
    </row>
    <row r="997" ht="12.75" customHeight="1">
      <c r="A997" s="1" t="s">
        <v>72</v>
      </c>
      <c r="B997" s="1" t="s">
        <v>9057</v>
      </c>
      <c r="C997" s="1" t="s">
        <v>74</v>
      </c>
      <c r="D997" s="1" t="s">
        <v>74</v>
      </c>
      <c r="E997" s="1" t="s">
        <v>74</v>
      </c>
      <c r="F997" s="1" t="s">
        <v>9057</v>
      </c>
      <c r="G997" s="1" t="s">
        <v>74</v>
      </c>
      <c r="H997" s="1" t="s">
        <v>74</v>
      </c>
      <c r="I997" s="1" t="s">
        <v>9058</v>
      </c>
      <c r="J997" s="1" t="s">
        <v>1297</v>
      </c>
      <c r="K997" s="1" t="s">
        <v>74</v>
      </c>
      <c r="L997" s="1" t="s">
        <v>74</v>
      </c>
      <c r="M997" s="1" t="s">
        <v>74</v>
      </c>
      <c r="N997" s="1" t="s">
        <v>74</v>
      </c>
      <c r="O997" s="1" t="s">
        <v>9059</v>
      </c>
      <c r="P997" s="1" t="s">
        <v>9060</v>
      </c>
      <c r="Q997" s="1" t="s">
        <v>9061</v>
      </c>
      <c r="R997" s="1" t="s">
        <v>74</v>
      </c>
      <c r="S997" s="1" t="s">
        <v>74</v>
      </c>
      <c r="T997" s="1" t="s">
        <v>74</v>
      </c>
      <c r="U997" s="1" t="s">
        <v>74</v>
      </c>
      <c r="V997" s="1" t="s">
        <v>9062</v>
      </c>
      <c r="W997" s="1" t="s">
        <v>74</v>
      </c>
      <c r="X997" s="1" t="s">
        <v>74</v>
      </c>
      <c r="Y997" s="1" t="s">
        <v>74</v>
      </c>
      <c r="Z997" s="1" t="s">
        <v>74</v>
      </c>
      <c r="AA997" s="1" t="s">
        <v>9063</v>
      </c>
      <c r="AB997" s="1" t="s">
        <v>74</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1299</v>
      </c>
      <c r="AP997" s="1" t="s">
        <v>74</v>
      </c>
      <c r="AQ997" s="1" t="s">
        <v>74</v>
      </c>
      <c r="AR997" s="1" t="s">
        <v>74</v>
      </c>
      <c r="AS997" s="1" t="s">
        <v>74</v>
      </c>
      <c r="AT997" s="1" t="s">
        <v>4612</v>
      </c>
      <c r="AU997" s="1">
        <v>1995.0</v>
      </c>
      <c r="AV997" s="1">
        <v>6.0</v>
      </c>
      <c r="AW997" s="1">
        <v>1.0</v>
      </c>
      <c r="AX997" s="1" t="s">
        <v>74</v>
      </c>
      <c r="AY997" s="1" t="s">
        <v>74</v>
      </c>
      <c r="AZ997" s="1" t="s">
        <v>74</v>
      </c>
      <c r="BA997" s="1" t="s">
        <v>74</v>
      </c>
      <c r="BB997" s="1">
        <v>49.0</v>
      </c>
      <c r="BC997" s="1">
        <v>53.0</v>
      </c>
      <c r="BD997" s="1" t="s">
        <v>74</v>
      </c>
      <c r="BE997" s="1" t="s">
        <v>9064</v>
      </c>
      <c r="BF997" s="2" t="str">
        <f>HYPERLINK("http://dx.doi.org/10.5935/0103-5053.19950010","http://dx.doi.org/10.5935/0103-5053.19950010")</f>
        <v>http://dx.doi.org/10.5935/0103-5053.19950010</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9065</v>
      </c>
      <c r="BT997" s="1" t="str">
        <f>HYPERLINK("https%3A%2F%2Fwww.webofscience.com%2Fwos%2Fwoscc%2Ffull-record%2FWOS:A1995RF70700011","View Full Record in Web of Science")</f>
        <v>View Full Record in Web of Science</v>
      </c>
    </row>
    <row r="998" ht="12.75" customHeight="1">
      <c r="A998" s="1" t="s">
        <v>72</v>
      </c>
      <c r="B998" s="1" t="s">
        <v>9066</v>
      </c>
      <c r="C998" s="1" t="s">
        <v>74</v>
      </c>
      <c r="D998" s="1" t="s">
        <v>74</v>
      </c>
      <c r="E998" s="1" t="s">
        <v>74</v>
      </c>
      <c r="F998" s="1" t="s">
        <v>9066</v>
      </c>
      <c r="G998" s="1" t="s">
        <v>74</v>
      </c>
      <c r="H998" s="1" t="s">
        <v>74</v>
      </c>
      <c r="I998" s="1" t="s">
        <v>9067</v>
      </c>
      <c r="J998" s="1" t="s">
        <v>4739</v>
      </c>
      <c r="K998" s="1" t="s">
        <v>74</v>
      </c>
      <c r="L998" s="1" t="s">
        <v>74</v>
      </c>
      <c r="M998" s="1" t="s">
        <v>74</v>
      </c>
      <c r="N998" s="1" t="s">
        <v>74</v>
      </c>
      <c r="O998" s="1" t="s">
        <v>74</v>
      </c>
      <c r="P998" s="1" t="s">
        <v>74</v>
      </c>
      <c r="Q998" s="1" t="s">
        <v>74</v>
      </c>
      <c r="R998" s="1" t="s">
        <v>74</v>
      </c>
      <c r="S998" s="1" t="s">
        <v>74</v>
      </c>
      <c r="T998" s="1" t="s">
        <v>74</v>
      </c>
      <c r="U998" s="1" t="s">
        <v>74</v>
      </c>
      <c r="V998" s="1" t="s">
        <v>9068</v>
      </c>
      <c r="W998" s="1" t="s">
        <v>74</v>
      </c>
      <c r="X998" s="1" t="s">
        <v>74</v>
      </c>
      <c r="Y998" s="1" t="s">
        <v>74</v>
      </c>
      <c r="Z998" s="1" t="s">
        <v>74</v>
      </c>
      <c r="AA998" s="1" t="s">
        <v>74</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4742</v>
      </c>
      <c r="AP998" s="1" t="s">
        <v>74</v>
      </c>
      <c r="AQ998" s="1" t="s">
        <v>74</v>
      </c>
      <c r="AR998" s="1" t="s">
        <v>74</v>
      </c>
      <c r="AS998" s="1" t="s">
        <v>74</v>
      </c>
      <c r="AT998" s="1" t="s">
        <v>174</v>
      </c>
      <c r="AU998" s="1">
        <v>1994.0</v>
      </c>
      <c r="AV998" s="1">
        <v>32.0</v>
      </c>
      <c r="AW998" s="1">
        <v>4.0</v>
      </c>
      <c r="AX998" s="1" t="s">
        <v>74</v>
      </c>
      <c r="AY998" s="1" t="s">
        <v>74</v>
      </c>
      <c r="AZ998" s="1" t="s">
        <v>74</v>
      </c>
      <c r="BA998" s="1" t="s">
        <v>74</v>
      </c>
      <c r="BB998" s="1">
        <v>367.0</v>
      </c>
      <c r="BC998" s="1">
        <v>371.0</v>
      </c>
      <c r="BD998" s="1" t="s">
        <v>74</v>
      </c>
      <c r="BE998" s="1" t="s">
        <v>9069</v>
      </c>
      <c r="BF998" s="2" t="str">
        <f>HYPERLINK("http://dx.doi.org/10.1007/BF00587876","http://dx.doi.org/10.1007/BF00587876")</f>
        <v>http://dx.doi.org/10.1007/BF00587876</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9070</v>
      </c>
      <c r="BT998" s="1" t="str">
        <f>HYPERLINK("https%3A%2F%2Fwww.webofscience.com%2Fwos%2Fwoscc%2Ffull-record%2FWOS:A1994NH32200001","View Full Record in Web of Science")</f>
        <v>View Full Record in Web of Science</v>
      </c>
    </row>
    <row r="999" ht="12.75" customHeight="1">
      <c r="A999" s="1" t="s">
        <v>72</v>
      </c>
      <c r="B999" s="1" t="s">
        <v>9071</v>
      </c>
      <c r="C999" s="1" t="s">
        <v>74</v>
      </c>
      <c r="D999" s="1" t="s">
        <v>74</v>
      </c>
      <c r="E999" s="1" t="s">
        <v>74</v>
      </c>
      <c r="F999" s="1" t="s">
        <v>9071</v>
      </c>
      <c r="G999" s="1" t="s">
        <v>74</v>
      </c>
      <c r="H999" s="1" t="s">
        <v>74</v>
      </c>
      <c r="I999" s="1" t="s">
        <v>9072</v>
      </c>
      <c r="J999" s="1" t="s">
        <v>9073</v>
      </c>
      <c r="K999" s="1" t="s">
        <v>74</v>
      </c>
      <c r="L999" s="1" t="s">
        <v>74</v>
      </c>
      <c r="M999" s="1" t="s">
        <v>74</v>
      </c>
      <c r="N999" s="1" t="s">
        <v>74</v>
      </c>
      <c r="O999" s="1" t="s">
        <v>9074</v>
      </c>
      <c r="P999" s="1" t="s">
        <v>9075</v>
      </c>
      <c r="Q999" s="1" t="s">
        <v>9076</v>
      </c>
      <c r="R999" s="1" t="s">
        <v>74</v>
      </c>
      <c r="S999" s="1" t="s">
        <v>74</v>
      </c>
      <c r="T999" s="1" t="s">
        <v>74</v>
      </c>
      <c r="U999" s="1" t="s">
        <v>74</v>
      </c>
      <c r="V999" s="1" t="s">
        <v>9077</v>
      </c>
      <c r="W999" s="1" t="s">
        <v>74</v>
      </c>
      <c r="X999" s="1" t="s">
        <v>74</v>
      </c>
      <c r="Y999" s="1" t="s">
        <v>74</v>
      </c>
      <c r="Z999" s="1" t="s">
        <v>74</v>
      </c>
      <c r="AA999" s="1" t="s">
        <v>9078</v>
      </c>
      <c r="AB999" s="1" t="s">
        <v>9079</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9080</v>
      </c>
      <c r="AP999" s="1" t="s">
        <v>74</v>
      </c>
      <c r="AQ999" s="1" t="s">
        <v>74</v>
      </c>
      <c r="AR999" s="1" t="s">
        <v>74</v>
      </c>
      <c r="AS999" s="1" t="s">
        <v>74</v>
      </c>
      <c r="AT999" s="1" t="s">
        <v>9081</v>
      </c>
      <c r="AU999" s="1">
        <v>1993.0</v>
      </c>
      <c r="AV999" s="1" t="s">
        <v>9082</v>
      </c>
      <c r="AW999" s="1" t="s">
        <v>74</v>
      </c>
      <c r="AX999" s="1" t="s">
        <v>74</v>
      </c>
      <c r="AY999" s="1" t="s">
        <v>74</v>
      </c>
      <c r="AZ999" s="1" t="s">
        <v>74</v>
      </c>
      <c r="BA999" s="1" t="s">
        <v>74</v>
      </c>
      <c r="BB999" s="1">
        <v>410.0</v>
      </c>
      <c r="BC999" s="1">
        <v>414.0</v>
      </c>
      <c r="BD999" s="1" t="s">
        <v>74</v>
      </c>
      <c r="BE999" s="1" t="s">
        <v>9083</v>
      </c>
      <c r="BF999" s="2" t="str">
        <f>HYPERLINK("http://dx.doi.org/10.1016/0924-4247(93)80070-W","http://dx.doi.org/10.1016/0924-4247(93)80070-W")</f>
        <v>http://dx.doi.org/10.1016/0924-4247(93)80070-W</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9084</v>
      </c>
      <c r="BT999" s="1" t="str">
        <f>HYPERLINK("https%3A%2F%2Fwww.webofscience.com%2Fwos%2Fwoscc%2Ffull-record%2FWOS:A1993MA15300068","View Full Record in Web of Science")</f>
        <v>View Full Record in Web of Science</v>
      </c>
    </row>
    <row r="1000" ht="12.75" customHeight="1">
      <c r="A1000" s="1" t="s">
        <v>72</v>
      </c>
      <c r="B1000" s="1" t="s">
        <v>9085</v>
      </c>
      <c r="C1000" s="1" t="s">
        <v>74</v>
      </c>
      <c r="D1000" s="1" t="s">
        <v>74</v>
      </c>
      <c r="E1000" s="1" t="s">
        <v>74</v>
      </c>
      <c r="F1000" s="1" t="s">
        <v>9085</v>
      </c>
      <c r="G1000" s="1" t="s">
        <v>74</v>
      </c>
      <c r="H1000" s="1" t="s">
        <v>74</v>
      </c>
      <c r="I1000" s="1" t="s">
        <v>9086</v>
      </c>
      <c r="J1000" s="1" t="s">
        <v>9087</v>
      </c>
      <c r="K1000" s="1" t="s">
        <v>74</v>
      </c>
      <c r="L1000" s="1" t="s">
        <v>74</v>
      </c>
      <c r="M1000" s="1" t="s">
        <v>74</v>
      </c>
      <c r="N1000" s="1" t="s">
        <v>74</v>
      </c>
      <c r="O1000" s="1" t="s">
        <v>74</v>
      </c>
      <c r="P1000" s="1" t="s">
        <v>74</v>
      </c>
      <c r="Q1000" s="1" t="s">
        <v>74</v>
      </c>
      <c r="R1000" s="1" t="s">
        <v>74</v>
      </c>
      <c r="S1000" s="1" t="s">
        <v>74</v>
      </c>
      <c r="T1000" s="1" t="s">
        <v>74</v>
      </c>
      <c r="U1000" s="1" t="s">
        <v>74</v>
      </c>
      <c r="V1000" s="1" t="s">
        <v>9088</v>
      </c>
      <c r="W1000" s="1" t="s">
        <v>74</v>
      </c>
      <c r="X1000" s="1" t="s">
        <v>74</v>
      </c>
      <c r="Y1000" s="1" t="s">
        <v>74</v>
      </c>
      <c r="Z1000" s="1" t="s">
        <v>74</v>
      </c>
      <c r="AA1000" s="1" t="s">
        <v>74</v>
      </c>
      <c r="AB1000" s="1" t="s">
        <v>74</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9089</v>
      </c>
      <c r="AP1000" s="1" t="s">
        <v>74</v>
      </c>
      <c r="AQ1000" s="1" t="s">
        <v>74</v>
      </c>
      <c r="AR1000" s="1" t="s">
        <v>74</v>
      </c>
      <c r="AS1000" s="1" t="s">
        <v>74</v>
      </c>
      <c r="AT1000" s="1" t="s">
        <v>74</v>
      </c>
      <c r="AU1000" s="1">
        <v>1993.0</v>
      </c>
      <c r="AV1000" s="1">
        <v>23.0</v>
      </c>
      <c r="AW1000" s="1" t="s">
        <v>1569</v>
      </c>
      <c r="AX1000" s="1" t="s">
        <v>74</v>
      </c>
      <c r="AY1000" s="1" t="s">
        <v>74</v>
      </c>
      <c r="AZ1000" s="1" t="s">
        <v>74</v>
      </c>
      <c r="BA1000" s="1" t="s">
        <v>74</v>
      </c>
      <c r="BB1000" s="1">
        <v>47.0</v>
      </c>
      <c r="BC1000" s="1">
        <v>55.0</v>
      </c>
      <c r="BD1000" s="1" t="s">
        <v>74</v>
      </c>
      <c r="BE1000" s="1" t="s">
        <v>9090</v>
      </c>
      <c r="BF1000" s="2" t="str">
        <f>HYPERLINK("http://dx.doi.org/10.1080/00914039308009658","http://dx.doi.org/10.1080/00914039308009658")</f>
        <v>http://dx.doi.org/10.1080/00914039308009658</v>
      </c>
      <c r="BG1000" s="1" t="s">
        <v>74</v>
      </c>
      <c r="BH1000" s="1" t="s">
        <v>74</v>
      </c>
      <c r="BI1000" s="1" t="s">
        <v>74</v>
      </c>
      <c r="BJ1000" s="1" t="s">
        <v>74</v>
      </c>
      <c r="BK1000" s="1" t="s">
        <v>74</v>
      </c>
      <c r="BL1000" s="1" t="s">
        <v>74</v>
      </c>
      <c r="BM1000" s="1" t="s">
        <v>74</v>
      </c>
      <c r="BN1000" s="1" t="s">
        <v>74</v>
      </c>
      <c r="BO1000" s="1" t="s">
        <v>74</v>
      </c>
      <c r="BP1000" s="1" t="s">
        <v>74</v>
      </c>
      <c r="BQ1000" s="1" t="s">
        <v>74</v>
      </c>
      <c r="BR1000" s="1" t="s">
        <v>74</v>
      </c>
      <c r="BS1000" s="1" t="s">
        <v>9091</v>
      </c>
      <c r="BT1000" s="1" t="str">
        <f>HYPERLINK("https%3A%2F%2Fwww.webofscience.com%2Fwos%2Fwoscc%2Ffull-record%2FWOS:A1993MV05000005","View Full Record in Web of Science")</f>
        <v>View Full Record in Web of Science</v>
      </c>
    </row>
    <row r="1001" ht="12.75" customHeight="1">
      <c r="A1001" s="1" t="s">
        <v>72</v>
      </c>
      <c r="B1001" s="1" t="s">
        <v>9092</v>
      </c>
      <c r="C1001" s="1" t="s">
        <v>74</v>
      </c>
      <c r="D1001" s="1" t="s">
        <v>74</v>
      </c>
      <c r="E1001" s="1" t="s">
        <v>74</v>
      </c>
      <c r="F1001" s="1" t="s">
        <v>9092</v>
      </c>
      <c r="G1001" s="1" t="s">
        <v>74</v>
      </c>
      <c r="H1001" s="1" t="s">
        <v>74</v>
      </c>
      <c r="I1001" s="1" t="s">
        <v>9093</v>
      </c>
      <c r="J1001" s="1" t="s">
        <v>5560</v>
      </c>
      <c r="K1001" s="1" t="s">
        <v>74</v>
      </c>
      <c r="L1001" s="1" t="s">
        <v>74</v>
      </c>
      <c r="M1001" s="1" t="s">
        <v>74</v>
      </c>
      <c r="N1001" s="1" t="s">
        <v>74</v>
      </c>
      <c r="O1001" s="1" t="s">
        <v>74</v>
      </c>
      <c r="P1001" s="1" t="s">
        <v>74</v>
      </c>
      <c r="Q1001" s="1" t="s">
        <v>74</v>
      </c>
      <c r="R1001" s="1" t="s">
        <v>74</v>
      </c>
      <c r="S1001" s="1" t="s">
        <v>74</v>
      </c>
      <c r="T1001" s="1" t="s">
        <v>74</v>
      </c>
      <c r="U1001" s="1" t="s">
        <v>74</v>
      </c>
      <c r="V1001" s="1" t="s">
        <v>74</v>
      </c>
      <c r="W1001" s="1" t="s">
        <v>74</v>
      </c>
      <c r="X1001" s="1" t="s">
        <v>74</v>
      </c>
      <c r="Y1001" s="1" t="s">
        <v>74</v>
      </c>
      <c r="Z1001" s="1" t="s">
        <v>74</v>
      </c>
      <c r="AA1001" s="1" t="s">
        <v>74</v>
      </c>
      <c r="AB1001" s="1" t="s">
        <v>74</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5562</v>
      </c>
      <c r="AP1001" s="1" t="s">
        <v>74</v>
      </c>
      <c r="AQ1001" s="1" t="s">
        <v>74</v>
      </c>
      <c r="AR1001" s="1" t="s">
        <v>74</v>
      </c>
      <c r="AS1001" s="1" t="s">
        <v>74</v>
      </c>
      <c r="AT1001" s="1" t="s">
        <v>9094</v>
      </c>
      <c r="AU1001" s="1">
        <v>1990.0</v>
      </c>
      <c r="AV1001" s="1">
        <v>86.0</v>
      </c>
      <c r="AW1001" s="1">
        <v>7.0</v>
      </c>
      <c r="AX1001" s="1" t="s">
        <v>74</v>
      </c>
      <c r="AY1001" s="1" t="s">
        <v>74</v>
      </c>
      <c r="AZ1001" s="1" t="s">
        <v>74</v>
      </c>
      <c r="BA1001" s="1" t="s">
        <v>74</v>
      </c>
      <c r="BB1001" s="1">
        <v>1067.0</v>
      </c>
      <c r="BC1001" s="1">
        <v>1070.0</v>
      </c>
      <c r="BD1001" s="1" t="s">
        <v>74</v>
      </c>
      <c r="BE1001" s="1" t="s">
        <v>9095</v>
      </c>
      <c r="BF1001" s="2" t="str">
        <f>HYPERLINK("http://dx.doi.org/10.1039/ft9908601067","http://dx.doi.org/10.1039/ft9908601067")</f>
        <v>http://dx.doi.org/10.1039/ft9908601067</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9096</v>
      </c>
      <c r="BT1001" s="1" t="str">
        <f>HYPERLINK("https%3A%2F%2Fwww.webofscience.com%2Fwos%2Fwoscc%2Ffull-record%2FWOS:A1990CX82700007","View Full Record in Web of Science")</f>
        <v>View Full Record in Web of Science</v>
      </c>
    </row>
  </sheetData>
  <printOptions/>
  <pageMargins bottom="0.75" footer="0.0" header="0.0" left="0.7" right="0.7" top="0.75"/>
  <pageSetup orientation="landscape"/>
  <drawing r:id="rId1"/>
</worksheet>
</file>